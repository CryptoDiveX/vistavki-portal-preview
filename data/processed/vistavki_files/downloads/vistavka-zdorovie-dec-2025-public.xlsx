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4560" windowHeight="20100" tabRatio="600" firstSheet="0" activeTab="1" autoFilterDateGrouping="1"/>
  </bookViews>
  <sheets>
    <sheet name="ZOZH 2025" sheetId="1" state="visible" r:id="rId1"/>
    <sheet name="All - Zdorovie 2025" sheetId="2" state="visible" r:id="rId2"/>
    <sheet name="Cleaned" sheetId="3" state="visible" r:id="rId3"/>
    <sheet name="Prompt" sheetId="4" state="visible" r:id="rId4"/>
  </sheets>
  <definedNames>
    <definedName name="companies__1" localSheetId="0">'ZOZH 2025'!$A$1:$I$133</definedName>
    <definedName name="_xlnm._FilterDatabase" localSheetId="0" hidden="1">'ZOZH 2025'!$A$1:$O$133</definedName>
    <definedName name="_xlnm._FilterDatabase" localSheetId="1" hidden="1">'All - Zdorovie 2025'!$A$1:$O$518</definedName>
    <definedName name="_xlnm._FilterDatabase" localSheetId="2" hidden="1">'Cleaned'!$A$1:$O$426</definedName>
  </definedNames>
  <calcPr calcId="191029" fullCalcOnLoad="1"/>
</workbook>
</file>

<file path=xl/styles.xml><?xml version="1.0" encoding="utf-8"?>
<styleSheet xmlns="http://schemas.openxmlformats.org/spreadsheetml/2006/main">
  <numFmts count="0"/>
  <fonts count="15">
    <font>
      <name val="Arial"/>
      <color theme="1"/>
      <sz val="12"/>
      <scheme val="minor"/>
    </font>
    <font>
      <name val="Arial"/>
      <family val="2"/>
      <color theme="1"/>
      <sz val="12"/>
      <scheme val="minor"/>
    </font>
    <font>
      <name val="Arial"/>
      <family val="2"/>
      <color theme="1"/>
      <sz val="12"/>
      <scheme val="minor"/>
    </font>
    <font>
      <name val="Arial"/>
      <family val="2"/>
      <color theme="1"/>
      <sz val="12"/>
      <scheme val="minor"/>
    </font>
    <font>
      <name val="Arial"/>
      <family val="2"/>
      <b val="1"/>
      <color theme="1"/>
      <sz val="12"/>
    </font>
    <font>
      <name val="Arial"/>
      <family val="2"/>
      <color theme="1"/>
      <sz val="12"/>
    </font>
    <font>
      <name val="Arial"/>
      <family val="2"/>
      <color rgb="FF0000FF"/>
      <sz val="12"/>
      <u val="single"/>
    </font>
    <font>
      <name val="Aptos Narrow"/>
      <color theme="1"/>
      <sz val="12"/>
    </font>
    <font>
      <name val="Arial"/>
      <family val="2"/>
      <color rgb="FF0000FF"/>
      <sz val="12"/>
      <u val="single"/>
    </font>
    <font>
      <name val="Arial"/>
      <family val="2"/>
      <color rgb="FF0000FF"/>
      <sz val="12"/>
      <u val="single"/>
    </font>
    <font>
      <name val="Arial"/>
      <family val="2"/>
      <color rgb="FF000000"/>
      <sz val="12"/>
      <scheme val="minor"/>
    </font>
    <font>
      <name val="Arial"/>
      <family val="2"/>
      <color theme="10"/>
      <sz val="12"/>
      <u val="single"/>
      <scheme val="minor"/>
    </font>
    <font>
      <name val="Arial"/>
      <family val="2"/>
      <b val="1"/>
      <color rgb="FF000000"/>
      <sz val="12"/>
      <scheme val="minor"/>
    </font>
    <font>
      <name val="Arial"/>
      <family val="2"/>
      <color rgb="FF0000FF"/>
      <sz val="12"/>
      <u val="single"/>
      <scheme val="minor"/>
    </font>
    <font>
      <name val="Calibri"/>
      <family val="2"/>
      <color rgb="FF9C0006"/>
      <sz val="12"/>
    </font>
  </fonts>
  <fills count="3">
    <fill>
      <patternFill/>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1" fillId="0" borderId="0"/>
  </cellStyleXfs>
  <cellXfs count="23">
    <xf numFmtId="0" fontId="0" fillId="0" borderId="0" pivotButton="0" quotePrefix="0" xfId="0"/>
    <xf numFmtId="0" fontId="3" fillId="0" borderId="0" pivotButton="0" quotePrefix="0" xfId="0"/>
    <xf numFmtId="0" fontId="3" fillId="0" borderId="0" applyAlignment="1" pivotButton="0" quotePrefix="0" xfId="0">
      <alignment wrapText="1"/>
    </xf>
    <xf numFmtId="0" fontId="4" fillId="2" borderId="0" applyAlignment="1" pivotButton="0" quotePrefix="0" xfId="0">
      <alignment wrapText="1"/>
    </xf>
    <xf numFmtId="0" fontId="4" fillId="2" borderId="0" pivotButton="0" quotePrefix="0" xfId="0"/>
    <xf numFmtId="0" fontId="5" fillId="0" borderId="0" pivotButton="0" quotePrefix="0" xfId="0"/>
    <xf numFmtId="0" fontId="5" fillId="2" borderId="0" pivotButton="0" quotePrefix="0" xfId="0"/>
    <xf numFmtId="0" fontId="6" fillId="0" borderId="0" pivotButton="0" quotePrefix="0" xfId="0"/>
    <xf numFmtId="11" fontId="7" fillId="0" borderId="0" pivotButton="0" quotePrefix="0" xfId="0"/>
    <xf numFmtId="0" fontId="8" fillId="0" borderId="0" pivotButton="0" quotePrefix="0" xfId="0"/>
    <xf numFmtId="0" fontId="9" fillId="0" borderId="0" pivotButton="0" quotePrefix="0" xfId="0"/>
    <xf numFmtId="11" fontId="3" fillId="0" borderId="0" pivotButton="0" quotePrefix="0" xfId="0"/>
    <xf numFmtId="0" fontId="4" fillId="0" borderId="0" pivotButton="0" quotePrefix="0" xfId="0"/>
    <xf numFmtId="0" fontId="5" fillId="0" borderId="1" applyAlignment="1" pivotButton="0" quotePrefix="0" xfId="0">
      <alignment wrapText="1"/>
    </xf>
    <xf numFmtId="0" fontId="2" fillId="0" borderId="0" pivotButton="0" quotePrefix="0" xfId="0"/>
    <xf numFmtId="0" fontId="10" fillId="0" borderId="0" pivotButton="0" quotePrefix="0" xfId="0"/>
    <xf numFmtId="0" fontId="1" fillId="0" borderId="0" pivotButton="0" quotePrefix="0" xfId="0"/>
    <xf numFmtId="0" fontId="12" fillId="2" borderId="0" applyAlignment="1" pivotButton="0" quotePrefix="0" xfId="0">
      <alignment wrapText="1"/>
    </xf>
    <xf numFmtId="0" fontId="12" fillId="2" borderId="0" pivotButton="0" quotePrefix="0" xfId="0"/>
    <xf numFmtId="0" fontId="13" fillId="0" borderId="0" pivotButton="0" quotePrefix="0" xfId="0"/>
    <xf numFmtId="0" fontId="11" fillId="0" borderId="0" pivotButton="0" quotePrefix="0" xfId="1"/>
    <xf numFmtId="11" fontId="10" fillId="0" borderId="0" pivotButton="0" quotePrefix="0" xfId="0"/>
    <xf numFmtId="0" fontId="14" fillId="0" borderId="0" pivotButton="0" quotePrefix="0" xfId="0"/>
  </cellXfs>
  <cellStyles count="2">
    <cellStyle name="Normal" xfId="0" builtinId="0"/>
    <cellStyle name="Hyperlink" xfId="1" builtinId="8"/>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dravo-expo.ru/" TargetMode="External" Id="rId1" /><Relationship Type="http://schemas.openxmlformats.org/officeDocument/2006/relationships/hyperlink" Target="https://www.zdravo-expo.ru/" TargetMode="External" Id="rId2" /><Relationship Type="http://schemas.openxmlformats.org/officeDocument/2006/relationships/hyperlink" Target="https://www.zdravo-expo.ru/" TargetMode="External" Id="rId3" /><Relationship Type="http://schemas.openxmlformats.org/officeDocument/2006/relationships/hyperlink" Target="https://www.zdravo-expo.ru/" TargetMode="External" Id="rId4" /><Relationship Type="http://schemas.openxmlformats.org/officeDocument/2006/relationships/hyperlink" Target="https://www.zdravo-expo.ru/" TargetMode="External" Id="rId5" /><Relationship Type="http://schemas.openxmlformats.org/officeDocument/2006/relationships/hyperlink" Target="https://www.zdravo-expo.ru/" TargetMode="External" Id="rId6" /><Relationship Type="http://schemas.openxmlformats.org/officeDocument/2006/relationships/hyperlink" Target="https://www.zdravo-expo.ru/" TargetMode="External" Id="rId7" /><Relationship Type="http://schemas.openxmlformats.org/officeDocument/2006/relationships/hyperlink" Target="https://www.zdravo-expo.ru/" TargetMode="External" Id="rId8" /><Relationship Type="http://schemas.openxmlformats.org/officeDocument/2006/relationships/hyperlink" Target="https://www.zdravo-expo.ru/" TargetMode="External" Id="rId9" /><Relationship Type="http://schemas.openxmlformats.org/officeDocument/2006/relationships/hyperlink" Target="https://www.zdravo-expo.ru/" TargetMode="External" Id="rId10" /><Relationship Type="http://schemas.openxmlformats.org/officeDocument/2006/relationships/hyperlink" Target="https://www.zdravo-expo.ru/" TargetMode="External" Id="rId11" /><Relationship Type="http://schemas.openxmlformats.org/officeDocument/2006/relationships/hyperlink" Target="https://www.zdravo-expo.ru/" TargetMode="External" Id="rId12" /><Relationship Type="http://schemas.openxmlformats.org/officeDocument/2006/relationships/hyperlink" Target="https://www.zdravo-expo.ru/" TargetMode="External" Id="rId13" /><Relationship Type="http://schemas.openxmlformats.org/officeDocument/2006/relationships/hyperlink" Target="https://www.zdravo-expo.ru/" TargetMode="External" Id="rId14" /><Relationship Type="http://schemas.openxmlformats.org/officeDocument/2006/relationships/hyperlink" Target="https://www.zdravo-expo.ru/" TargetMode="External" Id="rId15" /><Relationship Type="http://schemas.openxmlformats.org/officeDocument/2006/relationships/hyperlink" Target="https://www.zdravo-expo.ru/" TargetMode="External" Id="rId16" /><Relationship Type="http://schemas.openxmlformats.org/officeDocument/2006/relationships/hyperlink" Target="https://www.zdravo-expo.ru/" TargetMode="External" Id="rId17" /><Relationship Type="http://schemas.openxmlformats.org/officeDocument/2006/relationships/hyperlink" Target="https://www.zdravo-expo.ru/" TargetMode="External" Id="rId18" /><Relationship Type="http://schemas.openxmlformats.org/officeDocument/2006/relationships/hyperlink" Target="https://www.zdravo-expo.ru/" TargetMode="External" Id="rId19" /><Relationship Type="http://schemas.openxmlformats.org/officeDocument/2006/relationships/hyperlink" Target="https://www.zdravo-expo.ru/" TargetMode="External" Id="rId20" /><Relationship Type="http://schemas.openxmlformats.org/officeDocument/2006/relationships/hyperlink" Target="https://www.zdravo-expo.ru/" TargetMode="External" Id="rId21" /><Relationship Type="http://schemas.openxmlformats.org/officeDocument/2006/relationships/hyperlink" Target="https://www.zdravo-expo.ru/" TargetMode="External" Id="rId22" /><Relationship Type="http://schemas.openxmlformats.org/officeDocument/2006/relationships/hyperlink" Target="https://www.zdravo-expo.ru/" TargetMode="External" Id="rId23" /><Relationship Type="http://schemas.openxmlformats.org/officeDocument/2006/relationships/hyperlink" Target="https://www.zdravo-expo.ru/" TargetMode="External" Id="rId24" /><Relationship Type="http://schemas.openxmlformats.org/officeDocument/2006/relationships/hyperlink" Target="https://www.zdravo-expo.ru/" TargetMode="External" Id="rId25" /><Relationship Type="http://schemas.openxmlformats.org/officeDocument/2006/relationships/hyperlink" Target="https://www.zdravo-expo.ru/" TargetMode="External" Id="rId26" /><Relationship Type="http://schemas.openxmlformats.org/officeDocument/2006/relationships/hyperlink" Target="https://www.zdravo-expo.ru/" TargetMode="External" Id="rId27" /><Relationship Type="http://schemas.openxmlformats.org/officeDocument/2006/relationships/hyperlink" Target="https://www.zdravo-expo.ru/" TargetMode="External" Id="rId28" /><Relationship Type="http://schemas.openxmlformats.org/officeDocument/2006/relationships/hyperlink" Target="https://www.zdravo-expo.ru/" TargetMode="External" Id="rId29" /><Relationship Type="http://schemas.openxmlformats.org/officeDocument/2006/relationships/hyperlink" Target="https://www.zdravo-expo.ru/" TargetMode="External" Id="rId30" /><Relationship Type="http://schemas.openxmlformats.org/officeDocument/2006/relationships/hyperlink" Target="https://www.zdravo-expo.ru/" TargetMode="External" Id="rId31" /><Relationship Type="http://schemas.openxmlformats.org/officeDocument/2006/relationships/hyperlink" Target="https://www.zdravo-expo.ru/" TargetMode="External" Id="rId32" /><Relationship Type="http://schemas.openxmlformats.org/officeDocument/2006/relationships/hyperlink" Target="https://www.zdravo-expo.ru/" TargetMode="External" Id="rId33" /><Relationship Type="http://schemas.openxmlformats.org/officeDocument/2006/relationships/hyperlink" Target="https://www.zdravo-expo.ru/" TargetMode="External" Id="rId34" /><Relationship Type="http://schemas.openxmlformats.org/officeDocument/2006/relationships/hyperlink" Target="https://www.zdravo-expo.ru/" TargetMode="External" Id="rId35" /><Relationship Type="http://schemas.openxmlformats.org/officeDocument/2006/relationships/hyperlink" Target="https://www.zdravo-expo.ru/" TargetMode="External" Id="rId36" /><Relationship Type="http://schemas.openxmlformats.org/officeDocument/2006/relationships/hyperlink" Target="https://www.zdravo-expo.ru/" TargetMode="External" Id="rId37" /><Relationship Type="http://schemas.openxmlformats.org/officeDocument/2006/relationships/hyperlink" Target="https://www.zdravo-expo.ru/" TargetMode="External" Id="rId38" /><Relationship Type="http://schemas.openxmlformats.org/officeDocument/2006/relationships/hyperlink" Target="https://www.zdravo-expo.ru/" TargetMode="External" Id="rId39" /><Relationship Type="http://schemas.openxmlformats.org/officeDocument/2006/relationships/hyperlink" Target="https://www.zdravo-expo.ru/" TargetMode="External" Id="rId40" /><Relationship Type="http://schemas.openxmlformats.org/officeDocument/2006/relationships/hyperlink" Target="https://www.zdravo-expo.ru/" TargetMode="External" Id="rId41" /><Relationship Type="http://schemas.openxmlformats.org/officeDocument/2006/relationships/hyperlink" Target="https://www.zdravo-expo.ru/" TargetMode="External" Id="rId42" /><Relationship Type="http://schemas.openxmlformats.org/officeDocument/2006/relationships/hyperlink" Target="https://www.zdravo-expo.ru/" TargetMode="External" Id="rId43" /><Relationship Type="http://schemas.openxmlformats.org/officeDocument/2006/relationships/hyperlink" Target="https://www.zdravo-expo.ru/" TargetMode="External" Id="rId44" /><Relationship Type="http://schemas.openxmlformats.org/officeDocument/2006/relationships/hyperlink" Target="https://www.zdravo-expo.ru/" TargetMode="External" Id="rId45" /><Relationship Type="http://schemas.openxmlformats.org/officeDocument/2006/relationships/hyperlink" Target="https://www.zdravo-expo.ru/" TargetMode="External" Id="rId46" /><Relationship Type="http://schemas.openxmlformats.org/officeDocument/2006/relationships/hyperlink" Target="https://www.zdravo-expo.ru/" TargetMode="External" Id="rId47" /><Relationship Type="http://schemas.openxmlformats.org/officeDocument/2006/relationships/hyperlink" Target="https://www.zdravo-expo.ru/" TargetMode="External" Id="rId48" /><Relationship Type="http://schemas.openxmlformats.org/officeDocument/2006/relationships/hyperlink" Target="https://www.zdravo-expo.ru/" TargetMode="External" Id="rId49" /><Relationship Type="http://schemas.openxmlformats.org/officeDocument/2006/relationships/hyperlink" Target="https://www.zdravo-expo.ru/" TargetMode="External" Id="rId50" /><Relationship Type="http://schemas.openxmlformats.org/officeDocument/2006/relationships/hyperlink" Target="https://www.zdravo-expo.ru/" TargetMode="External" Id="rId51" /><Relationship Type="http://schemas.openxmlformats.org/officeDocument/2006/relationships/hyperlink" Target="https://www.zdravo-expo.ru/" TargetMode="External" Id="rId52" /><Relationship Type="http://schemas.openxmlformats.org/officeDocument/2006/relationships/hyperlink" Target="https://www.zdravo-expo.ru/" TargetMode="External" Id="rId53" /><Relationship Type="http://schemas.openxmlformats.org/officeDocument/2006/relationships/hyperlink" Target="https://www.zdravo-expo.ru/" TargetMode="External" Id="rId54" /><Relationship Type="http://schemas.openxmlformats.org/officeDocument/2006/relationships/hyperlink" Target="https://www.zdravo-expo.ru/" TargetMode="External" Id="rId55" /><Relationship Type="http://schemas.openxmlformats.org/officeDocument/2006/relationships/hyperlink" Target="https://www.zdravo-expo.ru/" TargetMode="External" Id="rId56" /><Relationship Type="http://schemas.openxmlformats.org/officeDocument/2006/relationships/hyperlink" Target="https://www.zdravo-expo.ru/" TargetMode="External" Id="rId57" /><Relationship Type="http://schemas.openxmlformats.org/officeDocument/2006/relationships/hyperlink" Target="https://www.zdravo-expo.ru/" TargetMode="External" Id="rId58" /><Relationship Type="http://schemas.openxmlformats.org/officeDocument/2006/relationships/hyperlink" Target="https://www.zdravo-expo.ru/" TargetMode="External" Id="rId59" /><Relationship Type="http://schemas.openxmlformats.org/officeDocument/2006/relationships/hyperlink" Target="https://www.zdravo-expo.ru/" TargetMode="External" Id="rId60" /><Relationship Type="http://schemas.openxmlformats.org/officeDocument/2006/relationships/hyperlink" Target="https://www.zdravo-expo.ru/" TargetMode="External" Id="rId61" /><Relationship Type="http://schemas.openxmlformats.org/officeDocument/2006/relationships/hyperlink" Target="https://www.zdravo-expo.ru/" TargetMode="External" Id="rId62" /><Relationship Type="http://schemas.openxmlformats.org/officeDocument/2006/relationships/hyperlink" Target="https://www.zdravo-expo.ru/" TargetMode="External" Id="rId63" /><Relationship Type="http://schemas.openxmlformats.org/officeDocument/2006/relationships/hyperlink" Target="https://www.zdravo-expo.ru/" TargetMode="External" Id="rId64" /><Relationship Type="http://schemas.openxmlformats.org/officeDocument/2006/relationships/hyperlink" Target="https://www.zdravo-expo.ru/" TargetMode="External" Id="rId65" /><Relationship Type="http://schemas.openxmlformats.org/officeDocument/2006/relationships/hyperlink" Target="https://www.zdravo-expo.ru/" TargetMode="External" Id="rId66" /><Relationship Type="http://schemas.openxmlformats.org/officeDocument/2006/relationships/hyperlink" Target="https://www.zdravo-expo.ru/" TargetMode="External" Id="rId67" /><Relationship Type="http://schemas.openxmlformats.org/officeDocument/2006/relationships/hyperlink" Target="https://www.zdravo-expo.ru/" TargetMode="External" Id="rId68" /><Relationship Type="http://schemas.openxmlformats.org/officeDocument/2006/relationships/hyperlink" Target="https://www.zdravo-expo.ru/" TargetMode="External" Id="rId69" /><Relationship Type="http://schemas.openxmlformats.org/officeDocument/2006/relationships/hyperlink" Target="https://www.zdravo-expo.ru/" TargetMode="External" Id="rId70" /><Relationship Type="http://schemas.openxmlformats.org/officeDocument/2006/relationships/hyperlink" Target="https://www.zdravo-expo.ru/" TargetMode="External" Id="rId71" /><Relationship Type="http://schemas.openxmlformats.org/officeDocument/2006/relationships/hyperlink" Target="https://www.zdravo-expo.ru/" TargetMode="External" Id="rId72" /><Relationship Type="http://schemas.openxmlformats.org/officeDocument/2006/relationships/hyperlink" Target="https://www.zdravo-expo.ru/" TargetMode="External" Id="rId73" /><Relationship Type="http://schemas.openxmlformats.org/officeDocument/2006/relationships/hyperlink" Target="https://www.zdravo-expo.ru/" TargetMode="External" Id="rId74" /><Relationship Type="http://schemas.openxmlformats.org/officeDocument/2006/relationships/hyperlink" Target="https://www.zdravo-expo.ru/" TargetMode="External" Id="rId75" /><Relationship Type="http://schemas.openxmlformats.org/officeDocument/2006/relationships/hyperlink" Target="https://www.zdravo-expo.ru/" TargetMode="External" Id="rId76" /><Relationship Type="http://schemas.openxmlformats.org/officeDocument/2006/relationships/hyperlink" Target="https://www.zdravo-expo.ru/" TargetMode="External" Id="rId77" /><Relationship Type="http://schemas.openxmlformats.org/officeDocument/2006/relationships/hyperlink" Target="https://www.zdravo-expo.ru/" TargetMode="External" Id="rId78" /><Relationship Type="http://schemas.openxmlformats.org/officeDocument/2006/relationships/hyperlink" Target="https://www.zdravo-expo.ru/" TargetMode="External" Id="rId79" /><Relationship Type="http://schemas.openxmlformats.org/officeDocument/2006/relationships/hyperlink" Target="https://www.zdravo-expo.ru/" TargetMode="External" Id="rId80" /><Relationship Type="http://schemas.openxmlformats.org/officeDocument/2006/relationships/hyperlink" Target="https://www.zdravo-expo.ru/" TargetMode="External" Id="rId81" /><Relationship Type="http://schemas.openxmlformats.org/officeDocument/2006/relationships/hyperlink" Target="https://www.zdravo-expo.ru/" TargetMode="External" Id="rId82" /><Relationship Type="http://schemas.openxmlformats.org/officeDocument/2006/relationships/hyperlink" Target="https://www.zdravo-expo.ru/" TargetMode="External" Id="rId83" /><Relationship Type="http://schemas.openxmlformats.org/officeDocument/2006/relationships/hyperlink" Target="https://www.zdravo-expo.ru/" TargetMode="External" Id="rId84" /><Relationship Type="http://schemas.openxmlformats.org/officeDocument/2006/relationships/hyperlink" Target="https://www.zdravo-expo.ru/" TargetMode="External" Id="rId85" /><Relationship Type="http://schemas.openxmlformats.org/officeDocument/2006/relationships/hyperlink" Target="https://www.zdravo-expo.ru/" TargetMode="External" Id="rId86" /><Relationship Type="http://schemas.openxmlformats.org/officeDocument/2006/relationships/hyperlink" Target="https://www.zdravo-expo.ru/" TargetMode="External" Id="rId87" /><Relationship Type="http://schemas.openxmlformats.org/officeDocument/2006/relationships/hyperlink" Target="https://www.zdravo-expo.ru/" TargetMode="External" Id="rId88" /><Relationship Type="http://schemas.openxmlformats.org/officeDocument/2006/relationships/hyperlink" Target="https://www.zdravo-expo.ru/" TargetMode="External" Id="rId89" /><Relationship Type="http://schemas.openxmlformats.org/officeDocument/2006/relationships/hyperlink" Target="https://www.zdravo-expo.ru/" TargetMode="External" Id="rId90" /><Relationship Type="http://schemas.openxmlformats.org/officeDocument/2006/relationships/hyperlink" Target="https://www.zdravo-expo.ru/" TargetMode="External" Id="rId91" /><Relationship Type="http://schemas.openxmlformats.org/officeDocument/2006/relationships/hyperlink" Target="https://www.zdravo-expo.ru/" TargetMode="External" Id="rId92" /><Relationship Type="http://schemas.openxmlformats.org/officeDocument/2006/relationships/hyperlink" Target="https://www.zdravo-expo.ru/" TargetMode="External" Id="rId93" /><Relationship Type="http://schemas.openxmlformats.org/officeDocument/2006/relationships/hyperlink" Target="https://www.zdravo-expo.ru/" TargetMode="External" Id="rId94" /><Relationship Type="http://schemas.openxmlformats.org/officeDocument/2006/relationships/hyperlink" Target="https://www.zdravo-expo.ru/" TargetMode="External" Id="rId95" /><Relationship Type="http://schemas.openxmlformats.org/officeDocument/2006/relationships/hyperlink" Target="https://www.zdravo-expo.ru/" TargetMode="External" Id="rId96" /><Relationship Type="http://schemas.openxmlformats.org/officeDocument/2006/relationships/hyperlink" Target="https://www.zdravo-expo.ru/" TargetMode="External" Id="rId97" /><Relationship Type="http://schemas.openxmlformats.org/officeDocument/2006/relationships/hyperlink" Target="https://www.zdravo-expo.ru/" TargetMode="External" Id="rId98" /><Relationship Type="http://schemas.openxmlformats.org/officeDocument/2006/relationships/hyperlink" Target="https://www.zdravo-expo.ru/" TargetMode="External" Id="rId99" /><Relationship Type="http://schemas.openxmlformats.org/officeDocument/2006/relationships/hyperlink" Target="https://www.zdravo-expo.ru/" TargetMode="External" Id="rId100" /><Relationship Type="http://schemas.openxmlformats.org/officeDocument/2006/relationships/hyperlink" Target="https://www.zdravo-expo.ru/" TargetMode="External" Id="rId101" /><Relationship Type="http://schemas.openxmlformats.org/officeDocument/2006/relationships/hyperlink" Target="https://www.zdravo-expo.ru/" TargetMode="External" Id="rId102" /><Relationship Type="http://schemas.openxmlformats.org/officeDocument/2006/relationships/hyperlink" Target="https://www.zdravo-expo.ru/" TargetMode="External" Id="rId103" /><Relationship Type="http://schemas.openxmlformats.org/officeDocument/2006/relationships/hyperlink" Target="https://www.zdravo-expo.ru/" TargetMode="External" Id="rId104" /><Relationship Type="http://schemas.openxmlformats.org/officeDocument/2006/relationships/hyperlink" Target="https://www.zdravo-expo.ru/" TargetMode="External" Id="rId105" /><Relationship Type="http://schemas.openxmlformats.org/officeDocument/2006/relationships/hyperlink" Target="https://www.zdravo-expo.ru/" TargetMode="External" Id="rId106" /><Relationship Type="http://schemas.openxmlformats.org/officeDocument/2006/relationships/hyperlink" Target="https://www.zdravo-expo.ru/" TargetMode="External" Id="rId107" /><Relationship Type="http://schemas.openxmlformats.org/officeDocument/2006/relationships/hyperlink" Target="https://www.zdravo-expo.ru/" TargetMode="External" Id="rId108" /><Relationship Type="http://schemas.openxmlformats.org/officeDocument/2006/relationships/hyperlink" Target="https://www.zdravo-expo.ru/" TargetMode="External" Id="rId109" /><Relationship Type="http://schemas.openxmlformats.org/officeDocument/2006/relationships/hyperlink" Target="https://www.zdravo-expo.ru/" TargetMode="External" Id="rId110" /><Relationship Type="http://schemas.openxmlformats.org/officeDocument/2006/relationships/hyperlink" Target="https://www.zdravo-expo.ru/" TargetMode="External" Id="rId111" /><Relationship Type="http://schemas.openxmlformats.org/officeDocument/2006/relationships/hyperlink" Target="https://www.zdravo-expo.ru/" TargetMode="External" Id="rId112" /><Relationship Type="http://schemas.openxmlformats.org/officeDocument/2006/relationships/hyperlink" Target="https://www.zdravo-expo.ru/" TargetMode="External" Id="rId113" /><Relationship Type="http://schemas.openxmlformats.org/officeDocument/2006/relationships/hyperlink" Target="https://www.zdravo-expo.ru/" TargetMode="External" Id="rId114" /><Relationship Type="http://schemas.openxmlformats.org/officeDocument/2006/relationships/hyperlink" Target="https://www.zdravo-expo.ru/" TargetMode="External" Id="rId115" /><Relationship Type="http://schemas.openxmlformats.org/officeDocument/2006/relationships/hyperlink" Target="https://www.zdravo-expo.ru/" TargetMode="External" Id="rId116" /><Relationship Type="http://schemas.openxmlformats.org/officeDocument/2006/relationships/hyperlink" Target="https://www.zdravo-expo.ru/" TargetMode="External" Id="rId117" /><Relationship Type="http://schemas.openxmlformats.org/officeDocument/2006/relationships/hyperlink" Target="https://www.zdravo-expo.ru/" TargetMode="External" Id="rId118" /><Relationship Type="http://schemas.openxmlformats.org/officeDocument/2006/relationships/hyperlink" Target="https://www.zdravo-expo.ru/" TargetMode="External" Id="rId119" /><Relationship Type="http://schemas.openxmlformats.org/officeDocument/2006/relationships/hyperlink" Target="https://www.zdravo-expo.ru/" TargetMode="External" Id="rId120" /><Relationship Type="http://schemas.openxmlformats.org/officeDocument/2006/relationships/hyperlink" Target="https://www.zdravo-expo.ru/" TargetMode="External" Id="rId121" /><Relationship Type="http://schemas.openxmlformats.org/officeDocument/2006/relationships/hyperlink" Target="https://www.zdravo-expo.ru/" TargetMode="External" Id="rId122" /><Relationship Type="http://schemas.openxmlformats.org/officeDocument/2006/relationships/hyperlink" Target="https://www.zdravo-expo.ru/" TargetMode="External" Id="rId123" /><Relationship Type="http://schemas.openxmlformats.org/officeDocument/2006/relationships/hyperlink" Target="https://www.zdravo-expo.ru/" TargetMode="External" Id="rId124" /><Relationship Type="http://schemas.openxmlformats.org/officeDocument/2006/relationships/hyperlink" Target="https://www.zdravo-expo.ru/" TargetMode="External" Id="rId125" /><Relationship Type="http://schemas.openxmlformats.org/officeDocument/2006/relationships/hyperlink" Target="https://www.zdravo-expo.ru/" TargetMode="External" Id="rId126" /><Relationship Type="http://schemas.openxmlformats.org/officeDocument/2006/relationships/hyperlink" Target="https://www.zdravo-expo.ru/" TargetMode="External" Id="rId127" /><Relationship Type="http://schemas.openxmlformats.org/officeDocument/2006/relationships/hyperlink" Target="https://www.zdravo-expo.ru/" TargetMode="External" Id="rId128" /><Relationship Type="http://schemas.openxmlformats.org/officeDocument/2006/relationships/hyperlink" Target="https://www.zdravo-expo.ru/" TargetMode="External" Id="rId129" /><Relationship Type="http://schemas.openxmlformats.org/officeDocument/2006/relationships/hyperlink" Target="https://www.zdravo-expo.ru/" TargetMode="External" Id="rId130" /><Relationship Type="http://schemas.openxmlformats.org/officeDocument/2006/relationships/hyperlink" Target="https://www.zdravo-expo.ru/" TargetMode="External" Id="rId131" /><Relationship Type="http://schemas.openxmlformats.org/officeDocument/2006/relationships/hyperlink" Target="https://www.zdravo-expo.ru/" TargetMode="External" Id="rId132" /></Relationships>
</file>

<file path=xl/worksheets/_rels/sheet2.xml.rels><Relationships xmlns="http://schemas.openxmlformats.org/package/2006/relationships"><Relationship Type="http://schemas.openxmlformats.org/officeDocument/2006/relationships/hyperlink" Target="https://icatalog.expocentr.ru/ru/exhibitions/de590dc5-417d-11ee-80ce-a0d3c1fab97f" TargetMode="External" Id="rId1" /><Relationship Type="http://schemas.openxmlformats.org/officeDocument/2006/relationships/hyperlink" Target="http://www.projecttrade.ru/" TargetMode="External" Id="rId2" /><Relationship Type="http://schemas.openxmlformats.org/officeDocument/2006/relationships/hyperlink" Target="https://icatalog.expocentr.ru/ru/exhibitions/de590dc5-417d-11ee-80ce-a0d3c1fab97f" TargetMode="External" Id="rId3" /><Relationship Type="http://schemas.openxmlformats.org/officeDocument/2006/relationships/hyperlink" Target="http://www.mtl.ru/" TargetMode="External" Id="rId4" /><Relationship Type="http://schemas.openxmlformats.org/officeDocument/2006/relationships/hyperlink" Target="https://icatalog.expocentr.ru/ru/exhibitions/de590dc5-417d-11ee-80ce-a0d3c1fab97f" TargetMode="External" Id="rId5" /><Relationship Type="http://schemas.openxmlformats.org/officeDocument/2006/relationships/hyperlink" Target="http://www.expert-tomograph.ru/" TargetMode="External" Id="rId6" /><Relationship Type="http://schemas.openxmlformats.org/officeDocument/2006/relationships/hyperlink" Target="https://icatalog.expocentr.ru/ru/exhibitions/de590dc5-417d-11ee-80ce-a0d3c1fab97f" TargetMode="External" Id="rId7" /><Relationship Type="http://schemas.openxmlformats.org/officeDocument/2006/relationships/hyperlink" Target="http://www.btlnet.com/" TargetMode="External" Id="rId8" /><Relationship Type="http://schemas.openxmlformats.org/officeDocument/2006/relationships/hyperlink" Target="https://icatalog.expocentr.ru/ru/exhibitions/de590dc5-417d-11ee-80ce-a0d3c1fab97f" TargetMode="External" Id="rId9" /><Relationship Type="http://schemas.openxmlformats.org/officeDocument/2006/relationships/hyperlink" Target="http://www.bonss-russia.ru/" TargetMode="External" Id="rId10" /><Relationship Type="http://schemas.openxmlformats.org/officeDocument/2006/relationships/hyperlink" Target="https://icatalog.expocentr.ru/ru/exhibitions/de590dc5-417d-11ee-80ce-a0d3c1fab97f" TargetMode="External" Id="rId11" /><Relationship Type="http://schemas.openxmlformats.org/officeDocument/2006/relationships/hyperlink" Target="https://neurosoft.com/" TargetMode="External" Id="rId12" /><Relationship Type="http://schemas.openxmlformats.org/officeDocument/2006/relationships/hyperlink" Target="https://icatalog.expocentr.ru/ru/exhibitions/de590dc5-417d-11ee-80ce-a0d3c1fab97f" TargetMode="External" Id="rId13" /><Relationship Type="http://schemas.openxmlformats.org/officeDocument/2006/relationships/hyperlink" Target="http://www.helpic.ru/" TargetMode="External" Id="rId14" /><Relationship Type="http://schemas.openxmlformats.org/officeDocument/2006/relationships/hyperlink" Target="https://icatalog.expocentr.ru/ru/exhibitions/de590dc5-417d-11ee-80ce-a0d3c1fab97f" TargetMode="External" Id="rId15" /><Relationship Type="http://schemas.openxmlformats.org/officeDocument/2006/relationships/hyperlink" Target="http://www.medcomp.ru/" TargetMode="External" Id="rId16" /><Relationship Type="http://schemas.openxmlformats.org/officeDocument/2006/relationships/hyperlink" Target="https://icatalog.expocentr.ru/ru/exhibitions/de590dc5-417d-11ee-80ce-a0d3c1fab97f" TargetMode="External" Id="rId17" /><Relationship Type="http://schemas.openxmlformats.org/officeDocument/2006/relationships/hyperlink" Target="http://www.lmed.ru/" TargetMode="External" Id="rId18" /><Relationship Type="http://schemas.openxmlformats.org/officeDocument/2006/relationships/hyperlink" Target="https://icatalog.expocentr.ru/ru/exhibitions/de590dc5-417d-11ee-80ce-a0d3c1fab97f" TargetMode="External" Id="rId19" /><Relationship Type="http://schemas.openxmlformats.org/officeDocument/2006/relationships/hyperlink" Target="http://www.adanirus.ru/" TargetMode="External" Id="rId20" /><Relationship Type="http://schemas.openxmlformats.org/officeDocument/2006/relationships/hyperlink" Target="https://icatalog.expocentr.ru/ru/exhibitions/de590dc5-417d-11ee-80ce-a0d3c1fab97f" TargetMode="External" Id="rId21" /><Relationship Type="http://schemas.openxmlformats.org/officeDocument/2006/relationships/hyperlink" Target="http://www.reninnmed.com/" TargetMode="External" Id="rId22" /><Relationship Type="http://schemas.openxmlformats.org/officeDocument/2006/relationships/hyperlink" Target="https://icatalog.expocentr.ru/ru/exhibitions/de590dc5-417d-11ee-80ce-a0d3c1fab97f" TargetMode="External" Id="rId23" /><Relationship Type="http://schemas.openxmlformats.org/officeDocument/2006/relationships/hyperlink" Target="http://www.mk-klever.ru/" TargetMode="External" Id="rId24" /><Relationship Type="http://schemas.openxmlformats.org/officeDocument/2006/relationships/hyperlink" Target="https://icatalog.expocentr.ru/ru/exhibitions/de590dc5-417d-11ee-80ce-a0d3c1fab97f" TargetMode="External" Id="rId25" /><Relationship Type="http://schemas.openxmlformats.org/officeDocument/2006/relationships/hyperlink" Target="http://www.elmed-kzn.ru/" TargetMode="External" Id="rId26" /><Relationship Type="http://schemas.openxmlformats.org/officeDocument/2006/relationships/hyperlink" Target="https://icatalog.expocentr.ru/ru/exhibitions/de590dc5-417d-11ee-80ce-a0d3c1fab97f" TargetMode="External" Id="rId27" /><Relationship Type="http://schemas.openxmlformats.org/officeDocument/2006/relationships/hyperlink" Target="http://www.medison.ru/" TargetMode="External" Id="rId28" /><Relationship Type="http://schemas.openxmlformats.org/officeDocument/2006/relationships/hyperlink" Target="https://icatalog.expocentr.ru/ru/exhibitions/de590dc5-417d-11ee-80ce-a0d3c1fab97f" TargetMode="External" Id="rId29" /><Relationship Type="http://schemas.openxmlformats.org/officeDocument/2006/relationships/hyperlink" Target="http://sonomedica.ru/" TargetMode="External" Id="rId30" /><Relationship Type="http://schemas.openxmlformats.org/officeDocument/2006/relationships/hyperlink" Target="https://icatalog.expocentr.ru/ru/exhibitions/de590dc5-417d-11ee-80ce-a0d3c1fab97f" TargetMode="External" Id="rId31" /><Relationship Type="http://schemas.openxmlformats.org/officeDocument/2006/relationships/hyperlink" Target="http://medeq.ru/" TargetMode="External" Id="rId32" /><Relationship Type="http://schemas.openxmlformats.org/officeDocument/2006/relationships/hyperlink" Target="https://icatalog.expocentr.ru/ru/exhibitions/de590dc5-417d-11ee-80ce-a0d3c1fab97f" TargetMode="External" Id="rId33" /><Relationship Type="http://schemas.openxmlformats.org/officeDocument/2006/relationships/hyperlink" Target="http://uspekh.ru/" TargetMode="External" Id="rId34" /><Relationship Type="http://schemas.openxmlformats.org/officeDocument/2006/relationships/hyperlink" Target="https://icatalog.expocentr.ru/ru/exhibitions/de590dc5-417d-11ee-80ce-a0d3c1fab97f" TargetMode="External" Id="rId35" /><Relationship Type="http://schemas.openxmlformats.org/officeDocument/2006/relationships/hyperlink" Target="http://www.mosnerv.ru/" TargetMode="External" Id="rId36" /><Relationship Type="http://schemas.openxmlformats.org/officeDocument/2006/relationships/hyperlink" Target="https://icatalog.expocentr.ru/ru/exhibitions/de590dc5-417d-11ee-80ce-a0d3c1fab97f" TargetMode="External" Id="rId37" /><Relationship Type="http://schemas.openxmlformats.org/officeDocument/2006/relationships/hyperlink" Target="http://innobiosystems.com/" TargetMode="External" Id="rId38" /><Relationship Type="http://schemas.openxmlformats.org/officeDocument/2006/relationships/hyperlink" Target="https://icatalog.expocentr.ru/ru/exhibitions/de590dc5-417d-11ee-80ce-a0d3c1fab97f" TargetMode="External" Id="rId39" /><Relationship Type="http://schemas.openxmlformats.org/officeDocument/2006/relationships/hyperlink" Target="http://www.zmt-axion.ru/" TargetMode="External" Id="rId40" /><Relationship Type="http://schemas.openxmlformats.org/officeDocument/2006/relationships/hyperlink" Target="https://icatalog.expocentr.ru/ru/exhibitions/de590dc5-417d-11ee-80ce-a0d3c1fab97f" TargetMode="External" Id="rId41" /><Relationship Type="http://schemas.openxmlformats.org/officeDocument/2006/relationships/hyperlink" Target="http://www.mbn.ru/" TargetMode="External" Id="rId42" /><Relationship Type="http://schemas.openxmlformats.org/officeDocument/2006/relationships/hyperlink" Target="https://icatalog.expocentr.ru/ru/exhibitions/de590dc5-417d-11ee-80ce-a0d3c1fab97f" TargetMode="External" Id="rId43" /><Relationship Type="http://schemas.openxmlformats.org/officeDocument/2006/relationships/hyperlink" Target="http://www.miocard.ru/" TargetMode="External" Id="rId44" /><Relationship Type="http://schemas.openxmlformats.org/officeDocument/2006/relationships/hyperlink" Target="https://icatalog.expocentr.ru/ru/exhibitions/de590dc5-417d-11ee-80ce-a0d3c1fab97f" TargetMode="External" Id="rId45" /><Relationship Type="http://schemas.openxmlformats.org/officeDocument/2006/relationships/hyperlink" Target="https://focal-spot.ru/" TargetMode="External" Id="rId46" /><Relationship Type="http://schemas.openxmlformats.org/officeDocument/2006/relationships/hyperlink" Target="https://icatalog.expocentr.ru/ru/exhibitions/de590dc5-417d-11ee-80ce-a0d3c1fab97f" TargetMode="External" Id="rId47" /><Relationship Type="http://schemas.openxmlformats.org/officeDocument/2006/relationships/hyperlink" Target="https://medcustoms.ru/" TargetMode="External" Id="rId48" /><Relationship Type="http://schemas.openxmlformats.org/officeDocument/2006/relationships/hyperlink" Target="https://icatalog.expocentr.ru/ru/exhibitions/de590dc5-417d-11ee-80ce-a0d3c1fab97f" TargetMode="External" Id="rId49" /><Relationship Type="http://schemas.openxmlformats.org/officeDocument/2006/relationships/hyperlink" Target="http://medstrategy.ru/" TargetMode="External" Id="rId50" /><Relationship Type="http://schemas.openxmlformats.org/officeDocument/2006/relationships/hyperlink" Target="https://icatalog.expocentr.ru/ru/exhibitions/de590dc5-417d-11ee-80ce-a0d3c1fab97f" TargetMode="External" Id="rId51" /><Relationship Type="http://schemas.openxmlformats.org/officeDocument/2006/relationships/hyperlink" Target="https://avamedica.ru/" TargetMode="External" Id="rId52" /><Relationship Type="http://schemas.openxmlformats.org/officeDocument/2006/relationships/hyperlink" Target="https://icatalog.expocentr.ru/ru/exhibitions/de590dc5-417d-11ee-80ce-a0d3c1fab97f" TargetMode="External" Id="rId53" /><Relationship Type="http://schemas.openxmlformats.org/officeDocument/2006/relationships/hyperlink" Target="http://www.sonorus.ru/" TargetMode="External" Id="rId54" /><Relationship Type="http://schemas.openxmlformats.org/officeDocument/2006/relationships/hyperlink" Target="https://icatalog.expocentr.ru/ru/exhibitions/de590dc5-417d-11ee-80ce-a0d3c1fab97f" TargetMode="External" Id="rId55" /><Relationship Type="http://schemas.openxmlformats.org/officeDocument/2006/relationships/hyperlink" Target="https://rusmedcompany.ru/" TargetMode="External" Id="rId56" /><Relationship Type="http://schemas.openxmlformats.org/officeDocument/2006/relationships/hyperlink" Target="https://icatalog.expocentr.ru/ru/exhibitions/de590dc5-417d-11ee-80ce-a0d3c1fab97f" TargetMode="External" Id="rId57" /><Relationship Type="http://schemas.openxmlformats.org/officeDocument/2006/relationships/hyperlink" Target="http://www.mitsar-eeg.ru/" TargetMode="External" Id="rId58" /><Relationship Type="http://schemas.openxmlformats.org/officeDocument/2006/relationships/hyperlink" Target="https://icatalog.expocentr.ru/ru/exhibitions/de590dc5-417d-11ee-80ce-a0d3c1fab97f" TargetMode="External" Id="rId59" /><Relationship Type="http://schemas.openxmlformats.org/officeDocument/2006/relationships/hyperlink" Target="http://www.astrocard-meditek.ru/" TargetMode="External" Id="rId60" /><Relationship Type="http://schemas.openxmlformats.org/officeDocument/2006/relationships/hyperlink" Target="https://icatalog.expocentr.ru/ru/exhibitions/de590dc5-417d-11ee-80ce-a0d3c1fab97f" TargetMode="External" Id="rId61" /><Relationship Type="http://schemas.openxmlformats.org/officeDocument/2006/relationships/hyperlink" Target="http://valenta.spb.ru/" TargetMode="External" Id="rId62" /><Relationship Type="http://schemas.openxmlformats.org/officeDocument/2006/relationships/hyperlink" Target="https://icatalog.expocentr.ru/ru/exhibitions/de590dc5-417d-11ee-80ce-a0d3c1fab97f" TargetMode="External" Id="rId63" /><Relationship Type="http://schemas.openxmlformats.org/officeDocument/2006/relationships/hyperlink" Target="http://www.spectrumllc.org/" TargetMode="External" Id="rId64" /><Relationship Type="http://schemas.openxmlformats.org/officeDocument/2006/relationships/hyperlink" Target="https://icatalog.expocentr.ru/ru/exhibitions/de590dc5-417d-11ee-80ce-a0d3c1fab97f" TargetMode="External" Id="rId65" /><Relationship Type="http://schemas.openxmlformats.org/officeDocument/2006/relationships/hyperlink" Target="http://zaslon.ru/" TargetMode="External" Id="rId66" /><Relationship Type="http://schemas.openxmlformats.org/officeDocument/2006/relationships/hyperlink" Target="https://icatalog.expocentr.ru/ru/exhibitions/de590dc5-417d-11ee-80ce-a0d3c1fab97f" TargetMode="External" Id="rId67" /><Relationship Type="http://schemas.openxmlformats.org/officeDocument/2006/relationships/hyperlink" Target="http://dm-group.org/" TargetMode="External" Id="rId68" /><Relationship Type="http://schemas.openxmlformats.org/officeDocument/2006/relationships/hyperlink" Target="https://icatalog.expocentr.ru/ru/exhibitions/de590dc5-417d-11ee-80ce-a0d3c1fab97f" TargetMode="External" Id="rId69" /><Relationship Type="http://schemas.openxmlformats.org/officeDocument/2006/relationships/hyperlink" Target="http://www.medscanner.ru/" TargetMode="External" Id="rId70" /><Relationship Type="http://schemas.openxmlformats.org/officeDocument/2006/relationships/hyperlink" Target="https://icatalog.expocentr.ru/ru/exhibitions/de590dc5-417d-11ee-80ce-a0d3c1fab97f" TargetMode="External" Id="rId71" /><Relationship Type="http://schemas.openxmlformats.org/officeDocument/2006/relationships/hyperlink" Target="https://franom.ru/" TargetMode="External" Id="rId72" /><Relationship Type="http://schemas.openxmlformats.org/officeDocument/2006/relationships/hyperlink" Target="https://icatalog.expocentr.ru/ru/exhibitions/de590dc5-417d-11ee-80ce-a0d3c1fab97f" TargetMode="External" Id="rId73" /><Relationship Type="http://schemas.openxmlformats.org/officeDocument/2006/relationships/hyperlink" Target="http://www.fotek.ru/" TargetMode="External" Id="rId74" /><Relationship Type="http://schemas.openxmlformats.org/officeDocument/2006/relationships/hyperlink" Target="https://icatalog.expocentr.ru/ru/exhibitions/de590dc5-417d-11ee-80ce-a0d3c1fab97f" TargetMode="External" Id="rId75" /><Relationship Type="http://schemas.openxmlformats.org/officeDocument/2006/relationships/hyperlink" Target="http://www.cardian.by/" TargetMode="External" Id="rId76" /><Relationship Type="http://schemas.openxmlformats.org/officeDocument/2006/relationships/hyperlink" Target="https://icatalog.expocentr.ru/ru/exhibitions/de590dc5-417d-11ee-80ce-a0d3c1fab97f" TargetMode="External" Id="rId77" /><Relationship Type="http://schemas.openxmlformats.org/officeDocument/2006/relationships/hyperlink" Target="http://www.sante.ru/" TargetMode="External" Id="rId78" /><Relationship Type="http://schemas.openxmlformats.org/officeDocument/2006/relationships/hyperlink" Target="https://icatalog.expocentr.ru/ru/exhibitions/de590dc5-417d-11ee-80ce-a0d3c1fab97f" TargetMode="External" Id="rId79" /><Relationship Type="http://schemas.openxmlformats.org/officeDocument/2006/relationships/hyperlink" Target="https://www.premium-a.ru/" TargetMode="External" Id="rId80" /><Relationship Type="http://schemas.openxmlformats.org/officeDocument/2006/relationships/hyperlink" Target="https://icatalog.expocentr.ru/ru/exhibitions/de590dc5-417d-11ee-80ce-a0d3c1fab97f" TargetMode="External" Id="rId81" /><Relationship Type="http://schemas.openxmlformats.org/officeDocument/2006/relationships/hyperlink" Target="http://rg.sedspb.ru/" TargetMode="External" Id="rId82" /><Relationship Type="http://schemas.openxmlformats.org/officeDocument/2006/relationships/hyperlink" Target="https://icatalog.expocentr.ru/ru/exhibitions/de590dc5-417d-11ee-80ce-a0d3c1fab97f" TargetMode="External" Id="rId83" /><Relationship Type="http://schemas.openxmlformats.org/officeDocument/2006/relationships/hyperlink" Target="https://activ-medica.ru/" TargetMode="External" Id="rId84" /><Relationship Type="http://schemas.openxmlformats.org/officeDocument/2006/relationships/hyperlink" Target="https://icatalog.expocentr.ru/ru/exhibitions/de590dc5-417d-11ee-80ce-a0d3c1fab97f" TargetMode="External" Id="rId85" /><Relationship Type="http://schemas.openxmlformats.org/officeDocument/2006/relationships/hyperlink" Target="http://zerts.ru/" TargetMode="External" Id="rId86" /><Relationship Type="http://schemas.openxmlformats.org/officeDocument/2006/relationships/hyperlink" Target="https://icatalog.expocentr.ru/ru/exhibitions/de590dc5-417d-11ee-80ce-a0d3c1fab97f" TargetMode="External" Id="rId87" /><Relationship Type="http://schemas.openxmlformats.org/officeDocument/2006/relationships/hyperlink" Target="http://www.tako-line.ru/" TargetMode="External" Id="rId88" /><Relationship Type="http://schemas.openxmlformats.org/officeDocument/2006/relationships/hyperlink" Target="https://icatalog.expocentr.ru/ru/exhibitions/de590dc5-417d-11ee-80ce-a0d3c1fab97f" TargetMode="External" Id="rId89" /><Relationship Type="http://schemas.openxmlformats.org/officeDocument/2006/relationships/hyperlink" Target="http://www.aktubrentgen.ru/" TargetMode="External" Id="rId90" /><Relationship Type="http://schemas.openxmlformats.org/officeDocument/2006/relationships/hyperlink" Target="https://icatalog.expocentr.ru/ru/exhibitions/de590dc5-417d-11ee-80ce-a0d3c1fab97f" TargetMode="External" Id="rId91" /><Relationship Type="http://schemas.openxmlformats.org/officeDocument/2006/relationships/hyperlink" Target="http://www.super-imaging.com/" TargetMode="External" Id="rId92" /><Relationship Type="http://schemas.openxmlformats.org/officeDocument/2006/relationships/hyperlink" Target="https://icatalog.expocentr.ru/ru/exhibitions/de590dc5-417d-11ee-80ce-a0d3c1fab97f" TargetMode="External" Id="rId93" /><Relationship Type="http://schemas.openxmlformats.org/officeDocument/2006/relationships/hyperlink" Target="https://icatalog.expocentr.ru/ru/exhibitions/de590dc5-417d-11ee-80ce-a0d3c1fab97f" TargetMode="External" Id="rId94" /><Relationship Type="http://schemas.openxmlformats.org/officeDocument/2006/relationships/hyperlink" Target="http://www.heine-opto.ru/" TargetMode="External" Id="rId95" /><Relationship Type="http://schemas.openxmlformats.org/officeDocument/2006/relationships/hyperlink" Target="https://icatalog.expocentr.ru/ru/exhibitions/de590dc5-417d-11ee-80ce-a0d3c1fab97f" TargetMode="External" Id="rId96" /><Relationship Type="http://schemas.openxmlformats.org/officeDocument/2006/relationships/hyperlink" Target="http://www.elmedica.ru/" TargetMode="External" Id="rId97" /><Relationship Type="http://schemas.openxmlformats.org/officeDocument/2006/relationships/hyperlink" Target="https://icatalog.expocentr.ru/ru/exhibitions/de590dc5-417d-11ee-80ce-a0d3c1fab97f" TargetMode="External" Id="rId98" /><Relationship Type="http://schemas.openxmlformats.org/officeDocument/2006/relationships/hyperlink" Target="http://iae.it/" TargetMode="External" Id="rId99" /><Relationship Type="http://schemas.openxmlformats.org/officeDocument/2006/relationships/hyperlink" Target="https://icatalog.expocentr.ru/ru/exhibitions/de590dc5-417d-11ee-80ce-a0d3c1fab97f" TargetMode="External" Id="rId100" /><Relationship Type="http://schemas.openxmlformats.org/officeDocument/2006/relationships/hyperlink" Target="http://www.endocentr.tech/" TargetMode="External" Id="rId101" /><Relationship Type="http://schemas.openxmlformats.org/officeDocument/2006/relationships/hyperlink" Target="https://icatalog.expocentr.ru/ru/exhibitions/de590dc5-417d-11ee-80ce-a0d3c1fab97f" TargetMode="External" Id="rId102" /><Relationship Type="http://schemas.openxmlformats.org/officeDocument/2006/relationships/hyperlink" Target="https://webclinic.ru/" TargetMode="External" Id="rId103" /><Relationship Type="http://schemas.openxmlformats.org/officeDocument/2006/relationships/hyperlink" Target="https://icatalog.expocentr.ru/ru/exhibitions/de590dc5-417d-11ee-80ce-a0d3c1fab97f" TargetMode="External" Id="rId104" /><Relationship Type="http://schemas.openxmlformats.org/officeDocument/2006/relationships/hyperlink" Target="https://swissspinesolution.ru/" TargetMode="External" Id="rId105" /><Relationship Type="http://schemas.openxmlformats.org/officeDocument/2006/relationships/hyperlink" Target="https://icatalog.expocentr.ru/ru/exhibitions/de590dc5-417d-11ee-80ce-a0d3c1fab97f" TargetMode="External" Id="rId106" /><Relationship Type="http://schemas.openxmlformats.org/officeDocument/2006/relationships/hyperlink" Target="https://els-med.ru/" TargetMode="External" Id="rId107" /><Relationship Type="http://schemas.openxmlformats.org/officeDocument/2006/relationships/hyperlink" Target="https://icatalog.expocentr.ru/ru/exhibitions/de590dc5-417d-11ee-80ce-a0d3c1fab97f" TargetMode="External" Id="rId108" /><Relationship Type="http://schemas.openxmlformats.org/officeDocument/2006/relationships/hyperlink" Target="https://sonder-tula.ru/" TargetMode="External" Id="rId109" /><Relationship Type="http://schemas.openxmlformats.org/officeDocument/2006/relationships/hyperlink" Target="https://icatalog.expocentr.ru/ru/exhibitions/de590dc5-417d-11ee-80ce-a0d3c1fab97f" TargetMode="External" Id="rId110" /><Relationship Type="http://schemas.openxmlformats.org/officeDocument/2006/relationships/hyperlink" Target="http://www.belintelmed.by/" TargetMode="External" Id="rId111" /><Relationship Type="http://schemas.openxmlformats.org/officeDocument/2006/relationships/hyperlink" Target="https://icatalog.expocentr.ru/ru/exhibitions/de590dc5-417d-11ee-80ce-a0d3c1fab97f" TargetMode="External" Id="rId112" /><Relationship Type="http://schemas.openxmlformats.org/officeDocument/2006/relationships/hyperlink" Target="http://www.amico.ru/" TargetMode="External" Id="rId113" /><Relationship Type="http://schemas.openxmlformats.org/officeDocument/2006/relationships/hyperlink" Target="https://icatalog.expocentr.ru/ru/exhibitions/de590dc5-417d-11ee-80ce-a0d3c1fab97f" TargetMode="External" Id="rId114" /><Relationship Type="http://schemas.openxmlformats.org/officeDocument/2006/relationships/hyperlink" Target="http://www.analitika-m.ru/" TargetMode="External" Id="rId115" /><Relationship Type="http://schemas.openxmlformats.org/officeDocument/2006/relationships/hyperlink" Target="https://icatalog.expocentr.ru/ru/exhibitions/de590dc5-417d-11ee-80ce-a0d3c1fab97f" TargetMode="External" Id="rId116" /><Relationship Type="http://schemas.openxmlformats.org/officeDocument/2006/relationships/hyperlink" Target="http://med-nnz.ru/" TargetMode="External" Id="rId117" /><Relationship Type="http://schemas.openxmlformats.org/officeDocument/2006/relationships/hyperlink" Target="https://icatalog.expocentr.ru/ru/exhibitions/de590dc5-417d-11ee-80ce-a0d3c1fab97f" TargetMode="External" Id="rId118" /><Relationship Type="http://schemas.openxmlformats.org/officeDocument/2006/relationships/hyperlink" Target="http://www.yuwell.com/" TargetMode="External" Id="rId119" /><Relationship Type="http://schemas.openxmlformats.org/officeDocument/2006/relationships/hyperlink" Target="https://icatalog.expocentr.ru/ru/exhibitions/de590dc5-417d-11ee-80ce-a0d3c1fab97f" TargetMode="External" Id="rId120" /><Relationship Type="http://schemas.openxmlformats.org/officeDocument/2006/relationships/hyperlink" Target="https://rustomograf.ru/" TargetMode="External" Id="rId121" /><Relationship Type="http://schemas.openxmlformats.org/officeDocument/2006/relationships/hyperlink" Target="https://icatalog.expocentr.ru/ru/exhibitions/de590dc5-417d-11ee-80ce-a0d3c1fab97f" TargetMode="External" Id="rId122" /><Relationship Type="http://schemas.openxmlformats.org/officeDocument/2006/relationships/hyperlink" Target="http://www.oooinvent.ru/" TargetMode="External" Id="rId123" /><Relationship Type="http://schemas.openxmlformats.org/officeDocument/2006/relationships/hyperlink" Target="https://icatalog.expocentr.ru/ru/exhibitions/de590dc5-417d-11ee-80ce-a0d3c1fab97f" TargetMode="External" Id="rId124" /><Relationship Type="http://schemas.openxmlformats.org/officeDocument/2006/relationships/hyperlink" Target="http://www.doza.ru/" TargetMode="External" Id="rId125" /><Relationship Type="http://schemas.openxmlformats.org/officeDocument/2006/relationships/hyperlink" Target="https://icatalog.expocentr.ru/ru/exhibitions/de590dc5-417d-11ee-80ce-a0d3c1fab97f" TargetMode="External" Id="rId126" /><Relationship Type="http://schemas.openxmlformats.org/officeDocument/2006/relationships/hyperlink" Target="http://www.ema.su/" TargetMode="External" Id="rId127" /><Relationship Type="http://schemas.openxmlformats.org/officeDocument/2006/relationships/hyperlink" Target="https://icatalog.expocentr.ru/ru/exhibitions/de590dc5-417d-11ee-80ce-a0d3c1fab97f" TargetMode="External" Id="rId128" /><Relationship Type="http://schemas.openxmlformats.org/officeDocument/2006/relationships/hyperlink" Target="http://www.argus-ds.ru/" TargetMode="External" Id="rId129" /><Relationship Type="http://schemas.openxmlformats.org/officeDocument/2006/relationships/hyperlink" Target="https://icatalog.expocentr.ru/ru/exhibitions/de590dc5-417d-11ee-80ce-a0d3c1fab97f" TargetMode="External" Id="rId130" /><Relationship Type="http://schemas.openxmlformats.org/officeDocument/2006/relationships/hyperlink" Target="http://tomograph.pro/" TargetMode="External" Id="rId131" /><Relationship Type="http://schemas.openxmlformats.org/officeDocument/2006/relationships/hyperlink" Target="https://icatalog.expocentr.ru/ru/exhibitions/de590dc5-417d-11ee-80ce-a0d3c1fab97f" TargetMode="External" Id="rId132" /><Relationship Type="http://schemas.openxmlformats.org/officeDocument/2006/relationships/hyperlink" Target="http://www.medsystems.ru/" TargetMode="External" Id="rId133" /><Relationship Type="http://schemas.openxmlformats.org/officeDocument/2006/relationships/hyperlink" Target="https://icatalog.expocentr.ru/ru/exhibitions/de590dc5-417d-11ee-80ce-a0d3c1fab97f" TargetMode="External" Id="rId134" /><Relationship Type="http://schemas.openxmlformats.org/officeDocument/2006/relationships/hyperlink" Target="http://www.medliga.ru/" TargetMode="External" Id="rId135" /><Relationship Type="http://schemas.openxmlformats.org/officeDocument/2006/relationships/hyperlink" Target="https://icatalog.expocentr.ru/ru/exhibitions/de590dc5-417d-11ee-80ce-a0d3c1fab97f" TargetMode="External" Id="rId136" /><Relationship Type="http://schemas.openxmlformats.org/officeDocument/2006/relationships/hyperlink" Target="https://eurotech.ru/" TargetMode="External" Id="rId137" /><Relationship Type="http://schemas.openxmlformats.org/officeDocument/2006/relationships/hyperlink" Target="https://icatalog.expocentr.ru/ru/exhibitions/de590dc5-417d-11ee-80ce-a0d3c1fab97f" TargetMode="External" Id="rId138" /><Relationship Type="http://schemas.openxmlformats.org/officeDocument/2006/relationships/hyperlink" Target="https://ctccapital.ru/" TargetMode="External" Id="rId139" /><Relationship Type="http://schemas.openxmlformats.org/officeDocument/2006/relationships/hyperlink" Target="https://icatalog.expocentr.ru/ru/exhibitions/de590dc5-417d-11ee-80ce-a0d3c1fab97f" TargetMode="External" Id="rId140" /><Relationship Type="http://schemas.openxmlformats.org/officeDocument/2006/relationships/hyperlink" Target="http://www.siui.com/" TargetMode="External" Id="rId141" /><Relationship Type="http://schemas.openxmlformats.org/officeDocument/2006/relationships/hyperlink" Target="https://icatalog.expocentr.ru/ru/exhibitions/de590dc5-417d-11ee-80ce-a0d3c1fab97f" TargetMode="External" Id="rId142" /><Relationship Type="http://schemas.openxmlformats.org/officeDocument/2006/relationships/hyperlink" Target="http://www.pole96.ru/" TargetMode="External" Id="rId143" /><Relationship Type="http://schemas.openxmlformats.org/officeDocument/2006/relationships/hyperlink" Target="https://icatalog.expocentr.ru/ru/exhibitions/de590dc5-417d-11ee-80ce-a0d3c1fab97f" TargetMode="External" Id="rId144" /><Relationship Type="http://schemas.openxmlformats.org/officeDocument/2006/relationships/hyperlink" Target="http://www.cryotec.ru/" TargetMode="External" Id="rId145" /><Relationship Type="http://schemas.openxmlformats.org/officeDocument/2006/relationships/hyperlink" Target="https://icatalog.expocentr.ru/ru/exhibitions/de590dc5-417d-11ee-80ce-a0d3c1fab97f" TargetMode="External" Id="rId146" /><Relationship Type="http://schemas.openxmlformats.org/officeDocument/2006/relationships/hyperlink" Target="https://medicalcom.ru/" TargetMode="External" Id="rId147" /><Relationship Type="http://schemas.openxmlformats.org/officeDocument/2006/relationships/hyperlink" Target="https://icatalog.expocentr.ru/ru/exhibitions/de590dc5-417d-11ee-80ce-a0d3c1fab97f" TargetMode="External" Id="rId148" /><Relationship Type="http://schemas.openxmlformats.org/officeDocument/2006/relationships/hyperlink" Target="http://www.inmed.ru/" TargetMode="External" Id="rId149" /><Relationship Type="http://schemas.openxmlformats.org/officeDocument/2006/relationships/hyperlink" Target="https://icatalog.expocentr.ru/ru/exhibitions/de590dc5-417d-11ee-80ce-a0d3c1fab97f" TargetMode="External" Id="rId150" /><Relationship Type="http://schemas.openxmlformats.org/officeDocument/2006/relationships/hyperlink" Target="https://goldident.ru/" TargetMode="External" Id="rId151" /><Relationship Type="http://schemas.openxmlformats.org/officeDocument/2006/relationships/hyperlink" Target="https://icatalog.expocentr.ru/ru/exhibitions/de590dc5-417d-11ee-80ce-a0d3c1fab97f" TargetMode="External" Id="rId152" /><Relationship Type="http://schemas.openxmlformats.org/officeDocument/2006/relationships/hyperlink" Target="http://www.mttechnica.ru/" TargetMode="External" Id="rId153" /><Relationship Type="http://schemas.openxmlformats.org/officeDocument/2006/relationships/hyperlink" Target="https://icatalog.expocentr.ru/ru/exhibitions/de590dc5-417d-11ee-80ce-a0d3c1fab97f" TargetMode="External" Id="rId154" /><Relationship Type="http://schemas.openxmlformats.org/officeDocument/2006/relationships/hyperlink" Target="http://www.anokmt.ru/" TargetMode="External" Id="rId155" /><Relationship Type="http://schemas.openxmlformats.org/officeDocument/2006/relationships/hyperlink" Target="https://icatalog.expocentr.ru/ru/exhibitions/de590dc5-417d-11ee-80ce-a0d3c1fab97f" TargetMode="External" Id="rId156" /><Relationship Type="http://schemas.openxmlformats.org/officeDocument/2006/relationships/hyperlink" Target="https://icatalog.expocentr.ru/ru/exhibitions/de590dc5-417d-11ee-80ce-a0d3c1fab97f" TargetMode="External" Id="rId157" /><Relationship Type="http://schemas.openxmlformats.org/officeDocument/2006/relationships/hyperlink" Target="https://icatalog.expocentr.ru/ru/exhibitions/de590dc5-417d-11ee-80ce-a0d3c1fab97f" TargetMode="External" Id="rId158" /><Relationship Type="http://schemas.openxmlformats.org/officeDocument/2006/relationships/hyperlink" Target="https://gkvector.com/" TargetMode="External" Id="rId159" /><Relationship Type="http://schemas.openxmlformats.org/officeDocument/2006/relationships/hyperlink" Target="https://icatalog.expocentr.ru/ru/exhibitions/de590dc5-417d-11ee-80ce-a0d3c1fab97f" TargetMode="External" Id="rId160" /><Relationship Type="http://schemas.openxmlformats.org/officeDocument/2006/relationships/hyperlink" Target="http://www.rpharm.ru/" TargetMode="External" Id="rId161" /><Relationship Type="http://schemas.openxmlformats.org/officeDocument/2006/relationships/hyperlink" Target="https://icatalog.expocentr.ru/ru/exhibitions/de590dc5-417d-11ee-80ce-a0d3c1fab97f" TargetMode="External" Id="rId162" /><Relationship Type="http://schemas.openxmlformats.org/officeDocument/2006/relationships/hyperlink" Target="http://www.almaz-antey.ru/" TargetMode="External" Id="rId163" /><Relationship Type="http://schemas.openxmlformats.org/officeDocument/2006/relationships/hyperlink" Target="https://icatalog.expocentr.ru/ru/exhibitions/de590dc5-417d-11ee-80ce-a0d3c1fab97f" TargetMode="External" Id="rId164" /><Relationship Type="http://schemas.openxmlformats.org/officeDocument/2006/relationships/hyperlink" Target="https://southmedica.ru/" TargetMode="External" Id="rId165" /><Relationship Type="http://schemas.openxmlformats.org/officeDocument/2006/relationships/hyperlink" Target="https://icatalog.expocentr.ru/ru/exhibitions/de590dc5-417d-11ee-80ce-a0d3c1fab97f" TargetMode="External" Id="rId166" /><Relationship Type="http://schemas.openxmlformats.org/officeDocument/2006/relationships/hyperlink" Target="https://siti-med.com/" TargetMode="External" Id="rId167" /><Relationship Type="http://schemas.openxmlformats.org/officeDocument/2006/relationships/hyperlink" Target="https://icatalog.expocentr.ru/ru/exhibitions/de590dc5-417d-11ee-80ce-a0d3c1fab97f" TargetMode="External" Id="rId168" /><Relationship Type="http://schemas.openxmlformats.org/officeDocument/2006/relationships/hyperlink" Target="https://cpm.center/" TargetMode="External" Id="rId169" /><Relationship Type="http://schemas.openxmlformats.org/officeDocument/2006/relationships/hyperlink" Target="https://icatalog.expocentr.ru/ru/exhibitions/de590dc5-417d-11ee-80ce-a0d3c1fab97f" TargetMode="External" Id="rId170" /><Relationship Type="http://schemas.openxmlformats.org/officeDocument/2006/relationships/hyperlink" Target="http://formed.ru/" TargetMode="External" Id="rId171" /><Relationship Type="http://schemas.openxmlformats.org/officeDocument/2006/relationships/hyperlink" Target="https://icatalog.expocentr.ru/ru/exhibitions/de590dc5-417d-11ee-80ce-a0d3c1fab97f" TargetMode="External" Id="rId172" /><Relationship Type="http://schemas.openxmlformats.org/officeDocument/2006/relationships/hyperlink" Target="https://cordismed.ru/" TargetMode="External" Id="rId173" /><Relationship Type="http://schemas.openxmlformats.org/officeDocument/2006/relationships/hyperlink" Target="https://icatalog.expocentr.ru/ru/exhibitions/de590dc5-417d-11ee-80ce-a0d3c1fab97f" TargetMode="External" Id="rId174" /><Relationship Type="http://schemas.openxmlformats.org/officeDocument/2006/relationships/hyperlink" Target="http://www.grandmedgroup.ru/" TargetMode="External" Id="rId175" /><Relationship Type="http://schemas.openxmlformats.org/officeDocument/2006/relationships/hyperlink" Target="https://icatalog.expocentr.ru/ru/exhibitions/de590dc5-417d-11ee-80ce-a0d3c1fab97f" TargetMode="External" Id="rId176" /><Relationship Type="http://schemas.openxmlformats.org/officeDocument/2006/relationships/hyperlink" Target="http://www.electronxray.com/" TargetMode="External" Id="rId177" /><Relationship Type="http://schemas.openxmlformats.org/officeDocument/2006/relationships/hyperlink" Target="https://icatalog.expocentr.ru/ru/exhibitions/de590dc5-417d-11ee-80ce-a0d3c1fab97f" TargetMode="External" Id="rId178" /><Relationship Type="http://schemas.openxmlformats.org/officeDocument/2006/relationships/hyperlink" Target="http://www.357.pro/" TargetMode="External" Id="rId179" /><Relationship Type="http://schemas.openxmlformats.org/officeDocument/2006/relationships/hyperlink" Target="https://icatalog.expocentr.ru/ru/exhibitions/de590dc5-417d-11ee-80ce-a0d3c1fab97f" TargetMode="External" Id="rId180" /><Relationship Type="http://schemas.openxmlformats.org/officeDocument/2006/relationships/hyperlink" Target="http://www.paritet-moscow.ru/" TargetMode="External" Id="rId181" /><Relationship Type="http://schemas.openxmlformats.org/officeDocument/2006/relationships/hyperlink" Target="https://icatalog.expocentr.ru/ru/exhibitions/de590dc5-417d-11ee-80ce-a0d3c1fab97f" TargetMode="External" Id="rId182" /><Relationship Type="http://schemas.openxmlformats.org/officeDocument/2006/relationships/hyperlink" Target="http://www.monitor-ltd.ru/" TargetMode="External" Id="rId183" /><Relationship Type="http://schemas.openxmlformats.org/officeDocument/2006/relationships/hyperlink" Target="https://icatalog.expocentr.ru/ru/exhibitions/de590dc5-417d-11ee-80ce-a0d3c1fab97f" TargetMode="External" Id="rId184" /><Relationship Type="http://schemas.openxmlformats.org/officeDocument/2006/relationships/hyperlink" Target="https://medal.group/" TargetMode="External" Id="rId185" /><Relationship Type="http://schemas.openxmlformats.org/officeDocument/2006/relationships/hyperlink" Target="https://icatalog.expocentr.ru/ru/exhibitions/de590dc5-417d-11ee-80ce-a0d3c1fab97f" TargetMode="External" Id="rId186" /><Relationship Type="http://schemas.openxmlformats.org/officeDocument/2006/relationships/hyperlink" Target="http://www.bimcvol.ru/" TargetMode="External" Id="rId187" /><Relationship Type="http://schemas.openxmlformats.org/officeDocument/2006/relationships/hyperlink" Target="https://icatalog.expocentr.ru/ru/exhibitions/de590dc5-417d-11ee-80ce-a0d3c1fab97f" TargetMode="External" Id="rId188" /><Relationship Type="http://schemas.openxmlformats.org/officeDocument/2006/relationships/hyperlink" Target="http://endomedi.ru/" TargetMode="External" Id="rId189" /><Relationship Type="http://schemas.openxmlformats.org/officeDocument/2006/relationships/hyperlink" Target="https://icatalog.expocentr.ru/ru/exhibitions/de590dc5-417d-11ee-80ce-a0d3c1fab97f" TargetMode="External" Id="rId190" /><Relationship Type="http://schemas.openxmlformats.org/officeDocument/2006/relationships/hyperlink" Target="https://medteh.ru/" TargetMode="External" Id="rId191" /><Relationship Type="http://schemas.openxmlformats.org/officeDocument/2006/relationships/hyperlink" Target="https://icatalog.expocentr.ru/ru/exhibitions/de590dc5-417d-11ee-80ce-a0d3c1fab97f" TargetMode="External" Id="rId192" /><Relationship Type="http://schemas.openxmlformats.org/officeDocument/2006/relationships/hyperlink" Target="http://www.infomed.com.ru/" TargetMode="External" Id="rId193" /><Relationship Type="http://schemas.openxmlformats.org/officeDocument/2006/relationships/hyperlink" Target="https://icatalog.expocentr.ru/ru/exhibitions/de590dc5-417d-11ee-80ce-a0d3c1fab97f" TargetMode="External" Id="rId194" /><Relationship Type="http://schemas.openxmlformats.org/officeDocument/2006/relationships/hyperlink" Target="http://gmgrus.ru/" TargetMode="External" Id="rId195" /><Relationship Type="http://schemas.openxmlformats.org/officeDocument/2006/relationships/hyperlink" Target="https://icatalog.expocentr.ru/ru/exhibitions/de590dc5-417d-11ee-80ce-a0d3c1fab97f" TargetMode="External" Id="rId196" /><Relationship Type="http://schemas.openxmlformats.org/officeDocument/2006/relationships/hyperlink" Target="http://www.pharmster.com/" TargetMode="External" Id="rId197" /><Relationship Type="http://schemas.openxmlformats.org/officeDocument/2006/relationships/hyperlink" Target="https://icatalog.expocentr.ru/ru/exhibitions/de590dc5-417d-11ee-80ce-a0d3c1fab97f" TargetMode="External" Id="rId198" /><Relationship Type="http://schemas.openxmlformats.org/officeDocument/2006/relationships/hyperlink" Target="https://icatalog.expocentr.ru/ru/exhibitions/de590dc5-417d-11ee-80ce-a0d3c1fab97f" TargetMode="External" Id="rId199" /><Relationship Type="http://schemas.openxmlformats.org/officeDocument/2006/relationships/hyperlink" Target="http://www.avtodom73.ru/" TargetMode="External" Id="rId200" /><Relationship Type="http://schemas.openxmlformats.org/officeDocument/2006/relationships/hyperlink" Target="https://icatalog.expocentr.ru/ru/exhibitions/de590dc5-417d-11ee-80ce-a0d3c1fab97f" TargetMode="External" Id="rId201" /><Relationship Type="http://schemas.openxmlformats.org/officeDocument/2006/relationships/hyperlink" Target="https://icatalog.expocentr.ru/ru/exhibitions/de590dc5-417d-11ee-80ce-a0d3c1fab97f" TargetMode="External" Id="rId202" /><Relationship Type="http://schemas.openxmlformats.org/officeDocument/2006/relationships/hyperlink" Target="http://www.endo.video/" TargetMode="External" Id="rId203" /><Relationship Type="http://schemas.openxmlformats.org/officeDocument/2006/relationships/hyperlink" Target="https://icatalog.expocentr.ru/ru/exhibitions/de590dc5-417d-11ee-80ce-a0d3c1fab97f" TargetMode="External" Id="rId204" /><Relationship Type="http://schemas.openxmlformats.org/officeDocument/2006/relationships/hyperlink" Target="http://www.medical112.ru/" TargetMode="External" Id="rId205" /><Relationship Type="http://schemas.openxmlformats.org/officeDocument/2006/relationships/hyperlink" Target="https://icatalog.expocentr.ru/ru/exhibitions/de590dc5-417d-11ee-80ce-a0d3c1fab97f" TargetMode="External" Id="rId206" /><Relationship Type="http://schemas.openxmlformats.org/officeDocument/2006/relationships/hyperlink" Target="http://www.ophimed.ru/" TargetMode="External" Id="rId207" /><Relationship Type="http://schemas.openxmlformats.org/officeDocument/2006/relationships/hyperlink" Target="https://icatalog.expocentr.ru/ru/exhibitions/de590dc5-417d-11ee-80ce-a0d3c1fab97f" TargetMode="External" Id="rId208" /><Relationship Type="http://schemas.openxmlformats.org/officeDocument/2006/relationships/hyperlink" Target="http://www.omt-ural.ru/" TargetMode="External" Id="rId209" /><Relationship Type="http://schemas.openxmlformats.org/officeDocument/2006/relationships/hyperlink" Target="https://icatalog.expocentr.ru/ru/exhibitions/de590dc5-417d-11ee-80ce-a0d3c1fab97f" TargetMode="External" Id="rId210" /><Relationship Type="http://schemas.openxmlformats.org/officeDocument/2006/relationships/hyperlink" Target="http://www.stormoff.com/" TargetMode="External" Id="rId211" /><Relationship Type="http://schemas.openxmlformats.org/officeDocument/2006/relationships/hyperlink" Target="https://icatalog.expocentr.ru/ru/exhibitions/de590dc5-417d-11ee-80ce-a0d3c1fab97f" TargetMode="External" Id="rId212" /><Relationship Type="http://schemas.openxmlformats.org/officeDocument/2006/relationships/hyperlink" Target="https://zelmedservice.ru/" TargetMode="External" Id="rId213" /><Relationship Type="http://schemas.openxmlformats.org/officeDocument/2006/relationships/hyperlink" Target="https://icatalog.expocentr.ru/ru/exhibitions/de590dc5-417d-11ee-80ce-a0d3c1fab97f" TargetMode="External" Id="rId214" /><Relationship Type="http://schemas.openxmlformats.org/officeDocument/2006/relationships/hyperlink" Target="http://technomedgroup.ru/" TargetMode="External" Id="rId215" /><Relationship Type="http://schemas.openxmlformats.org/officeDocument/2006/relationships/hyperlink" Target="https://icatalog.expocentr.ru/ru/exhibitions/de590dc5-417d-11ee-80ce-a0d3c1fab97f" TargetMode="External" Id="rId216" /><Relationship Type="http://schemas.openxmlformats.org/officeDocument/2006/relationships/hyperlink" Target="https://kc-prof.ru/" TargetMode="External" Id="rId217" /><Relationship Type="http://schemas.openxmlformats.org/officeDocument/2006/relationships/hyperlink" Target="https://icatalog.expocentr.ru/ru/exhibitions/de590dc5-417d-11ee-80ce-a0d3c1fab97f" TargetMode="External" Id="rId218" /><Relationship Type="http://schemas.openxmlformats.org/officeDocument/2006/relationships/hyperlink" Target="https://mrtprofi.ru/" TargetMode="External" Id="rId219" /><Relationship Type="http://schemas.openxmlformats.org/officeDocument/2006/relationships/hyperlink" Target="https://icatalog.expocentr.ru/ru/exhibitions/de590dc5-417d-11ee-80ce-a0d3c1fab97f" TargetMode="External" Id="rId220" /><Relationship Type="http://schemas.openxmlformats.org/officeDocument/2006/relationships/hyperlink" Target="http://en.beacon-display.cn/" TargetMode="External" Id="rId221" /><Relationship Type="http://schemas.openxmlformats.org/officeDocument/2006/relationships/hyperlink" Target="https://icatalog.expocentr.ru/ru/exhibitions/de590dc5-417d-11ee-80ce-a0d3c1fab97f" TargetMode="External" Id="rId222" /><Relationship Type="http://schemas.openxmlformats.org/officeDocument/2006/relationships/hyperlink" Target="https://icatalog.expocentr.ru/ru/exhibitions/de590dc5-417d-11ee-80ce-a0d3c1fab97f" TargetMode="External" Id="rId223" /><Relationship Type="http://schemas.openxmlformats.org/officeDocument/2006/relationships/hyperlink" Target="http://www.shvabe.com/" TargetMode="External" Id="rId224" /><Relationship Type="http://schemas.openxmlformats.org/officeDocument/2006/relationships/hyperlink" Target="https://icatalog.expocentr.ru/ru/exhibitions/de590dc5-417d-11ee-80ce-a0d3c1fab97f" TargetMode="External" Id="rId225" /><Relationship Type="http://schemas.openxmlformats.org/officeDocument/2006/relationships/hyperlink" Target="http://www.evropamedical.ru/" TargetMode="External" Id="rId226" /><Relationship Type="http://schemas.openxmlformats.org/officeDocument/2006/relationships/hyperlink" Target="https://icatalog.expocentr.ru/ru/exhibitions/de590dc5-417d-11ee-80ce-a0d3c1fab97f" TargetMode="External" Id="rId227" /><Relationship Type="http://schemas.openxmlformats.org/officeDocument/2006/relationships/hyperlink" Target="http://www.haiermedical.com/" TargetMode="External" Id="rId228" /><Relationship Type="http://schemas.openxmlformats.org/officeDocument/2006/relationships/hyperlink" Target="https://icatalog.expocentr.ru/ru/exhibitions/de590dc5-417d-11ee-80ce-a0d3c1fab97f" TargetMode="External" Id="rId229" /><Relationship Type="http://schemas.openxmlformats.org/officeDocument/2006/relationships/hyperlink" Target="https://akross-auto.ru/" TargetMode="External" Id="rId230" /><Relationship Type="http://schemas.openxmlformats.org/officeDocument/2006/relationships/hyperlink" Target="https://icatalog.expocentr.ru/ru/exhibitions/de590dc5-417d-11ee-80ce-a0d3c1fab97f" TargetMode="External" Id="rId231" /><Relationship Type="http://schemas.openxmlformats.org/officeDocument/2006/relationships/hyperlink" Target="http://www.promteh-nn.ru/" TargetMode="External" Id="rId232" /><Relationship Type="http://schemas.openxmlformats.org/officeDocument/2006/relationships/hyperlink" Target="https://icatalog.expocentr.ru/ru/exhibitions/de590dc5-417d-11ee-80ce-a0d3c1fab97f" TargetMode="External" Id="rId233" /><Relationship Type="http://schemas.openxmlformats.org/officeDocument/2006/relationships/hyperlink" Target="http://mtmedical.net/" TargetMode="External" Id="rId234" /><Relationship Type="http://schemas.openxmlformats.org/officeDocument/2006/relationships/hyperlink" Target="https://icatalog.expocentr.ru/ru/exhibitions/de590dc5-417d-11ee-80ce-a0d3c1fab97f" TargetMode="External" Id="rId235" /><Relationship Type="http://schemas.openxmlformats.org/officeDocument/2006/relationships/hyperlink" Target="https://dali-medical.com/" TargetMode="External" Id="rId236" /><Relationship Type="http://schemas.openxmlformats.org/officeDocument/2006/relationships/hyperlink" Target="https://icatalog.expocentr.ru/ru/exhibitions/de590dc5-417d-11ee-80ce-a0d3c1fab97f" TargetMode="External" Id="rId237" /><Relationship Type="http://schemas.openxmlformats.org/officeDocument/2006/relationships/hyperlink" Target="http://www.bioline.ru/" TargetMode="External" Id="rId238" /><Relationship Type="http://schemas.openxmlformats.org/officeDocument/2006/relationships/hyperlink" Target="https://icatalog.expocentr.ru/ru/exhibitions/de590dc5-417d-11ee-80ce-a0d3c1fab97f" TargetMode="External" Id="rId239" /><Relationship Type="http://schemas.openxmlformats.org/officeDocument/2006/relationships/hyperlink" Target="http://www.stkraft.com/" TargetMode="External" Id="rId240" /><Relationship Type="http://schemas.openxmlformats.org/officeDocument/2006/relationships/hyperlink" Target="https://icatalog.expocentr.ru/ru/exhibitions/de590dc5-417d-11ee-80ce-a0d3c1fab97f" TargetMode="External" Id="rId241" /><Relationship Type="http://schemas.openxmlformats.org/officeDocument/2006/relationships/hyperlink" Target="https://www.mkbfakel.ru/" TargetMode="External" Id="rId242" /><Relationship Type="http://schemas.openxmlformats.org/officeDocument/2006/relationships/hyperlink" Target="https://icatalog.expocentr.ru/ru/exhibitions/de590dc5-417d-11ee-80ce-a0d3c1fab97f" TargetMode="External" Id="rId243" /><Relationship Type="http://schemas.openxmlformats.org/officeDocument/2006/relationships/hyperlink" Target="https://zavod-iskra.ru/" TargetMode="External" Id="rId244" /><Relationship Type="http://schemas.openxmlformats.org/officeDocument/2006/relationships/hyperlink" Target="https://icatalog.expocentr.ru/ru/exhibitions/de590dc5-417d-11ee-80ce-a0d3c1fab97f" TargetMode="External" Id="rId245" /><Relationship Type="http://schemas.openxmlformats.org/officeDocument/2006/relationships/hyperlink" Target="https://rehabtex.ru/" TargetMode="External" Id="rId246" /><Relationship Type="http://schemas.openxmlformats.org/officeDocument/2006/relationships/hyperlink" Target="https://icatalog.expocentr.ru/ru/exhibitions/de590dc5-417d-11ee-80ce-a0d3c1fab97f" TargetMode="External" Id="rId247" /><Relationship Type="http://schemas.openxmlformats.org/officeDocument/2006/relationships/hyperlink" Target="https://www.daiwha.com/" TargetMode="External" Id="rId248" /><Relationship Type="http://schemas.openxmlformats.org/officeDocument/2006/relationships/hyperlink" Target="https://icatalog.expocentr.ru/ru/exhibitions/de590dc5-417d-11ee-80ce-a0d3c1fab97f" TargetMode="External" Id="rId249" /><Relationship Type="http://schemas.openxmlformats.org/officeDocument/2006/relationships/hyperlink" Target="http://4clinic.ru/" TargetMode="External" Id="rId250" /><Relationship Type="http://schemas.openxmlformats.org/officeDocument/2006/relationships/hyperlink" Target="https://icatalog.expocentr.ru/ru/exhibitions/de590dc5-417d-11ee-80ce-a0d3c1fab97f" TargetMode="External" Id="rId251" /><Relationship Type="http://schemas.openxmlformats.org/officeDocument/2006/relationships/hyperlink" Target="http://www.trimm.ru/" TargetMode="External" Id="rId252" /><Relationship Type="http://schemas.openxmlformats.org/officeDocument/2006/relationships/hyperlink" Target="https://icatalog.expocentr.ru/ru/exhibitions/de590dc5-417d-11ee-80ce-a0d3c1fab97f" TargetMode="External" Id="rId253" /><Relationship Type="http://schemas.openxmlformats.org/officeDocument/2006/relationships/hyperlink" Target="http://treaton.ru/" TargetMode="External" Id="rId254" /><Relationship Type="http://schemas.openxmlformats.org/officeDocument/2006/relationships/hyperlink" Target="https://icatalog.expocentr.ru/ru/exhibitions/de590dc5-417d-11ee-80ce-a0d3c1fab97f" TargetMode="External" Id="rId255" /><Relationship Type="http://schemas.openxmlformats.org/officeDocument/2006/relationships/hyperlink" Target="http://www.modulmuhendislik.com.tr/" TargetMode="External" Id="rId256" /><Relationship Type="http://schemas.openxmlformats.org/officeDocument/2006/relationships/hyperlink" Target="https://icatalog.expocentr.ru/ru/exhibitions/de590dc5-417d-11ee-80ce-a0d3c1fab97f" TargetMode="External" Id="rId257" /><Relationship Type="http://schemas.openxmlformats.org/officeDocument/2006/relationships/hyperlink" Target="http://www.chison.com/" TargetMode="External" Id="rId258" /><Relationship Type="http://schemas.openxmlformats.org/officeDocument/2006/relationships/hyperlink" Target="https://icatalog.expocentr.ru/ru/exhibitions/de590dc5-417d-11ee-80ce-a0d3c1fab97f" TargetMode="External" Id="rId259" /><Relationship Type="http://schemas.openxmlformats.org/officeDocument/2006/relationships/hyperlink" Target="https://www.vniiimt.ru/" TargetMode="External" Id="rId260" /><Relationship Type="http://schemas.openxmlformats.org/officeDocument/2006/relationships/hyperlink" Target="https://icatalog.expocentr.ru/ru/exhibitions/de590dc5-417d-11ee-80ce-a0d3c1fab97f" TargetMode="External" Id="rId261" /><Relationship Type="http://schemas.openxmlformats.org/officeDocument/2006/relationships/hyperlink" Target="https://www.karmedgroup.com.tr/" TargetMode="External" Id="rId262" /><Relationship Type="http://schemas.openxmlformats.org/officeDocument/2006/relationships/hyperlink" Target="https://icatalog.expocentr.ru/ru/exhibitions/de590dc5-417d-11ee-80ce-a0d3c1fab97f" TargetMode="External" Id="rId263" /><Relationship Type="http://schemas.openxmlformats.org/officeDocument/2006/relationships/hyperlink" Target="https://www.regmed.ru/" TargetMode="External" Id="rId264" /><Relationship Type="http://schemas.openxmlformats.org/officeDocument/2006/relationships/hyperlink" Target="https://icatalog.expocentr.ru/ru/exhibitions/de590dc5-417d-11ee-80ce-a0d3c1fab97f" TargetMode="External" Id="rId265" /><Relationship Type="http://schemas.openxmlformats.org/officeDocument/2006/relationships/hyperlink" Target="https://tumbotino.ru/" TargetMode="External" Id="rId266" /><Relationship Type="http://schemas.openxmlformats.org/officeDocument/2006/relationships/hyperlink" Target="https://icatalog.expocentr.ru/ru/exhibitions/de590dc5-417d-11ee-80ce-a0d3c1fab97f" TargetMode="External" Id="rId267" /><Relationship Type="http://schemas.openxmlformats.org/officeDocument/2006/relationships/hyperlink" Target="https://icatalog.expocentr.ru/ru/exhibitions/de590dc5-417d-11ee-80ce-a0d3c1fab97f" TargetMode="External" Id="rId268" /><Relationship Type="http://schemas.openxmlformats.org/officeDocument/2006/relationships/hyperlink" Target="https://medatrium.ru/" TargetMode="External" Id="rId269" /><Relationship Type="http://schemas.openxmlformats.org/officeDocument/2006/relationships/hyperlink" Target="https://icatalog.expocentr.ru/ru/exhibitions/de590dc5-417d-11ee-80ce-a0d3c1fab97f" TargetMode="External" Id="rId270" /><Relationship Type="http://schemas.openxmlformats.org/officeDocument/2006/relationships/hyperlink" Target="http://www.vital-spb.ru/" TargetMode="External" Id="rId271" /><Relationship Type="http://schemas.openxmlformats.org/officeDocument/2006/relationships/hyperlink" Target="https://icatalog.expocentr.ru/ru/exhibitions/de590dc5-417d-11ee-80ce-a0d3c1fab97f" TargetMode="External" Id="rId272" /><Relationship Type="http://schemas.openxmlformats.org/officeDocument/2006/relationships/hyperlink" Target="https://negatoscope.ru/" TargetMode="External" Id="rId273" /><Relationship Type="http://schemas.openxmlformats.org/officeDocument/2006/relationships/hyperlink" Target="https://icatalog.expocentr.ru/ru/exhibitions/de590dc5-417d-11ee-80ce-a0d3c1fab97f" TargetMode="External" Id="rId274" /><Relationship Type="http://schemas.openxmlformats.org/officeDocument/2006/relationships/hyperlink" Target="http://www.bplab.ru/" TargetMode="External" Id="rId275" /><Relationship Type="http://schemas.openxmlformats.org/officeDocument/2006/relationships/hyperlink" Target="https://icatalog.expocentr.ru/ru/exhibitions/de590dc5-417d-11ee-80ce-a0d3c1fab97f" TargetMode="External" Id="rId276" /><Relationship Type="http://schemas.openxmlformats.org/officeDocument/2006/relationships/hyperlink" Target="https://icatalog.expocentr.ru/ru/exhibitions/de590dc5-417d-11ee-80ce-a0d3c1fab97f" TargetMode="External" Id="rId277" /><Relationship Type="http://schemas.openxmlformats.org/officeDocument/2006/relationships/hyperlink" Target="http://vmt-neuro.ru/" TargetMode="External" Id="rId278" /><Relationship Type="http://schemas.openxmlformats.org/officeDocument/2006/relationships/hyperlink" Target="https://icatalog.expocentr.ru/ru/exhibitions/de590dc5-417d-11ee-80ce-a0d3c1fab97f" TargetMode="External" Id="rId279" /><Relationship Type="http://schemas.openxmlformats.org/officeDocument/2006/relationships/hyperlink" Target="http://www.zimmer-medsys.ru/" TargetMode="External" Id="rId280" /><Relationship Type="http://schemas.openxmlformats.org/officeDocument/2006/relationships/hyperlink" Target="https://icatalog.expocentr.ru/ru/exhibitions/de590dc5-417d-11ee-80ce-a0d3c1fab97f" TargetMode="External" Id="rId281" /><Relationship Type="http://schemas.openxmlformats.org/officeDocument/2006/relationships/hyperlink" Target="http://www.st-nn.ru/" TargetMode="External" Id="rId282" /><Relationship Type="http://schemas.openxmlformats.org/officeDocument/2006/relationships/hyperlink" Target="https://icatalog.expocentr.ru/ru/exhibitions/de590dc5-417d-11ee-80ce-a0d3c1fab97f" TargetMode="External" Id="rId283" /><Relationship Type="http://schemas.openxmlformats.org/officeDocument/2006/relationships/hyperlink" Target="http://polytechmed.ru/" TargetMode="External" Id="rId284" /><Relationship Type="http://schemas.openxmlformats.org/officeDocument/2006/relationships/hyperlink" Target="https://icatalog.expocentr.ru/ru/exhibitions/de590dc5-417d-11ee-80ce-a0d3c1fab97f" TargetMode="External" Id="rId285" /><Relationship Type="http://schemas.openxmlformats.org/officeDocument/2006/relationships/hyperlink" Target="https://lektrava.ru/" TargetMode="External" Id="rId286" /><Relationship Type="http://schemas.openxmlformats.org/officeDocument/2006/relationships/hyperlink" Target="https://icatalog.expocentr.ru/ru/exhibitions/de590dc5-417d-11ee-80ce-a0d3c1fab97f" TargetMode="External" Id="rId287" /><Relationship Type="http://schemas.openxmlformats.org/officeDocument/2006/relationships/hyperlink" Target="http://www.ds-med.ru/" TargetMode="External" Id="rId288" /><Relationship Type="http://schemas.openxmlformats.org/officeDocument/2006/relationships/hyperlink" Target="https://icatalog.expocentr.ru/ru/exhibitions/de590dc5-417d-11ee-80ce-a0d3c1fab97f" TargetMode="External" Id="rId289" /><Relationship Type="http://schemas.openxmlformats.org/officeDocument/2006/relationships/hyperlink" Target="https://icatalog.expocentr.ru/ru/exhibitions/de590dc5-417d-11ee-80ce-a0d3c1fab97f" TargetMode="External" Id="rId290" /><Relationship Type="http://schemas.openxmlformats.org/officeDocument/2006/relationships/hyperlink" Target="https://icatalog.expocentr.ru/ru/exhibitions/de590dc5-417d-11ee-80ce-a0d3c1fab97f" TargetMode="External" Id="rId291" /><Relationship Type="http://schemas.openxmlformats.org/officeDocument/2006/relationships/hyperlink" Target="http://www.altnauka.ru/" TargetMode="External" Id="rId292" /><Relationship Type="http://schemas.openxmlformats.org/officeDocument/2006/relationships/hyperlink" Target="https://icatalog.expocentr.ru/ru/exhibitions/de590dc5-417d-11ee-80ce-a0d3c1fab97f" TargetMode="External" Id="rId293" /><Relationship Type="http://schemas.openxmlformats.org/officeDocument/2006/relationships/hyperlink" Target="http://www.medmarin.com/" TargetMode="External" Id="rId294" /><Relationship Type="http://schemas.openxmlformats.org/officeDocument/2006/relationships/hyperlink" Target="https://icatalog.expocentr.ru/ru/exhibitions/de590dc5-417d-11ee-80ce-a0d3c1fab97f" TargetMode="External" Id="rId295" /><Relationship Type="http://schemas.openxmlformats.org/officeDocument/2006/relationships/hyperlink" Target="http://www.visma.by/" TargetMode="External" Id="rId296" /><Relationship Type="http://schemas.openxmlformats.org/officeDocument/2006/relationships/hyperlink" Target="https://icatalog.expocentr.ru/ru/exhibitions/de590dc5-417d-11ee-80ce-a0d3c1fab97f" TargetMode="External" Id="rId297" /><Relationship Type="http://schemas.openxmlformats.org/officeDocument/2006/relationships/hyperlink" Target="http://www.mediko.ru/" TargetMode="External" Id="rId298" /><Relationship Type="http://schemas.openxmlformats.org/officeDocument/2006/relationships/hyperlink" Target="https://icatalog.expocentr.ru/ru/exhibitions/de590dc5-417d-11ee-80ce-a0d3c1fab97f" TargetMode="External" Id="rId299" /><Relationship Type="http://schemas.openxmlformats.org/officeDocument/2006/relationships/hyperlink" Target="http://www.tves.com.ru/" TargetMode="External" Id="rId300" /><Relationship Type="http://schemas.openxmlformats.org/officeDocument/2006/relationships/hyperlink" Target="https://icatalog.expocentr.ru/ru/exhibitions/de590dc5-417d-11ee-80ce-a0d3c1fab97f" TargetMode="External" Id="rId301" /><Relationship Type="http://schemas.openxmlformats.org/officeDocument/2006/relationships/hyperlink" Target="http://www.endomed.biz/" TargetMode="External" Id="rId302" /><Relationship Type="http://schemas.openxmlformats.org/officeDocument/2006/relationships/hyperlink" Target="https://icatalog.expocentr.ru/ru/exhibitions/de590dc5-417d-11ee-80ce-a0d3c1fab97f" TargetMode="External" Id="rId303" /><Relationship Type="http://schemas.openxmlformats.org/officeDocument/2006/relationships/hyperlink" Target="http://rus.comen.com/" TargetMode="External" Id="rId304" /><Relationship Type="http://schemas.openxmlformats.org/officeDocument/2006/relationships/hyperlink" Target="https://icatalog.expocentr.ru/ru/exhibitions/de590dc5-417d-11ee-80ce-a0d3c1fab97f" TargetMode="External" Id="rId305" /><Relationship Type="http://schemas.openxmlformats.org/officeDocument/2006/relationships/hyperlink" Target="http://www.neofytos.ru/" TargetMode="External" Id="rId306" /><Relationship Type="http://schemas.openxmlformats.org/officeDocument/2006/relationships/hyperlink" Target="https://icatalog.expocentr.ru/ru/exhibitions/de590dc5-417d-11ee-80ce-a0d3c1fab97f" TargetMode="External" Id="rId307" /><Relationship Type="http://schemas.openxmlformats.org/officeDocument/2006/relationships/hyperlink" Target="http://www.dzmo.ru/" TargetMode="External" Id="rId308" /><Relationship Type="http://schemas.openxmlformats.org/officeDocument/2006/relationships/hyperlink" Target="https://icatalog.expocentr.ru/ru/exhibitions/de590dc5-417d-11ee-80ce-a0d3c1fab97f" TargetMode="External" Id="rId309" /><Relationship Type="http://schemas.openxmlformats.org/officeDocument/2006/relationships/hyperlink" Target="http://www.medimcom.ru/" TargetMode="External" Id="rId310" /><Relationship Type="http://schemas.openxmlformats.org/officeDocument/2006/relationships/hyperlink" Target="https://icatalog.expocentr.ru/ru/exhibitions/de590dc5-417d-11ee-80ce-a0d3c1fab97f" TargetMode="External" Id="rId311" /><Relationship Type="http://schemas.openxmlformats.org/officeDocument/2006/relationships/hyperlink" Target="http://www.medplant.ru/" TargetMode="External" Id="rId312" /><Relationship Type="http://schemas.openxmlformats.org/officeDocument/2006/relationships/hyperlink" Target="https://icatalog.expocentr.ru/ru/exhibitions/de590dc5-417d-11ee-80ce-a0d3c1fab97f" TargetMode="External" Id="rId313" /><Relationship Type="http://schemas.openxmlformats.org/officeDocument/2006/relationships/hyperlink" Target="http://www.newmedcom.ru/" TargetMode="External" Id="rId314" /><Relationship Type="http://schemas.openxmlformats.org/officeDocument/2006/relationships/hyperlink" Target="https://icatalog.expocentr.ru/ru/exhibitions/de590dc5-417d-11ee-80ce-a0d3c1fab97f" TargetMode="External" Id="rId315" /><Relationship Type="http://schemas.openxmlformats.org/officeDocument/2006/relationships/hyperlink" Target="https://loewensteinmedical.com/" TargetMode="External" Id="rId316" /><Relationship Type="http://schemas.openxmlformats.org/officeDocument/2006/relationships/hyperlink" Target="https://icatalog.expocentr.ru/ru/exhibitions/de590dc5-417d-11ee-80ce-a0d3c1fab97f" TargetMode="External" Id="rId317" /><Relationship Type="http://schemas.openxmlformats.org/officeDocument/2006/relationships/hyperlink" Target="http://www.skrz.ru/" TargetMode="External" Id="rId318" /><Relationship Type="http://schemas.openxmlformats.org/officeDocument/2006/relationships/hyperlink" Target="https://icatalog.expocentr.ru/ru/exhibitions/de590dc5-417d-11ee-80ce-a0d3c1fab97f" TargetMode="External" Id="rId319" /><Relationship Type="http://schemas.openxmlformats.org/officeDocument/2006/relationships/hyperlink" Target="http://www.velment.ru/" TargetMode="External" Id="rId320" /><Relationship Type="http://schemas.openxmlformats.org/officeDocument/2006/relationships/hyperlink" Target="https://icatalog.expocentr.ru/ru/exhibitions/de590dc5-417d-11ee-80ce-a0d3c1fab97f" TargetMode="External" Id="rId321" /><Relationship Type="http://schemas.openxmlformats.org/officeDocument/2006/relationships/hyperlink" Target="http://www.medin.by/" TargetMode="External" Id="rId322" /><Relationship Type="http://schemas.openxmlformats.org/officeDocument/2006/relationships/hyperlink" Target="https://icatalog.expocentr.ru/ru/exhibitions/de590dc5-417d-11ee-80ce-a0d3c1fab97f" TargetMode="External" Id="rId323" /><Relationship Type="http://schemas.openxmlformats.org/officeDocument/2006/relationships/hyperlink" Target="http://www.medelia.ru/" TargetMode="External" Id="rId324" /><Relationship Type="http://schemas.openxmlformats.org/officeDocument/2006/relationships/hyperlink" Target="https://icatalog.expocentr.ru/ru/exhibitions/de590dc5-417d-11ee-80ce-a0d3c1fab97f" TargetMode="External" Id="rId325" /><Relationship Type="http://schemas.openxmlformats.org/officeDocument/2006/relationships/hyperlink" Target="http://www.med-engineering.ru/" TargetMode="External" Id="rId326" /><Relationship Type="http://schemas.openxmlformats.org/officeDocument/2006/relationships/hyperlink" Target="https://icatalog.expocentr.ru/ru/exhibitions/de590dc5-417d-11ee-80ce-a0d3c1fab97f" TargetMode="External" Id="rId327" /><Relationship Type="http://schemas.openxmlformats.org/officeDocument/2006/relationships/hyperlink" Target="https://endomarket.ru/" TargetMode="External" Id="rId328" /><Relationship Type="http://schemas.openxmlformats.org/officeDocument/2006/relationships/hyperlink" Target="https://icatalog.expocentr.ru/ru/exhibitions/de590dc5-417d-11ee-80ce-a0d3c1fab97f" TargetMode="External" Id="rId329" /><Relationship Type="http://schemas.openxmlformats.org/officeDocument/2006/relationships/hyperlink" Target="http://www.telsi.ru/" TargetMode="External" Id="rId330" /><Relationship Type="http://schemas.openxmlformats.org/officeDocument/2006/relationships/hyperlink" Target="https://icatalog.expocentr.ru/ru/exhibitions/de590dc5-417d-11ee-80ce-a0d3c1fab97f" TargetMode="External" Id="rId331" /><Relationship Type="http://schemas.openxmlformats.org/officeDocument/2006/relationships/hyperlink" Target="http://www.tahat.by/" TargetMode="External" Id="rId332" /><Relationship Type="http://schemas.openxmlformats.org/officeDocument/2006/relationships/hyperlink" Target="https://icatalog.expocentr.ru/ru/exhibitions/de590dc5-417d-11ee-80ce-a0d3c1fab97f" TargetMode="External" Id="rId333" /><Relationship Type="http://schemas.openxmlformats.org/officeDocument/2006/relationships/hyperlink" Target="https://innodrive.ru/" TargetMode="External" Id="rId334" /><Relationship Type="http://schemas.openxmlformats.org/officeDocument/2006/relationships/hyperlink" Target="https://icatalog.expocentr.ru/ru/exhibitions/de590dc5-417d-11ee-80ce-a0d3c1fab97f" TargetMode="External" Id="rId335" /><Relationship Type="http://schemas.openxmlformats.org/officeDocument/2006/relationships/hyperlink" Target="http://www.35med.ru/" TargetMode="External" Id="rId336" /><Relationship Type="http://schemas.openxmlformats.org/officeDocument/2006/relationships/hyperlink" Target="https://icatalog.expocentr.ru/ru/exhibitions/de590dc5-417d-11ee-80ce-a0d3c1fab97f" TargetMode="External" Id="rId337" /><Relationship Type="http://schemas.openxmlformats.org/officeDocument/2006/relationships/hyperlink" Target="http://www.provita.ru/" TargetMode="External" Id="rId338" /><Relationship Type="http://schemas.openxmlformats.org/officeDocument/2006/relationships/hyperlink" Target="https://icatalog.expocentr.ru/ru/exhibitions/de590dc5-417d-11ee-80ce-a0d3c1fab97f" TargetMode="External" Id="rId339" /><Relationship Type="http://schemas.openxmlformats.org/officeDocument/2006/relationships/hyperlink" Target="http://www.lojer.com/" TargetMode="External" Id="rId340" /><Relationship Type="http://schemas.openxmlformats.org/officeDocument/2006/relationships/hyperlink" Target="https://icatalog.expocentr.ru/ru/exhibitions/de590dc5-417d-11ee-80ce-a0d3c1fab97f" TargetMode="External" Id="rId341" /><Relationship Type="http://schemas.openxmlformats.org/officeDocument/2006/relationships/hyperlink" Target="https://aksioma.com/" TargetMode="External" Id="rId342" /><Relationship Type="http://schemas.openxmlformats.org/officeDocument/2006/relationships/hyperlink" Target="https://icatalog.expocentr.ru/ru/exhibitions/de590dc5-417d-11ee-80ce-a0d3c1fab97f" TargetMode="External" Id="rId343" /><Relationship Type="http://schemas.openxmlformats.org/officeDocument/2006/relationships/hyperlink" Target="http://www.belva.ru/" TargetMode="External" Id="rId344" /><Relationship Type="http://schemas.openxmlformats.org/officeDocument/2006/relationships/hyperlink" Target="https://icatalog.expocentr.ru/ru/exhibitions/de590dc5-417d-11ee-80ce-a0d3c1fab97f" TargetMode="External" Id="rId345" /><Relationship Type="http://schemas.openxmlformats.org/officeDocument/2006/relationships/hyperlink" Target="http://www.kriptomed.ru/" TargetMode="External" Id="rId346" /><Relationship Type="http://schemas.openxmlformats.org/officeDocument/2006/relationships/hyperlink" Target="https://icatalog.expocentr.ru/ru/exhibitions/de590dc5-417d-11ee-80ce-a0d3c1fab97f" TargetMode="External" Id="rId347" /><Relationship Type="http://schemas.openxmlformats.org/officeDocument/2006/relationships/hyperlink" Target="http://www.triomed.pro/" TargetMode="External" Id="rId348" /><Relationship Type="http://schemas.openxmlformats.org/officeDocument/2006/relationships/hyperlink" Target="https://icatalog.expocentr.ru/ru/exhibitions/de590dc5-417d-11ee-80ce-a0d3c1fab97f" TargetMode="External" Id="rId349" /><Relationship Type="http://schemas.openxmlformats.org/officeDocument/2006/relationships/hyperlink" Target="http://www.validusmed.ru/" TargetMode="External" Id="rId350" /><Relationship Type="http://schemas.openxmlformats.org/officeDocument/2006/relationships/hyperlink" Target="https://icatalog.expocentr.ru/ru/exhibitions/de590dc5-417d-11ee-80ce-a0d3c1fab97f" TargetMode="External" Id="rId351" /><Relationship Type="http://schemas.openxmlformats.org/officeDocument/2006/relationships/hyperlink" Target="http://www.armed.ru/" TargetMode="External" Id="rId352" /><Relationship Type="http://schemas.openxmlformats.org/officeDocument/2006/relationships/hyperlink" Target="https://icatalog.expocentr.ru/ru/exhibitions/de590dc5-417d-11ee-80ce-a0d3c1fab97f" TargetMode="External" Id="rId353" /><Relationship Type="http://schemas.openxmlformats.org/officeDocument/2006/relationships/hyperlink" Target="https://www.mbe-center.ru/" TargetMode="External" Id="rId354" /><Relationship Type="http://schemas.openxmlformats.org/officeDocument/2006/relationships/hyperlink" Target="https://icatalog.expocentr.ru/ru/exhibitions/de590dc5-417d-11ee-80ce-a0d3c1fab97f" TargetMode="External" Id="rId355" /><Relationship Type="http://schemas.openxmlformats.org/officeDocument/2006/relationships/hyperlink" Target="http://www.farm-invest.ru/" TargetMode="External" Id="rId356" /><Relationship Type="http://schemas.openxmlformats.org/officeDocument/2006/relationships/hyperlink" Target="https://icatalog.expocentr.ru/ru/exhibitions/de590dc5-417d-11ee-80ce-a0d3c1fab97f" TargetMode="External" Id="rId357" /><Relationship Type="http://schemas.openxmlformats.org/officeDocument/2006/relationships/hyperlink" Target="https://icatalog.expocentr.ru/ru/exhibitions/de590dc5-417d-11ee-80ce-a0d3c1fab97f" TargetMode="External" Id="rId358" /><Relationship Type="http://schemas.openxmlformats.org/officeDocument/2006/relationships/hyperlink" Target="http://www.labromed.ru/" TargetMode="External" Id="rId359" /><Relationship Type="http://schemas.openxmlformats.org/officeDocument/2006/relationships/hyperlink" Target="https://icatalog.expocentr.ru/ru/exhibitions/de590dc5-417d-11ee-80ce-a0d3c1fab97f" TargetMode="External" Id="rId360" /><Relationship Type="http://schemas.openxmlformats.org/officeDocument/2006/relationships/hyperlink" Target="http://www.med-mos.ru/" TargetMode="External" Id="rId361" /><Relationship Type="http://schemas.openxmlformats.org/officeDocument/2006/relationships/hyperlink" Target="https://icatalog.expocentr.ru/ru/exhibitions/de590dc5-417d-11ee-80ce-a0d3c1fab97f" TargetMode="External" Id="rId362" /><Relationship Type="http://schemas.openxmlformats.org/officeDocument/2006/relationships/hyperlink" Target="http://www.flogiston-med.ru/" TargetMode="External" Id="rId363" /><Relationship Type="http://schemas.openxmlformats.org/officeDocument/2006/relationships/hyperlink" Target="https://icatalog.expocentr.ru/ru/exhibitions/de590dc5-417d-11ee-80ce-a0d3c1fab97f" TargetMode="External" Id="rId364" /><Relationship Type="http://schemas.openxmlformats.org/officeDocument/2006/relationships/hyperlink" Target="http://www.reha-teh.ru/" TargetMode="External" Id="rId365" /><Relationship Type="http://schemas.openxmlformats.org/officeDocument/2006/relationships/hyperlink" Target="https://icatalog.expocentr.ru/ru/exhibitions/de590dc5-417d-11ee-80ce-a0d3c1fab97f" TargetMode="External" Id="rId366" /><Relationship Type="http://schemas.openxmlformats.org/officeDocument/2006/relationships/hyperlink" Target="https://endovi.ru/" TargetMode="External" Id="rId367" /><Relationship Type="http://schemas.openxmlformats.org/officeDocument/2006/relationships/hyperlink" Target="https://icatalog.expocentr.ru/ru/exhibitions/de590dc5-417d-11ee-80ce-a0d3c1fab97f" TargetMode="External" Id="rId368" /><Relationship Type="http://schemas.openxmlformats.org/officeDocument/2006/relationships/hyperlink" Target="http://www.fotek.ru/" TargetMode="External" Id="rId369" /><Relationship Type="http://schemas.openxmlformats.org/officeDocument/2006/relationships/hyperlink" Target="https://icatalog.expocentr.ru/ru/exhibitions/de590dc5-417d-11ee-80ce-a0d3c1fab97f" TargetMode="External" Id="rId370" /><Relationship Type="http://schemas.openxmlformats.org/officeDocument/2006/relationships/hyperlink" Target="http://www.servinst.ru/" TargetMode="External" Id="rId371" /><Relationship Type="http://schemas.openxmlformats.org/officeDocument/2006/relationships/hyperlink" Target="https://icatalog.expocentr.ru/ru/exhibitions/de590dc5-417d-11ee-80ce-a0d3c1fab97f" TargetMode="External" Id="rId372" /><Relationship Type="http://schemas.openxmlformats.org/officeDocument/2006/relationships/hyperlink" Target="https://medfarma.net/" TargetMode="External" Id="rId373" /><Relationship Type="http://schemas.openxmlformats.org/officeDocument/2006/relationships/hyperlink" Target="https://icatalog.expocentr.ru/ru/exhibitions/de590dc5-417d-11ee-80ce-a0d3c1fab97f" TargetMode="External" Id="rId374" /><Relationship Type="http://schemas.openxmlformats.org/officeDocument/2006/relationships/hyperlink" Target="http://www.respircare.ru/" TargetMode="External" Id="rId375" /><Relationship Type="http://schemas.openxmlformats.org/officeDocument/2006/relationships/hyperlink" Target="https://icatalog.expocentr.ru/ru/exhibitions/de590dc5-417d-11ee-80ce-a0d3c1fab97f" TargetMode="External" Id="rId376" /><Relationship Type="http://schemas.openxmlformats.org/officeDocument/2006/relationships/hyperlink" Target="http://zdravmebel77.ru/" TargetMode="External" Id="rId377" /><Relationship Type="http://schemas.openxmlformats.org/officeDocument/2006/relationships/hyperlink" Target="https://icatalog.expocentr.ru/ru/exhibitions/de590dc5-417d-11ee-80ce-a0d3c1fab97f" TargetMode="External" Id="rId378" /><Relationship Type="http://schemas.openxmlformats.org/officeDocument/2006/relationships/hyperlink" Target="http://www.bowa-eurasia.com/" TargetMode="External" Id="rId379" /><Relationship Type="http://schemas.openxmlformats.org/officeDocument/2006/relationships/hyperlink" Target="https://icatalog.expocentr.ru/ru/exhibitions/de590dc5-417d-11ee-80ce-a0d3c1fab97f" TargetMode="External" Id="rId380" /><Relationship Type="http://schemas.openxmlformats.org/officeDocument/2006/relationships/hyperlink" Target="http://www.nordmedica.ru/kontakty" TargetMode="External" Id="rId381" /><Relationship Type="http://schemas.openxmlformats.org/officeDocument/2006/relationships/hyperlink" Target="https://icatalog.expocentr.ru/ru/exhibitions/de590dc5-417d-11ee-80ce-a0d3c1fab97f" TargetMode="External" Id="rId382" /><Relationship Type="http://schemas.openxmlformats.org/officeDocument/2006/relationships/hyperlink" Target="http://www.ds-med.ru/" TargetMode="External" Id="rId383" /><Relationship Type="http://schemas.openxmlformats.org/officeDocument/2006/relationships/hyperlink" Target="https://icatalog.expocentr.ru/ru/exhibitions/de590dc5-417d-11ee-80ce-a0d3c1fab97f" TargetMode="External" Id="rId384" /><Relationship Type="http://schemas.openxmlformats.org/officeDocument/2006/relationships/hyperlink" Target="http://www.fotonfly.ru/" TargetMode="External" Id="rId385" /><Relationship Type="http://schemas.openxmlformats.org/officeDocument/2006/relationships/hyperlink" Target="https://icatalog.expocentr.ru/ru/exhibitions/de590dc5-417d-11ee-80ce-a0d3c1fab97f" TargetMode="External" Id="rId386" /><Relationship Type="http://schemas.openxmlformats.org/officeDocument/2006/relationships/hyperlink" Target="http://www.el-medical.ru/" TargetMode="External" Id="rId387" /><Relationship Type="http://schemas.openxmlformats.org/officeDocument/2006/relationships/hyperlink" Target="https://icatalog.expocentr.ru/ru/exhibitions/de590dc5-417d-11ee-80ce-a0d3c1fab97f" TargetMode="External" Id="rId388" /><Relationship Type="http://schemas.openxmlformats.org/officeDocument/2006/relationships/hyperlink" Target="http://www.rm-med.ru/" TargetMode="External" Id="rId389" /><Relationship Type="http://schemas.openxmlformats.org/officeDocument/2006/relationships/hyperlink" Target="https://icatalog.expocentr.ru/ru/exhibitions/de590dc5-417d-11ee-80ce-a0d3c1fab97f" TargetMode="External" Id="rId390" /><Relationship Type="http://schemas.openxmlformats.org/officeDocument/2006/relationships/hyperlink" Target="http://www.onhs.ru/" TargetMode="External" Id="rId391" /><Relationship Type="http://schemas.openxmlformats.org/officeDocument/2006/relationships/hyperlink" Target="https://icatalog.expocentr.ru/ru/exhibitions/de590dc5-417d-11ee-80ce-a0d3c1fab97f" TargetMode="External" Id="rId392" /><Relationship Type="http://schemas.openxmlformats.org/officeDocument/2006/relationships/hyperlink" Target="http://gm-med.ru/" TargetMode="External" Id="rId393" /><Relationship Type="http://schemas.openxmlformats.org/officeDocument/2006/relationships/hyperlink" Target="https://icatalog.expocentr.ru/ru/exhibitions/de590dc5-417d-11ee-80ce-a0d3c1fab97f" TargetMode="External" Id="rId394" /><Relationship Type="http://schemas.openxmlformats.org/officeDocument/2006/relationships/hyperlink" Target="http://www.ema.su/" TargetMode="External" Id="rId395" /><Relationship Type="http://schemas.openxmlformats.org/officeDocument/2006/relationships/hyperlink" Target="https://icatalog.expocentr.ru/ru/exhibitions/de590dc5-417d-11ee-80ce-a0d3c1fab97f" TargetMode="External" Id="rId396" /><Relationship Type="http://schemas.openxmlformats.org/officeDocument/2006/relationships/hyperlink" Target="http://www.aybolit2000.ru/" TargetMode="External" Id="rId397" /><Relationship Type="http://schemas.openxmlformats.org/officeDocument/2006/relationships/hyperlink" Target="https://icatalog.expocentr.ru/ru/exhibitions/de590dc5-417d-11ee-80ce-a0d3c1fab97f" TargetMode="External" Id="rId398" /><Relationship Type="http://schemas.openxmlformats.org/officeDocument/2006/relationships/hyperlink" Target="http://www.olsa.by/" TargetMode="External" Id="rId399" /><Relationship Type="http://schemas.openxmlformats.org/officeDocument/2006/relationships/hyperlink" Target="https://icatalog.expocentr.ru/ru/exhibitions/de590dc5-417d-11ee-80ce-a0d3c1fab97f" TargetMode="External" Id="rId400" /><Relationship Type="http://schemas.openxmlformats.org/officeDocument/2006/relationships/hyperlink" Target="http://www.dealmed.ru/" TargetMode="External" Id="rId401" /><Relationship Type="http://schemas.openxmlformats.org/officeDocument/2006/relationships/hyperlink" Target="https://icatalog.expocentr.ru/ru/exhibitions/de590dc5-417d-11ee-80ce-a0d3c1fab97f" TargetMode="External" Id="rId402" /><Relationship Type="http://schemas.openxmlformats.org/officeDocument/2006/relationships/hyperlink" Target="http://www.tairiku.info/" TargetMode="External" Id="rId403" /><Relationship Type="http://schemas.openxmlformats.org/officeDocument/2006/relationships/hyperlink" Target="https://icatalog.expocentr.ru/ru/exhibitions/de590dc5-417d-11ee-80ce-a0d3c1fab97f" TargetMode="External" Id="rId404" /><Relationship Type="http://schemas.openxmlformats.org/officeDocument/2006/relationships/hyperlink" Target="http://www.medstern.ru/" TargetMode="External" Id="rId405" /><Relationship Type="http://schemas.openxmlformats.org/officeDocument/2006/relationships/hyperlink" Target="https://icatalog.expocentr.ru/ru/exhibitions/de590dc5-417d-11ee-80ce-a0d3c1fab97f" TargetMode="External" Id="rId406" /><Relationship Type="http://schemas.openxmlformats.org/officeDocument/2006/relationships/hyperlink" Target="https://sensar.su/" TargetMode="External" Id="rId407" /><Relationship Type="http://schemas.openxmlformats.org/officeDocument/2006/relationships/hyperlink" Target="https://icatalog.expocentr.ru/ru/exhibitions/de590dc5-417d-11ee-80ce-a0d3c1fab97f" TargetMode="External" Id="rId408" /><Relationship Type="http://schemas.openxmlformats.org/officeDocument/2006/relationships/hyperlink" Target="http://www.sol-ex.ru/" TargetMode="External" Id="rId409" /><Relationship Type="http://schemas.openxmlformats.org/officeDocument/2006/relationships/hyperlink" Target="https://icatalog.expocentr.ru/ru/exhibitions/de590dc5-417d-11ee-80ce-a0d3c1fab97f" TargetMode="External" Id="rId410" /><Relationship Type="http://schemas.openxmlformats.org/officeDocument/2006/relationships/hyperlink" Target="https://icatalog.expocentr.ru/ru/exhibitions/de590dc5-417d-11ee-80ce-a0d3c1fab97f" TargetMode="External" Id="rId411" /><Relationship Type="http://schemas.openxmlformats.org/officeDocument/2006/relationships/hyperlink" Target="https://icatalog.expocentr.ru/ru/exhibitions/de590dc5-417d-11ee-80ce-a0d3c1fab97f" TargetMode="External" Id="rId412" /><Relationship Type="http://schemas.openxmlformats.org/officeDocument/2006/relationships/hyperlink" Target="http://www.optmebel.ru/" TargetMode="External" Id="rId413" /><Relationship Type="http://schemas.openxmlformats.org/officeDocument/2006/relationships/hyperlink" Target="https://icatalog.expocentr.ru/ru/exhibitions/de590dc5-417d-11ee-80ce-a0d3c1fab97f" TargetMode="External" Id="rId414" /><Relationship Type="http://schemas.openxmlformats.org/officeDocument/2006/relationships/hyperlink" Target="http://tdask.ru/" TargetMode="External" Id="rId415" /><Relationship Type="http://schemas.openxmlformats.org/officeDocument/2006/relationships/hyperlink" Target="https://icatalog.expocentr.ru/ru/exhibitions/de590dc5-417d-11ee-80ce-a0d3c1fab97f" TargetMode="External" Id="rId416" /><Relationship Type="http://schemas.openxmlformats.org/officeDocument/2006/relationships/hyperlink" Target="http://www.zmir.ru/" TargetMode="External" Id="rId417" /><Relationship Type="http://schemas.openxmlformats.org/officeDocument/2006/relationships/hyperlink" Target="https://icatalog.expocentr.ru/ru/exhibitions/de590dc5-417d-11ee-80ce-a0d3c1fab97f" TargetMode="External" Id="rId418" /><Relationship Type="http://schemas.openxmlformats.org/officeDocument/2006/relationships/hyperlink" Target="http://www.sonoscape.ru/" TargetMode="External" Id="rId419" /><Relationship Type="http://schemas.openxmlformats.org/officeDocument/2006/relationships/hyperlink" Target="https://icatalog.expocentr.ru/ru/exhibitions/de590dc5-417d-11ee-80ce-a0d3c1fab97f" TargetMode="External" Id="rId420" /><Relationship Type="http://schemas.openxmlformats.org/officeDocument/2006/relationships/hyperlink" Target="http://www.sonoscape.com/" TargetMode="External" Id="rId421" /><Relationship Type="http://schemas.openxmlformats.org/officeDocument/2006/relationships/hyperlink" Target="https://icatalog.expocentr.ru/ru/exhibitions/de590dc5-417d-11ee-80ce-a0d3c1fab97f" TargetMode="External" Id="rId422" /><Relationship Type="http://schemas.openxmlformats.org/officeDocument/2006/relationships/hyperlink" Target="http://www.eq-vip.cafe/" TargetMode="External" Id="rId423" /><Relationship Type="http://schemas.openxmlformats.org/officeDocument/2006/relationships/hyperlink" Target="https://icatalog.expocentr.ru/ru/exhibitions/de590dc5-417d-11ee-80ce-a0d3c1fab97f" TargetMode="External" Id="rId424" /><Relationship Type="http://schemas.openxmlformats.org/officeDocument/2006/relationships/hyperlink" Target="http://www.axion-med.ru/" TargetMode="External" Id="rId425" /><Relationship Type="http://schemas.openxmlformats.org/officeDocument/2006/relationships/hyperlink" Target="https://icatalog.expocentr.ru/ru/exhibitions/de590dc5-417d-11ee-80ce-a0d3c1fab97f" TargetMode="External" Id="rId426" /><Relationship Type="http://schemas.openxmlformats.org/officeDocument/2006/relationships/hyperlink" Target="http://omzbel.by/" TargetMode="External" Id="rId427" /><Relationship Type="http://schemas.openxmlformats.org/officeDocument/2006/relationships/hyperlink" Target="https://icatalog.expocentr.ru/ru/exhibitions/de590dc5-417d-11ee-80ce-a0d3c1fab97f" TargetMode="External" Id="rId428" /><Relationship Type="http://schemas.openxmlformats.org/officeDocument/2006/relationships/hyperlink" Target="https://ippon.ru/" TargetMode="External" Id="rId429" /><Relationship Type="http://schemas.openxmlformats.org/officeDocument/2006/relationships/hyperlink" Target="https://icatalog.expocentr.ru/ru/exhibitions/de590dc5-417d-11ee-80ce-a0d3c1fab97f" TargetMode="External" Id="rId430" /><Relationship Type="http://schemas.openxmlformats.org/officeDocument/2006/relationships/hyperlink" Target="http://www.ooo-dialog.ru/" TargetMode="External" Id="rId431" /><Relationship Type="http://schemas.openxmlformats.org/officeDocument/2006/relationships/hyperlink" Target="https://icatalog.expocentr.ru/ru/exhibitions/de590dc5-417d-11ee-80ce-a0d3c1fab97f" TargetMode="External" Id="rId432" /><Relationship Type="http://schemas.openxmlformats.org/officeDocument/2006/relationships/hyperlink" Target="https://electrontest-grp.ru/" TargetMode="External" Id="rId433" /><Relationship Type="http://schemas.openxmlformats.org/officeDocument/2006/relationships/hyperlink" Target="https://icatalog.expocentr.ru/ru/exhibitions/de590dc5-417d-11ee-80ce-a0d3c1fab97f" TargetMode="External" Id="rId434" /><Relationship Type="http://schemas.openxmlformats.org/officeDocument/2006/relationships/hyperlink" Target="http://www.medicinoff.ru/" TargetMode="External" Id="rId435" /><Relationship Type="http://schemas.openxmlformats.org/officeDocument/2006/relationships/hyperlink" Target="https://icatalog.expocentr.ru/ru/exhibitions/de590dc5-417d-11ee-80ce-a0d3c1fab97f" TargetMode="External" Id="rId436" /><Relationship Type="http://schemas.openxmlformats.org/officeDocument/2006/relationships/hyperlink" Target="https://medklych.ru/" TargetMode="External" Id="rId437" /><Relationship Type="http://schemas.openxmlformats.org/officeDocument/2006/relationships/hyperlink" Target="https://icatalog.expocentr.ru/ru/exhibitions/de590dc5-417d-11ee-80ce-a0d3c1fab97f" TargetMode="External" Id="rId438" /><Relationship Type="http://schemas.openxmlformats.org/officeDocument/2006/relationships/hyperlink" Target="http://www.euromedservice.org/" TargetMode="External" Id="rId439" /><Relationship Type="http://schemas.openxmlformats.org/officeDocument/2006/relationships/hyperlink" Target="https://icatalog.expocentr.ru/ru/exhibitions/de590dc5-417d-11ee-80ce-a0d3c1fab97f" TargetMode="External" Id="rId440" /><Relationship Type="http://schemas.openxmlformats.org/officeDocument/2006/relationships/hyperlink" Target="http://www.megi.ru/" TargetMode="External" Id="rId441" /><Relationship Type="http://schemas.openxmlformats.org/officeDocument/2006/relationships/hyperlink" Target="https://icatalog.expocentr.ru/ru/exhibitions/de590dc5-417d-11ee-80ce-a0d3c1fab97f" TargetMode="External" Id="rId442" /><Relationship Type="http://schemas.openxmlformats.org/officeDocument/2006/relationships/hyperlink" Target="http://www.doctormebel.ru/" TargetMode="External" Id="rId443" /><Relationship Type="http://schemas.openxmlformats.org/officeDocument/2006/relationships/hyperlink" Target="https://icatalog.expocentr.ru/ru/exhibitions/de590dc5-417d-11ee-80ce-a0d3c1fab97f" TargetMode="External" Id="rId444" /><Relationship Type="http://schemas.openxmlformats.org/officeDocument/2006/relationships/hyperlink" Target="http://www.legion.ru/" TargetMode="External" Id="rId445" /><Relationship Type="http://schemas.openxmlformats.org/officeDocument/2006/relationships/hyperlink" Target="https://icatalog.expocentr.ru/ru/exhibitions/de590dc5-417d-11ee-80ce-a0d3c1fab97f" TargetMode="External" Id="rId446" /><Relationship Type="http://schemas.openxmlformats.org/officeDocument/2006/relationships/hyperlink" Target="https://icatalog.expocentr.ru/ru/exhibitions/de590dc5-417d-11ee-80ce-a0d3c1fab97f" TargetMode="External" Id="rId447" /><Relationship Type="http://schemas.openxmlformats.org/officeDocument/2006/relationships/hyperlink" Target="http://www.medgrade.pro/" TargetMode="External" Id="rId448" /><Relationship Type="http://schemas.openxmlformats.org/officeDocument/2006/relationships/hyperlink" Target="https://icatalog.expocentr.ru/ru/exhibitions/de590dc5-417d-11ee-80ce-a0d3c1fab97f" TargetMode="External" Id="rId449" /><Relationship Type="http://schemas.openxmlformats.org/officeDocument/2006/relationships/hyperlink" Target="http://www.dr-d.ru/" TargetMode="External" Id="rId450" /><Relationship Type="http://schemas.openxmlformats.org/officeDocument/2006/relationships/hyperlink" Target="https://icatalog.expocentr.ru/ru/exhibitions/de590dc5-417d-11ee-80ce-a0d3c1fab97f" TargetMode="External" Id="rId451" /><Relationship Type="http://schemas.openxmlformats.org/officeDocument/2006/relationships/hyperlink" Target="http://www.medprivod.com/" TargetMode="External" Id="rId452" /><Relationship Type="http://schemas.openxmlformats.org/officeDocument/2006/relationships/hyperlink" Target="https://icatalog.expocentr.ru/ru/exhibitions/de590dc5-417d-11ee-80ce-a0d3c1fab97f" TargetMode="External" Id="rId453" /><Relationship Type="http://schemas.openxmlformats.org/officeDocument/2006/relationships/hyperlink" Target="https://medmebel.amico.ru/" TargetMode="External" Id="rId454" /><Relationship Type="http://schemas.openxmlformats.org/officeDocument/2006/relationships/hyperlink" Target="https://icatalog.expocentr.ru/ru/exhibitions/de590dc5-417d-11ee-80ce-a0d3c1fab97f" TargetMode="External" Id="rId455" /><Relationship Type="http://schemas.openxmlformats.org/officeDocument/2006/relationships/hyperlink" Target="http://www.unity-m.pro/" TargetMode="External" Id="rId456" /><Relationship Type="http://schemas.openxmlformats.org/officeDocument/2006/relationships/hyperlink" Target="https://icatalog.expocentr.ru/ru/exhibitions/de590dc5-417d-11ee-80ce-a0d3c1fab97f" TargetMode="External" Id="rId457" /><Relationship Type="http://schemas.openxmlformats.org/officeDocument/2006/relationships/hyperlink" Target="http://www.safe.ru/" TargetMode="External" Id="rId458" /><Relationship Type="http://schemas.openxmlformats.org/officeDocument/2006/relationships/hyperlink" Target="https://icatalog.expocentr.ru/ru/exhibitions/de590dc5-417d-11ee-80ce-a0d3c1fab97f" TargetMode="External" Id="rId459" /><Relationship Type="http://schemas.openxmlformats.org/officeDocument/2006/relationships/hyperlink" Target="http://www.cardiomed.su/" TargetMode="External" Id="rId460" /><Relationship Type="http://schemas.openxmlformats.org/officeDocument/2006/relationships/hyperlink" Target="https://icatalog.expocentr.ru/ru/exhibitions/de590dc5-417d-11ee-80ce-a0d3c1fab97f" TargetMode="External" Id="rId461" /><Relationship Type="http://schemas.openxmlformats.org/officeDocument/2006/relationships/hyperlink" Target="http://www.vzmo.su/" TargetMode="External" Id="rId462" /><Relationship Type="http://schemas.openxmlformats.org/officeDocument/2006/relationships/hyperlink" Target="https://icatalog.expocentr.ru/ru/exhibitions/de590dc5-417d-11ee-80ce-a0d3c1fab97f" TargetMode="External" Id="rId463" /><Relationship Type="http://schemas.openxmlformats.org/officeDocument/2006/relationships/hyperlink" Target="http://www.rusmbs.ru/" TargetMode="External" Id="rId464" /><Relationship Type="http://schemas.openxmlformats.org/officeDocument/2006/relationships/hyperlink" Target="https://icatalog.expocentr.ru/ru/exhibitions/de590dc5-417d-11ee-80ce-a0d3c1fab97f" TargetMode="External" Id="rId465" /><Relationship Type="http://schemas.openxmlformats.org/officeDocument/2006/relationships/hyperlink" Target="http://www.diacoms.ru/" TargetMode="External" Id="rId466" /><Relationship Type="http://schemas.openxmlformats.org/officeDocument/2006/relationships/hyperlink" Target="https://icatalog.expocentr.ru/ru/exhibitions/de590dc5-417d-11ee-80ce-a0d3c1fab97f" TargetMode="External" Id="rId467" /><Relationship Type="http://schemas.openxmlformats.org/officeDocument/2006/relationships/hyperlink" Target="https://smcall.ru/" TargetMode="External" Id="rId468" /><Relationship Type="http://schemas.openxmlformats.org/officeDocument/2006/relationships/hyperlink" Target="https://icatalog.expocentr.ru/ru/exhibitions/de590dc5-417d-11ee-80ce-a0d3c1fab97f" TargetMode="External" Id="rId469" /><Relationship Type="http://schemas.openxmlformats.org/officeDocument/2006/relationships/hyperlink" Target="https://nitrocare.com.ru/" TargetMode="External" Id="rId470" /><Relationship Type="http://schemas.openxmlformats.org/officeDocument/2006/relationships/hyperlink" Target="https://icatalog.expocentr.ru/ru/exhibitions/de590dc5-417d-11ee-80ce-a0d3c1fab97f" TargetMode="External" Id="rId471" /><Relationship Type="http://schemas.openxmlformats.org/officeDocument/2006/relationships/hyperlink" Target="http://www.yadromed.ru/" TargetMode="External" Id="rId472" /><Relationship Type="http://schemas.openxmlformats.org/officeDocument/2006/relationships/hyperlink" Target="https://icatalog.expocentr.ru/ru/exhibitions/de590dc5-417d-11ee-80ce-a0d3c1fab97f" TargetMode="External" Id="rId473" /><Relationship Type="http://schemas.openxmlformats.org/officeDocument/2006/relationships/hyperlink" Target="http://www.lomo.ru/" TargetMode="External" Id="rId474" /><Relationship Type="http://schemas.openxmlformats.org/officeDocument/2006/relationships/hyperlink" Target="https://icatalog.expocentr.ru/ru/exhibitions/de590dc5-417d-11ee-80ce-a0d3c1fab97f" TargetMode="External" Id="rId475" /><Relationship Type="http://schemas.openxmlformats.org/officeDocument/2006/relationships/hyperlink" Target="http://www.mrigroup.ru/" TargetMode="External" Id="rId476" /><Relationship Type="http://schemas.openxmlformats.org/officeDocument/2006/relationships/hyperlink" Target="https://icatalog.expocentr.ru/ru/exhibitions/de590dc5-417d-11ee-80ce-a0d3c1fab97f" TargetMode="External" Id="rId477" /><Relationship Type="http://schemas.openxmlformats.org/officeDocument/2006/relationships/hyperlink" Target="http://www.sgmedical.ru/" TargetMode="External" Id="rId478" /><Relationship Type="http://schemas.openxmlformats.org/officeDocument/2006/relationships/hyperlink" Target="https://icatalog.expocentr.ru/ru/exhibitions/de590dc5-417d-11ee-80ce-a0d3c1fab97f" TargetMode="External" Id="rId479" /><Relationship Type="http://schemas.openxmlformats.org/officeDocument/2006/relationships/hyperlink" Target="http://unona-aqua.ru/" TargetMode="External" Id="rId480" /><Relationship Type="http://schemas.openxmlformats.org/officeDocument/2006/relationships/hyperlink" Target="https://icatalog.expocentr.ru/ru/exhibitions/de590dc5-417d-11ee-80ce-a0d3c1fab97f" TargetMode="External" Id="rId481" /><Relationship Type="http://schemas.openxmlformats.org/officeDocument/2006/relationships/hyperlink" Target="http://a-vm.ru/" TargetMode="External" Id="rId482" /><Relationship Type="http://schemas.openxmlformats.org/officeDocument/2006/relationships/hyperlink" Target="https://icatalog.expocentr.ru/ru/exhibitions/de590dc5-417d-11ee-80ce-a0d3c1fab97f" TargetMode="External" Id="rId483" /><Relationship Type="http://schemas.openxmlformats.org/officeDocument/2006/relationships/hyperlink" Target="https://karipain.ru/" TargetMode="External" Id="rId484" /><Relationship Type="http://schemas.openxmlformats.org/officeDocument/2006/relationships/hyperlink" Target="https://icatalog.expocentr.ru/ru/exhibitions/de590dc5-417d-11ee-80ce-a0d3c1fab97f" TargetMode="External" Id="rId485" /><Relationship Type="http://schemas.openxmlformats.org/officeDocument/2006/relationships/hyperlink" Target="http://www.divisy.biz/" TargetMode="External" Id="rId486" /><Relationship Type="http://schemas.openxmlformats.org/officeDocument/2006/relationships/hyperlink" Target="https://icatalog.expocentr.ru/ru/exhibitions/de590dc5-417d-11ee-80ce-a0d3c1fab97f" TargetMode="External" Id="rId487" /><Relationship Type="http://schemas.openxmlformats.org/officeDocument/2006/relationships/hyperlink" Target="http://deltaufa.ru/" TargetMode="External" Id="rId488" /><Relationship Type="http://schemas.openxmlformats.org/officeDocument/2006/relationships/hyperlink" Target="https://icatalog.expocentr.ru/ru/exhibitions/de590dc5-417d-11ee-80ce-a0d3c1fab97f" TargetMode="External" Id="rId489" /><Relationship Type="http://schemas.openxmlformats.org/officeDocument/2006/relationships/hyperlink" Target="http://www.almaz-rpe.ru/" TargetMode="External" Id="rId490" /><Relationship Type="http://schemas.openxmlformats.org/officeDocument/2006/relationships/hyperlink" Target="https://icatalog.expocentr.ru/ru/exhibitions/de590dc5-417d-11ee-80ce-a0d3c1fab97f" TargetMode="External" Id="rId491" /><Relationship Type="http://schemas.openxmlformats.org/officeDocument/2006/relationships/hyperlink" Target="https://vniivega.ru/" TargetMode="External" Id="rId492" /><Relationship Type="http://schemas.openxmlformats.org/officeDocument/2006/relationships/hyperlink" Target="https://icatalog.expocentr.ru/ru/exhibitions/de590dc5-417d-11ee-80ce-a0d3c1fab97f" TargetMode="External" Id="rId493" /><Relationship Type="http://schemas.openxmlformats.org/officeDocument/2006/relationships/hyperlink" Target="http://www.relsib.com/" TargetMode="External" Id="rId494" /><Relationship Type="http://schemas.openxmlformats.org/officeDocument/2006/relationships/hyperlink" Target="https://icatalog.expocentr.ru/ru/exhibitions/de590dc5-417d-11ee-80ce-a0d3c1fab97f" TargetMode="External" Id="rId495" /><Relationship Type="http://schemas.openxmlformats.org/officeDocument/2006/relationships/hyperlink" Target="http://www.niipp.ru/" TargetMode="External" Id="rId496" /><Relationship Type="http://schemas.openxmlformats.org/officeDocument/2006/relationships/hyperlink" Target="https://icatalog.expocentr.ru/ru/exhibitions/de590dc5-417d-11ee-80ce-a0d3c1fab97f" TargetMode="External" Id="rId497" /><Relationship Type="http://schemas.openxmlformats.org/officeDocument/2006/relationships/hyperlink" Target="http://www.rs01.ru/" TargetMode="External" Id="rId498" /><Relationship Type="http://schemas.openxmlformats.org/officeDocument/2006/relationships/hyperlink" Target="https://icatalog.expocentr.ru/ru/exhibitions/de590dc5-417d-11ee-80ce-a0d3c1fab97f" TargetMode="External" Id="rId499" /><Relationship Type="http://schemas.openxmlformats.org/officeDocument/2006/relationships/hyperlink" Target="http://medicagroup.ru/" TargetMode="External" Id="rId500" /><Relationship Type="http://schemas.openxmlformats.org/officeDocument/2006/relationships/hyperlink" Target="https://icatalog.expocentr.ru/ru/exhibitions/de590dc5-417d-11ee-80ce-a0d3c1fab97f" TargetMode="External" Id="rId501" /><Relationship Type="http://schemas.openxmlformats.org/officeDocument/2006/relationships/hyperlink" Target="http://www.polimot.com/" TargetMode="External" Id="rId502" /><Relationship Type="http://schemas.openxmlformats.org/officeDocument/2006/relationships/hyperlink" Target="https://icatalog.expocentr.ru/ru/exhibitions/de590dc5-417d-11ee-80ce-a0d3c1fab97f" TargetMode="External" Id="rId503" /><Relationship Type="http://schemas.openxmlformats.org/officeDocument/2006/relationships/hyperlink" Target="http://www.vipsmed.ru/" TargetMode="External" Id="rId504" /><Relationship Type="http://schemas.openxmlformats.org/officeDocument/2006/relationships/hyperlink" Target="https://icatalog.expocentr.ru/ru/exhibitions/de590dc5-417d-11ee-80ce-a0d3c1fab97f" TargetMode="External" Id="rId505" /><Relationship Type="http://schemas.openxmlformats.org/officeDocument/2006/relationships/hyperlink" Target="http://haass.ru/" TargetMode="External" Id="rId506" /><Relationship Type="http://schemas.openxmlformats.org/officeDocument/2006/relationships/hyperlink" Target="https://icatalog.expocentr.ru/ru/exhibitions/de590dc5-417d-11ee-80ce-a0d3c1fab97f" TargetMode="External" Id="rId507" /><Relationship Type="http://schemas.openxmlformats.org/officeDocument/2006/relationships/hyperlink" Target="https://icatalog.expocentr.ru/ru/exhibitions/de590dc5-417d-11ee-80ce-a0d3c1fab97f" TargetMode="External" Id="rId508" /><Relationship Type="http://schemas.openxmlformats.org/officeDocument/2006/relationships/hyperlink" Target="http://ifmark.ru/" TargetMode="External" Id="rId509" /><Relationship Type="http://schemas.openxmlformats.org/officeDocument/2006/relationships/hyperlink" Target="https://icatalog.expocentr.ru/ru/exhibitions/de590dc5-417d-11ee-80ce-a0d3c1fab97f" TargetMode="External" Id="rId510" /><Relationship Type="http://schemas.openxmlformats.org/officeDocument/2006/relationships/hyperlink" Target="http://www.eleps.ru/" TargetMode="External" Id="rId511" /><Relationship Type="http://schemas.openxmlformats.org/officeDocument/2006/relationships/hyperlink" Target="https://icatalog.expocentr.ru/ru/exhibitions/de590dc5-417d-11ee-80ce-a0d3c1fab97f" TargetMode="External" Id="rId512" /><Relationship Type="http://schemas.openxmlformats.org/officeDocument/2006/relationships/hyperlink" Target="https://www.avantainvest.com/" TargetMode="External" Id="rId513" /><Relationship Type="http://schemas.openxmlformats.org/officeDocument/2006/relationships/hyperlink" Target="https://icatalog.expocentr.ru/ru/exhibitions/de590dc5-417d-11ee-80ce-a0d3c1fab97f" TargetMode="External" Id="rId514" /><Relationship Type="http://schemas.openxmlformats.org/officeDocument/2006/relationships/hyperlink" Target="http://www.balumed.su/" TargetMode="External" Id="rId515" /><Relationship Type="http://schemas.openxmlformats.org/officeDocument/2006/relationships/hyperlink" Target="https://icatalog.expocentr.ru/ru/exhibitions/de590dc5-417d-11ee-80ce-a0d3c1fab97f" TargetMode="External" Id="rId516" /><Relationship Type="http://schemas.openxmlformats.org/officeDocument/2006/relationships/hyperlink" Target="http://www.medizdelie.ru/" TargetMode="External" Id="rId517" /><Relationship Type="http://schemas.openxmlformats.org/officeDocument/2006/relationships/hyperlink" Target="https://icatalog.expocentr.ru/ru/exhibitions/de590dc5-417d-11ee-80ce-a0d3c1fab97f" TargetMode="External" Id="rId518" /><Relationship Type="http://schemas.openxmlformats.org/officeDocument/2006/relationships/hyperlink" Target="http://medikom.ru/" TargetMode="External" Id="rId519" /><Relationship Type="http://schemas.openxmlformats.org/officeDocument/2006/relationships/hyperlink" Target="https://icatalog.expocentr.ru/ru/exhibitions/de590dc5-417d-11ee-80ce-a0d3c1fab97f" TargetMode="External" Id="rId520" /><Relationship Type="http://schemas.openxmlformats.org/officeDocument/2006/relationships/hyperlink" Target="http://www.nephron.ru/" TargetMode="External" Id="rId521" /><Relationship Type="http://schemas.openxmlformats.org/officeDocument/2006/relationships/hyperlink" Target="https://icatalog.expocentr.ru/ru/exhibitions/de590dc5-417d-11ee-80ce-a0d3c1fab97f" TargetMode="External" Id="rId522" /><Relationship Type="http://schemas.openxmlformats.org/officeDocument/2006/relationships/hyperlink" Target="http://www.armaline.ru/" TargetMode="External" Id="rId523" /><Relationship Type="http://schemas.openxmlformats.org/officeDocument/2006/relationships/hyperlink" Target="https://icatalog.expocentr.ru/ru/exhibitions/de590dc5-417d-11ee-80ce-a0d3c1fab97f" TargetMode="External" Id="rId524" /><Relationship Type="http://schemas.openxmlformats.org/officeDocument/2006/relationships/hyperlink" Target="http://vit-medical.com/" TargetMode="External" Id="rId525" /><Relationship Type="http://schemas.openxmlformats.org/officeDocument/2006/relationships/hyperlink" Target="https://icatalog.expocentr.ru/ru/exhibitions/de590dc5-417d-11ee-80ce-a0d3c1fab97f" TargetMode="External" Id="rId526" /><Relationship Type="http://schemas.openxmlformats.org/officeDocument/2006/relationships/hyperlink" Target="https://bigpravo.ru/" TargetMode="External" Id="rId527" /><Relationship Type="http://schemas.openxmlformats.org/officeDocument/2006/relationships/hyperlink" Target="https://icatalog.expocentr.ru/ru/exhibitions/de590dc5-417d-11ee-80ce-a0d3c1fab97f" TargetMode="External" Id="rId528" /><Relationship Type="http://schemas.openxmlformats.org/officeDocument/2006/relationships/hyperlink" Target="http://www.apexlab.ru/" TargetMode="External" Id="rId529" /><Relationship Type="http://schemas.openxmlformats.org/officeDocument/2006/relationships/hyperlink" Target="https://icatalog.expocentr.ru/ru/exhibitions/de590dc5-417d-11ee-80ce-a0d3c1fab97f" TargetMode="External" Id="rId530" /><Relationship Type="http://schemas.openxmlformats.org/officeDocument/2006/relationships/hyperlink" Target="http://www.tdl-textile.ru/" TargetMode="External" Id="rId531" /><Relationship Type="http://schemas.openxmlformats.org/officeDocument/2006/relationships/hyperlink" Target="https://icatalog.expocentr.ru/ru/exhibitions/de590dc5-417d-11ee-80ce-a0d3c1fab97f" TargetMode="External" Id="rId532" /><Relationship Type="http://schemas.openxmlformats.org/officeDocument/2006/relationships/hyperlink" Target="http://www.zmtn.ru/" TargetMode="External" Id="rId533" /><Relationship Type="http://schemas.openxmlformats.org/officeDocument/2006/relationships/hyperlink" Target="https://icatalog.expocentr.ru/ru/exhibitions/de590dc5-417d-11ee-80ce-a0d3c1fab97f" TargetMode="External" Id="rId534" /><Relationship Type="http://schemas.openxmlformats.org/officeDocument/2006/relationships/hyperlink" Target="http://www.1thermometer.ru/" TargetMode="External" Id="rId535" /><Relationship Type="http://schemas.openxmlformats.org/officeDocument/2006/relationships/hyperlink" Target="https://icatalog.expocentr.ru/ru/exhibitions/de590dc5-417d-11ee-80ce-a0d3c1fab97f" TargetMode="External" Id="rId536" /><Relationship Type="http://schemas.openxmlformats.org/officeDocument/2006/relationships/hyperlink" Target="http://www.medmill.ru/" TargetMode="External" Id="rId537" /><Relationship Type="http://schemas.openxmlformats.org/officeDocument/2006/relationships/hyperlink" Target="https://icatalog.expocentr.ru/ru/exhibitions/de590dc5-417d-11ee-80ce-a0d3c1fab97f" TargetMode="External" Id="rId538" /><Relationship Type="http://schemas.openxmlformats.org/officeDocument/2006/relationships/hyperlink" Target="http://www.medapparatura.ru/" TargetMode="External" Id="rId539" /><Relationship Type="http://schemas.openxmlformats.org/officeDocument/2006/relationships/hyperlink" Target="https://icatalog.expocentr.ru/ru/exhibitions/de590dc5-417d-11ee-80ce-a0d3c1fab97f" TargetMode="External" Id="rId540" /><Relationship Type="http://schemas.openxmlformats.org/officeDocument/2006/relationships/hyperlink" Target="http://www.asomedica.by/" TargetMode="External" Id="rId541" /><Relationship Type="http://schemas.openxmlformats.org/officeDocument/2006/relationships/hyperlink" Target="https://icatalog.expocentr.ru/ru/exhibitions/de590dc5-417d-11ee-80ce-a0d3c1fab97f" TargetMode="External" Id="rId542" /><Relationship Type="http://schemas.openxmlformats.org/officeDocument/2006/relationships/hyperlink" Target="https://medproekt.msk.ru/" TargetMode="External" Id="rId543" /><Relationship Type="http://schemas.openxmlformats.org/officeDocument/2006/relationships/hyperlink" Target="https://icatalog.expocentr.ru/ru/exhibitions/de590dc5-417d-11ee-80ce-a0d3c1fab97f" TargetMode="External" Id="rId544" /><Relationship Type="http://schemas.openxmlformats.org/officeDocument/2006/relationships/hyperlink" Target="http://www.basismed.ru/" TargetMode="External" Id="rId545" /><Relationship Type="http://schemas.openxmlformats.org/officeDocument/2006/relationships/hyperlink" Target="https://icatalog.expocentr.ru/ru/exhibitions/de590dc5-417d-11ee-80ce-a0d3c1fab97f" TargetMode="External" Id="rId546" /><Relationship Type="http://schemas.openxmlformats.org/officeDocument/2006/relationships/hyperlink" Target="http://www.endo-nt.ru/" TargetMode="External" Id="rId547" /><Relationship Type="http://schemas.openxmlformats.org/officeDocument/2006/relationships/hyperlink" Target="https://icatalog.expocentr.ru/ru/exhibitions/de590dc5-417d-11ee-80ce-a0d3c1fab97f" TargetMode="External" Id="rId548" /><Relationship Type="http://schemas.openxmlformats.org/officeDocument/2006/relationships/hyperlink" Target="https://unikhelz.su/" TargetMode="External" Id="rId549" /><Relationship Type="http://schemas.openxmlformats.org/officeDocument/2006/relationships/hyperlink" Target="https://icatalog.expocentr.ru/ru/exhibitions/de590dc5-417d-11ee-80ce-a0d3c1fab97f" TargetMode="External" Id="rId550" /><Relationship Type="http://schemas.openxmlformats.org/officeDocument/2006/relationships/hyperlink" Target="https://parmd.ru/" TargetMode="External" Id="rId551" /><Relationship Type="http://schemas.openxmlformats.org/officeDocument/2006/relationships/hyperlink" Target="https://icatalog.expocentr.ru/ru/exhibitions/de590dc5-417d-11ee-80ce-a0d3c1fab97f" TargetMode="External" Id="rId552" /><Relationship Type="http://schemas.openxmlformats.org/officeDocument/2006/relationships/hyperlink" Target="http://www.medx-ray.ru/" TargetMode="External" Id="rId553" /><Relationship Type="http://schemas.openxmlformats.org/officeDocument/2006/relationships/hyperlink" Target="https://icatalog.expocentr.ru/ru/exhibitions/de590dc5-417d-11ee-80ce-a0d3c1fab97f" TargetMode="External" Id="rId554" /><Relationship Type="http://schemas.openxmlformats.org/officeDocument/2006/relationships/hyperlink" Target="https://icatalog.expocentr.ru/ru/exhibitions/de590dc5-417d-11ee-80ce-a0d3c1fab97f" TargetMode="External" Id="rId555" /><Relationship Type="http://schemas.openxmlformats.org/officeDocument/2006/relationships/hyperlink" Target="http://www.voscopran.ru/" TargetMode="External" Id="rId556" /><Relationship Type="http://schemas.openxmlformats.org/officeDocument/2006/relationships/hyperlink" Target="https://icatalog.expocentr.ru/ru/exhibitions/de590dc5-417d-11ee-80ce-a0d3c1fab97f" TargetMode="External" Id="rId557" /><Relationship Type="http://schemas.openxmlformats.org/officeDocument/2006/relationships/hyperlink" Target="http://www.arxmed.ru/" TargetMode="External" Id="rId558" /><Relationship Type="http://schemas.openxmlformats.org/officeDocument/2006/relationships/hyperlink" Target="https://icatalog.expocentr.ru/ru/exhibitions/de590dc5-417d-11ee-80ce-a0d3c1fab97f" TargetMode="External" Id="rId559" /><Relationship Type="http://schemas.openxmlformats.org/officeDocument/2006/relationships/hyperlink" Target="https://gruppastk.ru/" TargetMode="External" Id="rId560" /><Relationship Type="http://schemas.openxmlformats.org/officeDocument/2006/relationships/hyperlink" Target="https://icatalog.expocentr.ru/ru/exhibitions/de590dc5-417d-11ee-80ce-a0d3c1fab97f" TargetMode="External" Id="rId561" /><Relationship Type="http://schemas.openxmlformats.org/officeDocument/2006/relationships/hyperlink" Target="http://www.mfsendo.com/" TargetMode="External" Id="rId562" /><Relationship Type="http://schemas.openxmlformats.org/officeDocument/2006/relationships/hyperlink" Target="https://icatalog.expocentr.ru/ru/exhibitions/de590dc5-417d-11ee-80ce-a0d3c1fab97f" TargetMode="External" Id="rId563" /><Relationship Type="http://schemas.openxmlformats.org/officeDocument/2006/relationships/hyperlink" Target="http://www.galteyapharm.by/" TargetMode="External" Id="rId564" /><Relationship Type="http://schemas.openxmlformats.org/officeDocument/2006/relationships/hyperlink" Target="https://icatalog.expocentr.ru/ru/exhibitions/de590dc5-417d-11ee-80ce-a0d3c1fab97f" TargetMode="External" Id="rId565" /><Relationship Type="http://schemas.openxmlformats.org/officeDocument/2006/relationships/hyperlink" Target="http://www.alfachem.su/" TargetMode="External" Id="rId566" /><Relationship Type="http://schemas.openxmlformats.org/officeDocument/2006/relationships/hyperlink" Target="https://icatalog.expocentr.ru/ru/exhibitions/de590dc5-417d-11ee-80ce-a0d3c1fab97f" TargetMode="External" Id="rId567" /><Relationship Type="http://schemas.openxmlformats.org/officeDocument/2006/relationships/hyperlink" Target="https://perspectiva-m.ru/" TargetMode="External" Id="rId568" /><Relationship Type="http://schemas.openxmlformats.org/officeDocument/2006/relationships/hyperlink" Target="https://icatalog.expocentr.ru/ru/exhibitions/de590dc5-417d-11ee-80ce-a0d3c1fab97f" TargetMode="External" Id="rId569" /><Relationship Type="http://schemas.openxmlformats.org/officeDocument/2006/relationships/hyperlink" Target="http://www.ergonest.com/" TargetMode="External" Id="rId570" /><Relationship Type="http://schemas.openxmlformats.org/officeDocument/2006/relationships/hyperlink" Target="https://icatalog.expocentr.ru/ru/exhibitions/de590dc5-417d-11ee-80ce-a0d3c1fab97f" TargetMode="External" Id="rId571" /><Relationship Type="http://schemas.openxmlformats.org/officeDocument/2006/relationships/hyperlink" Target="http://ecolat.shop/" TargetMode="External" Id="rId572" /><Relationship Type="http://schemas.openxmlformats.org/officeDocument/2006/relationships/hyperlink" Target="https://icatalog.expocentr.ru/ru/exhibitions/de590dc5-417d-11ee-80ce-a0d3c1fab97f" TargetMode="External" Id="rId573" /><Relationship Type="http://schemas.openxmlformats.org/officeDocument/2006/relationships/hyperlink" Target="http://www.ooo-mim.ru/" TargetMode="External" Id="rId574" /><Relationship Type="http://schemas.openxmlformats.org/officeDocument/2006/relationships/hyperlink" Target="https://icatalog.expocentr.ru/ru/exhibitions/de590dc5-417d-11ee-80ce-a0d3c1fab97f" TargetMode="External" Id="rId575" /><Relationship Type="http://schemas.openxmlformats.org/officeDocument/2006/relationships/hyperlink" Target="http://zmt-moscow.ru/" TargetMode="External" Id="rId576" /><Relationship Type="http://schemas.openxmlformats.org/officeDocument/2006/relationships/hyperlink" Target="https://icatalog.expocentr.ru/ru/exhibitions/de590dc5-417d-11ee-80ce-a0d3c1fab97f" TargetMode="External" Id="rId577" /><Relationship Type="http://schemas.openxmlformats.org/officeDocument/2006/relationships/hyperlink" Target="http://www.alfatory.ru/" TargetMode="External" Id="rId578" /><Relationship Type="http://schemas.openxmlformats.org/officeDocument/2006/relationships/hyperlink" Target="https://icatalog.expocentr.ru/ru/exhibitions/de590dc5-417d-11ee-80ce-a0d3c1fab97f" TargetMode="External" Id="rId579" /><Relationship Type="http://schemas.openxmlformats.org/officeDocument/2006/relationships/hyperlink" Target="http://www.sibur.ru/" TargetMode="External" Id="rId580" /><Relationship Type="http://schemas.openxmlformats.org/officeDocument/2006/relationships/hyperlink" Target="https://icatalog.expocentr.ru/ru/exhibitions/de590dc5-417d-11ee-80ce-a0d3c1fab97f" TargetMode="External" Id="rId581" /><Relationship Type="http://schemas.openxmlformats.org/officeDocument/2006/relationships/hyperlink" Target="http://www.unicmed.ru/" TargetMode="External" Id="rId582" /><Relationship Type="http://schemas.openxmlformats.org/officeDocument/2006/relationships/hyperlink" Target="https://icatalog.expocentr.ru/ru/exhibitions/de590dc5-417d-11ee-80ce-a0d3c1fab97f" TargetMode="External" Id="rId583" /><Relationship Type="http://schemas.openxmlformats.org/officeDocument/2006/relationships/hyperlink" Target="http://www.natana-group.ru/" TargetMode="External" Id="rId584" /><Relationship Type="http://schemas.openxmlformats.org/officeDocument/2006/relationships/hyperlink" Target="https://icatalog.expocentr.ru/ru/exhibitions/de590dc5-417d-11ee-80ce-a0d3c1fab97f" TargetMode="External" Id="rId585" /><Relationship Type="http://schemas.openxmlformats.org/officeDocument/2006/relationships/hyperlink" Target="http://www.medintorg.ru/" TargetMode="External" Id="rId586" /><Relationship Type="http://schemas.openxmlformats.org/officeDocument/2006/relationships/hyperlink" Target="https://icatalog.expocentr.ru/ru/exhibitions/de590dc5-417d-11ee-80ce-a0d3c1fab97f" TargetMode="External" Id="rId587" /><Relationship Type="http://schemas.openxmlformats.org/officeDocument/2006/relationships/hyperlink" Target="http://www.yarward.com.ru/" TargetMode="External" Id="rId588" /><Relationship Type="http://schemas.openxmlformats.org/officeDocument/2006/relationships/hyperlink" Target="https://icatalog.expocentr.ru/ru/exhibitions/de590dc5-417d-11ee-80ce-a0d3c1fab97f" TargetMode="External" Id="rId589" /><Relationship Type="http://schemas.openxmlformats.org/officeDocument/2006/relationships/hyperlink" Target="http://www.pascal-med.ru/" TargetMode="External" Id="rId590" /><Relationship Type="http://schemas.openxmlformats.org/officeDocument/2006/relationships/hyperlink" Target="https://icatalog.expocentr.ru/ru/exhibitions/de590dc5-417d-11ee-80ce-a0d3c1fab97f" TargetMode="External" Id="rId591" /><Relationship Type="http://schemas.openxmlformats.org/officeDocument/2006/relationships/hyperlink" Target="https://belemsa.com/" TargetMode="External" Id="rId592" /><Relationship Type="http://schemas.openxmlformats.org/officeDocument/2006/relationships/hyperlink" Target="https://icatalog.expocentr.ru/ru/exhibitions/de590dc5-417d-11ee-80ce-a0d3c1fab97f" TargetMode="External" Id="rId593" /><Relationship Type="http://schemas.openxmlformats.org/officeDocument/2006/relationships/hyperlink" Target="https://wegorus.ru/" TargetMode="External" Id="rId594" /><Relationship Type="http://schemas.openxmlformats.org/officeDocument/2006/relationships/hyperlink" Target="https://icatalog.expocentr.ru/ru/exhibitions/de590dc5-417d-11ee-80ce-a0d3c1fab97f" TargetMode="External" Id="rId595" /><Relationship Type="http://schemas.openxmlformats.org/officeDocument/2006/relationships/hyperlink" Target="https://icatalog.expocentr.ru/ru/exhibitions/de590dc5-417d-11ee-80ce-a0d3c1fab97f" TargetMode="External" Id="rId596" /><Relationship Type="http://schemas.openxmlformats.org/officeDocument/2006/relationships/hyperlink" Target="http://ctmt.ru/" TargetMode="External" Id="rId597" /><Relationship Type="http://schemas.openxmlformats.org/officeDocument/2006/relationships/hyperlink" Target="https://icatalog.expocentr.ru/ru/exhibitions/de590dc5-417d-11ee-80ce-a0d3c1fab97f" TargetMode="External" Id="rId598" /><Relationship Type="http://schemas.openxmlformats.org/officeDocument/2006/relationships/hyperlink" Target="http://www.geomedplus.ru/" TargetMode="External" Id="rId599" /><Relationship Type="http://schemas.openxmlformats.org/officeDocument/2006/relationships/hyperlink" Target="https://icatalog.expocentr.ru/ru/exhibitions/de590dc5-417d-11ee-80ce-a0d3c1fab97f" TargetMode="External" Id="rId600" /><Relationship Type="http://schemas.openxmlformats.org/officeDocument/2006/relationships/hyperlink" Target="https://optimelle.org/" TargetMode="External" Id="rId601" /><Relationship Type="http://schemas.openxmlformats.org/officeDocument/2006/relationships/hyperlink" Target="https://icatalog.expocentr.ru/ru/exhibitions/de590dc5-417d-11ee-80ce-a0d3c1fab97f" TargetMode="External" Id="rId602" /><Relationship Type="http://schemas.openxmlformats.org/officeDocument/2006/relationships/hyperlink" Target="http://www.vait-medical.ru/" TargetMode="External" Id="rId603" /><Relationship Type="http://schemas.openxmlformats.org/officeDocument/2006/relationships/hyperlink" Target="https://icatalog.expocentr.ru/ru/exhibitions/de590dc5-417d-11ee-80ce-a0d3c1fab97f" TargetMode="External" Id="rId604" /><Relationship Type="http://schemas.openxmlformats.org/officeDocument/2006/relationships/hyperlink" Target="http://www.tatpharm.ru/" TargetMode="External" Id="rId605" /><Relationship Type="http://schemas.openxmlformats.org/officeDocument/2006/relationships/hyperlink" Target="https://icatalog.expocentr.ru/ru/exhibitions/de590dc5-417d-11ee-80ce-a0d3c1fab97f" TargetMode="External" Id="rId606" /><Relationship Type="http://schemas.openxmlformats.org/officeDocument/2006/relationships/hyperlink" Target="http://www.medsil.ru/" TargetMode="External" Id="rId607" /><Relationship Type="http://schemas.openxmlformats.org/officeDocument/2006/relationships/hyperlink" Target="https://icatalog.expocentr.ru/ru/exhibitions/de590dc5-417d-11ee-80ce-a0d3c1fab97f" TargetMode="External" Id="rId608" /><Relationship Type="http://schemas.openxmlformats.org/officeDocument/2006/relationships/hyperlink" Target="http://mpk-elec.ru/" TargetMode="External" Id="rId609" /><Relationship Type="http://schemas.openxmlformats.org/officeDocument/2006/relationships/hyperlink" Target="https://icatalog.expocentr.ru/ru/exhibitions/de590dc5-417d-11ee-80ce-a0d3c1fab97f" TargetMode="External" Id="rId610" /><Relationship Type="http://schemas.openxmlformats.org/officeDocument/2006/relationships/hyperlink" Target="http://www.gkzdorovie.ru/" TargetMode="External" Id="rId611" /><Relationship Type="http://schemas.openxmlformats.org/officeDocument/2006/relationships/hyperlink" Target="https://icatalog.expocentr.ru/ru/exhibitions/de590dc5-417d-11ee-80ce-a0d3c1fab97f" TargetMode="External" Id="rId612" /><Relationship Type="http://schemas.openxmlformats.org/officeDocument/2006/relationships/hyperlink" Target="http://www.fiatos.com/" TargetMode="External" Id="rId613" /><Relationship Type="http://schemas.openxmlformats.org/officeDocument/2006/relationships/hyperlink" Target="https://icatalog.expocentr.ru/ru/exhibitions/de590dc5-417d-11ee-80ce-a0d3c1fab97f" TargetMode="External" Id="rId614" /><Relationship Type="http://schemas.openxmlformats.org/officeDocument/2006/relationships/hyperlink" Target="https://farmlik.ru/" TargetMode="External" Id="rId615" /><Relationship Type="http://schemas.openxmlformats.org/officeDocument/2006/relationships/hyperlink" Target="https://icatalog.expocentr.ru/ru/exhibitions/de590dc5-417d-11ee-80ce-a0d3c1fab97f" TargetMode="External" Id="rId616" /><Relationship Type="http://schemas.openxmlformats.org/officeDocument/2006/relationships/hyperlink" Target="http://www.maromax.ru/" TargetMode="External" Id="rId617" /><Relationship Type="http://schemas.openxmlformats.org/officeDocument/2006/relationships/hyperlink" Target="https://icatalog.expocentr.ru/ru/exhibitions/de590dc5-417d-11ee-80ce-a0d3c1fab97f" TargetMode="External" Id="rId618" /><Relationship Type="http://schemas.openxmlformats.org/officeDocument/2006/relationships/hyperlink" Target="http://www.chartpaperexpert.com/" TargetMode="External" Id="rId619" /><Relationship Type="http://schemas.openxmlformats.org/officeDocument/2006/relationships/hyperlink" Target="https://icatalog.expocentr.ru/ru/exhibitions/de590dc5-417d-11ee-80ce-a0d3c1fab97f" TargetMode="External" Id="rId620" /><Relationship Type="http://schemas.openxmlformats.org/officeDocument/2006/relationships/hyperlink" Target="http://www.medfason.ru/" TargetMode="External" Id="rId621" /><Relationship Type="http://schemas.openxmlformats.org/officeDocument/2006/relationships/hyperlink" Target="https://icatalog.expocentr.ru/ru/exhibitions/de590dc5-417d-11ee-80ce-a0d3c1fab97f" TargetMode="External" Id="rId622" /><Relationship Type="http://schemas.openxmlformats.org/officeDocument/2006/relationships/hyperlink" Target="http://www.medirama.ru/" TargetMode="External" Id="rId623" /><Relationship Type="http://schemas.openxmlformats.org/officeDocument/2006/relationships/hyperlink" Target="https://icatalog.expocentr.ru/ru/exhibitions/de590dc5-417d-11ee-80ce-a0d3c1fab97f" TargetMode="External" Id="rId624" /><Relationship Type="http://schemas.openxmlformats.org/officeDocument/2006/relationships/hyperlink" Target="http://www.nmcport.com/" TargetMode="External" Id="rId625" /><Relationship Type="http://schemas.openxmlformats.org/officeDocument/2006/relationships/hyperlink" Target="https://icatalog.expocentr.ru/ru/exhibitions/de590dc5-417d-11ee-80ce-a0d3c1fab97f" TargetMode="External" Id="rId626" /><Relationship Type="http://schemas.openxmlformats.org/officeDocument/2006/relationships/hyperlink" Target="http://berimed.ru/" TargetMode="External" Id="rId627" /><Relationship Type="http://schemas.openxmlformats.org/officeDocument/2006/relationships/hyperlink" Target="https://icatalog.expocentr.ru/ru/exhibitions/de590dc5-417d-11ee-80ce-a0d3c1fab97f" TargetMode="External" Id="rId628" /><Relationship Type="http://schemas.openxmlformats.org/officeDocument/2006/relationships/hyperlink" Target="https://icatalog.expocentr.ru/ru/exhibitions/de590dc5-417d-11ee-80ce-a0d3c1fab97f" TargetMode="External" Id="rId629" /><Relationship Type="http://schemas.openxmlformats.org/officeDocument/2006/relationships/hyperlink" Target="http://www.medmedical.ru/" TargetMode="External" Id="rId630" /><Relationship Type="http://schemas.openxmlformats.org/officeDocument/2006/relationships/hyperlink" Target="https://icatalog.expocentr.ru/ru/exhibitions/de590dc5-417d-11ee-80ce-a0d3c1fab97f" TargetMode="External" Id="rId631" /><Relationship Type="http://schemas.openxmlformats.org/officeDocument/2006/relationships/hyperlink" Target="http://imex-company.ru/" TargetMode="External" Id="rId632" /><Relationship Type="http://schemas.openxmlformats.org/officeDocument/2006/relationships/hyperlink" Target="https://icatalog.expocentr.ru/ru/exhibitions/de590dc5-417d-11ee-80ce-a0d3c1fab97f" TargetMode="External" Id="rId633" /><Relationship Type="http://schemas.openxmlformats.org/officeDocument/2006/relationships/hyperlink" Target="http://www.garant1.ru/" TargetMode="External" Id="rId634" /><Relationship Type="http://schemas.openxmlformats.org/officeDocument/2006/relationships/hyperlink" Target="https://icatalog.expocentr.ru/ru/exhibitions/de590dc5-417d-11ee-80ce-a0d3c1fab97f" TargetMode="External" Id="rId635" /><Relationship Type="http://schemas.openxmlformats.org/officeDocument/2006/relationships/hyperlink" Target="http://www.mp-simurg.ru/" TargetMode="External" Id="rId636" /><Relationship Type="http://schemas.openxmlformats.org/officeDocument/2006/relationships/hyperlink" Target="https://icatalog.expocentr.ru/ru/exhibitions/de590dc5-417d-11ee-80ce-a0d3c1fab97f" TargetMode="External" Id="rId637" /><Relationship Type="http://schemas.openxmlformats.org/officeDocument/2006/relationships/hyperlink" Target="http://www.bisans.ru/" TargetMode="External" Id="rId638" /><Relationship Type="http://schemas.openxmlformats.org/officeDocument/2006/relationships/hyperlink" Target="https://icatalog.expocentr.ru/ru/exhibitions/de590dc5-417d-11ee-80ce-a0d3c1fab97f" TargetMode="External" Id="rId639" /><Relationship Type="http://schemas.openxmlformats.org/officeDocument/2006/relationships/hyperlink" Target="http://www.akonit.ru/" TargetMode="External" Id="rId640" /><Relationship Type="http://schemas.openxmlformats.org/officeDocument/2006/relationships/hyperlink" Target="https://icatalog.expocentr.ru/ru/exhibitions/de590dc5-417d-11ee-80ce-a0d3c1fab97f" TargetMode="External" Id="rId641" /><Relationship Type="http://schemas.openxmlformats.org/officeDocument/2006/relationships/hyperlink" Target="http://www.aktimed.ru/" TargetMode="External" Id="rId642" /><Relationship Type="http://schemas.openxmlformats.org/officeDocument/2006/relationships/hyperlink" Target="https://icatalog.expocentr.ru/ru/exhibitions/de590dc5-417d-11ee-80ce-a0d3c1fab97f" TargetMode="External" Id="rId643" /><Relationship Type="http://schemas.openxmlformats.org/officeDocument/2006/relationships/hyperlink" Target="http://www.cereb.su/" TargetMode="External" Id="rId644" /><Relationship Type="http://schemas.openxmlformats.org/officeDocument/2006/relationships/hyperlink" Target="https://icatalog.expocentr.ru/ru/exhibitions/de590dc5-417d-11ee-80ce-a0d3c1fab97f" TargetMode="External" Id="rId645" /><Relationship Type="http://schemas.openxmlformats.org/officeDocument/2006/relationships/hyperlink" Target="http://www.pgmed.ru/" TargetMode="External" Id="rId646" /><Relationship Type="http://schemas.openxmlformats.org/officeDocument/2006/relationships/hyperlink" Target="https://icatalog.expocentr.ru/ru/exhibitions/de590dc5-417d-11ee-80ce-a0d3c1fab97f" TargetMode="External" Id="rId647" /><Relationship Type="http://schemas.openxmlformats.org/officeDocument/2006/relationships/hyperlink" Target="http://www.elemaar.ru/" TargetMode="External" Id="rId648" /><Relationship Type="http://schemas.openxmlformats.org/officeDocument/2006/relationships/hyperlink" Target="https://icatalog.expocentr.ru/ru/exhibitions/de590dc5-417d-11ee-80ce-a0d3c1fab97f" TargetMode="External" Id="rId649" /><Relationship Type="http://schemas.openxmlformats.org/officeDocument/2006/relationships/hyperlink" Target="https://www.skolfarma.ru/" TargetMode="External" Id="rId650" /><Relationship Type="http://schemas.openxmlformats.org/officeDocument/2006/relationships/hyperlink" Target="https://icatalog.expocentr.ru/ru/exhibitions/de590dc5-417d-11ee-80ce-a0d3c1fab97f" TargetMode="External" Id="rId651" /><Relationship Type="http://schemas.openxmlformats.org/officeDocument/2006/relationships/hyperlink" Target="https://darpix.ru/" TargetMode="External" Id="rId652" /><Relationship Type="http://schemas.openxmlformats.org/officeDocument/2006/relationships/hyperlink" Target="https://icatalog.expocentr.ru/ru/exhibitions/de590dc5-417d-11ee-80ce-a0d3c1fab97f" TargetMode="External" Id="rId653" /><Relationship Type="http://schemas.openxmlformats.org/officeDocument/2006/relationships/hyperlink" Target="http://medaim.ru/" TargetMode="External" Id="rId654" /><Relationship Type="http://schemas.openxmlformats.org/officeDocument/2006/relationships/hyperlink" Target="https://icatalog.expocentr.ru/ru/exhibitions/de590dc5-417d-11ee-80ce-a0d3c1fab97f" TargetMode="External" Id="rId655" /><Relationship Type="http://schemas.openxmlformats.org/officeDocument/2006/relationships/hyperlink" Target="https://ancommed.ru/" TargetMode="External" Id="rId656" /><Relationship Type="http://schemas.openxmlformats.org/officeDocument/2006/relationships/hyperlink" Target="https://icatalog.expocentr.ru/ru/exhibitions/de590dc5-417d-11ee-80ce-a0d3c1fab97f" TargetMode="External" Id="rId657" /><Relationship Type="http://schemas.openxmlformats.org/officeDocument/2006/relationships/hyperlink" Target="http://www.ilifemedica.com/" TargetMode="External" Id="rId658" /><Relationship Type="http://schemas.openxmlformats.org/officeDocument/2006/relationships/hyperlink" Target="https://icatalog.expocentr.ru/ru/exhibitions/de590dc5-417d-11ee-80ce-a0d3c1fab97f" TargetMode="External" Id="rId659" /><Relationship Type="http://schemas.openxmlformats.org/officeDocument/2006/relationships/hyperlink" Target="http://www.shaklin.ru/" TargetMode="External" Id="rId660" /><Relationship Type="http://schemas.openxmlformats.org/officeDocument/2006/relationships/hyperlink" Target="https://icatalog.expocentr.ru/ru/exhibitions/de590dc5-417d-11ee-80ce-a0d3c1fab97f" TargetMode="External" Id="rId661" /><Relationship Type="http://schemas.openxmlformats.org/officeDocument/2006/relationships/hyperlink" Target="https://yukigroup.ru/" TargetMode="External" Id="rId662" /><Relationship Type="http://schemas.openxmlformats.org/officeDocument/2006/relationships/hyperlink" Target="https://icatalog.expocentr.ru/ru/exhibitions/de590dc5-417d-11ee-80ce-a0d3c1fab97f" TargetMode="External" Id="rId663" /><Relationship Type="http://schemas.openxmlformats.org/officeDocument/2006/relationships/hyperlink" Target="http://www.palma-med.ru/" TargetMode="External" Id="rId664" /><Relationship Type="http://schemas.openxmlformats.org/officeDocument/2006/relationships/hyperlink" Target="https://icatalog.expocentr.ru/ru/exhibitions/de590dc5-417d-11ee-80ce-a0d3c1fab97f" TargetMode="External" Id="rId665" /><Relationship Type="http://schemas.openxmlformats.org/officeDocument/2006/relationships/hyperlink" Target="https://roteklaminates.com/" TargetMode="External" Id="rId666" /><Relationship Type="http://schemas.openxmlformats.org/officeDocument/2006/relationships/hyperlink" Target="https://icatalog.expocentr.ru/ru/exhibitions/de590dc5-417d-11ee-80ce-a0d3c1fab97f" TargetMode="External" Id="rId667" /><Relationship Type="http://schemas.openxmlformats.org/officeDocument/2006/relationships/hyperlink" Target="http://www.willmed.ru/" TargetMode="External" Id="rId668" /><Relationship Type="http://schemas.openxmlformats.org/officeDocument/2006/relationships/hyperlink" Target="https://icatalog.expocentr.ru/ru/exhibitions/de590dc5-417d-11ee-80ce-a0d3c1fab97f" TargetMode="External" Id="rId669" /><Relationship Type="http://schemas.openxmlformats.org/officeDocument/2006/relationships/hyperlink" Target="http://www.lentabel.by/" TargetMode="External" Id="rId670" /><Relationship Type="http://schemas.openxmlformats.org/officeDocument/2006/relationships/hyperlink" Target="https://icatalog.expocentr.ru/ru/exhibitions/de590dc5-417d-11ee-80ce-a0d3c1fab97f" TargetMode="External" Id="rId671" /><Relationship Type="http://schemas.openxmlformats.org/officeDocument/2006/relationships/hyperlink" Target="http://heine.com.ru/" TargetMode="External" Id="rId672" /><Relationship Type="http://schemas.openxmlformats.org/officeDocument/2006/relationships/hyperlink" Target="https://icatalog.expocentr.ru/ru/exhibitions/de590dc5-417d-11ee-80ce-a0d3c1fab97f" TargetMode="External" Id="rId673" /><Relationship Type="http://schemas.openxmlformats.org/officeDocument/2006/relationships/hyperlink" Target="https://meshkipaketi.ru/" TargetMode="External" Id="rId674" /><Relationship Type="http://schemas.openxmlformats.org/officeDocument/2006/relationships/hyperlink" Target="https://icatalog.expocentr.ru/ru/exhibitions/de590dc5-417d-11ee-80ce-a0d3c1fab97f" TargetMode="External" Id="rId675" /><Relationship Type="http://schemas.openxmlformats.org/officeDocument/2006/relationships/hyperlink" Target="https://bolusmed.ru/" TargetMode="External" Id="rId676" /><Relationship Type="http://schemas.openxmlformats.org/officeDocument/2006/relationships/hyperlink" Target="https://icatalog.expocentr.ru/ru/exhibitions/de590dc5-417d-11ee-80ce-a0d3c1fab97f" TargetMode="External" Id="rId677" /><Relationship Type="http://schemas.openxmlformats.org/officeDocument/2006/relationships/hyperlink" Target="http://www.advamedics.ru/" TargetMode="External" Id="rId678" /><Relationship Type="http://schemas.openxmlformats.org/officeDocument/2006/relationships/hyperlink" Target="https://icatalog.expocentr.ru/ru/exhibitions/de590dc5-417d-11ee-80ce-a0d3c1fab97f" TargetMode="External" Id="rId679" /><Relationship Type="http://schemas.openxmlformats.org/officeDocument/2006/relationships/hyperlink" Target="http://www.mnpkavis.ru/" TargetMode="External" Id="rId680" /><Relationship Type="http://schemas.openxmlformats.org/officeDocument/2006/relationships/hyperlink" Target="https://icatalog.expocentr.ru/ru/exhibitions/de590dc5-417d-11ee-80ce-a0d3c1fab97f" TargetMode="External" Id="rId681" /><Relationship Type="http://schemas.openxmlformats.org/officeDocument/2006/relationships/hyperlink" Target="http://www.emgr.ru/" TargetMode="External" Id="rId682" /><Relationship Type="http://schemas.openxmlformats.org/officeDocument/2006/relationships/hyperlink" Target="https://icatalog.expocentr.ru/ru/exhibitions/de590dc5-417d-11ee-80ce-a0d3c1fab97f" TargetMode="External" Id="rId683" /><Relationship Type="http://schemas.openxmlformats.org/officeDocument/2006/relationships/hyperlink" Target="http://www.bint.ru/" TargetMode="External" Id="rId684" /><Relationship Type="http://schemas.openxmlformats.org/officeDocument/2006/relationships/hyperlink" Target="https://icatalog.expocentr.ru/ru/exhibitions/de590dc5-417d-11ee-80ce-a0d3c1fab97f" TargetMode="External" Id="rId685" /><Relationship Type="http://schemas.openxmlformats.org/officeDocument/2006/relationships/hyperlink" Target="http://www.medin-n.ru/" TargetMode="External" Id="rId686" /><Relationship Type="http://schemas.openxmlformats.org/officeDocument/2006/relationships/hyperlink" Target="https://icatalog.expocentr.ru/ru/exhibitions/de590dc5-417d-11ee-80ce-a0d3c1fab97f" TargetMode="External" Id="rId687" /><Relationship Type="http://schemas.openxmlformats.org/officeDocument/2006/relationships/hyperlink" Target="http://bmedical.ru/" TargetMode="External" Id="rId688" /><Relationship Type="http://schemas.openxmlformats.org/officeDocument/2006/relationships/hyperlink" Target="https://icatalog.expocentr.ru/ru/exhibitions/de590dc5-417d-11ee-80ce-a0d3c1fab97f" TargetMode="External" Id="rId689" /><Relationship Type="http://schemas.openxmlformats.org/officeDocument/2006/relationships/hyperlink" Target="https://orionmed.ru/" TargetMode="External" Id="rId690" /><Relationship Type="http://schemas.openxmlformats.org/officeDocument/2006/relationships/hyperlink" Target="https://icatalog.expocentr.ru/ru/exhibitions/de590dc5-417d-11ee-80ce-a0d3c1fab97f" TargetMode="External" Id="rId691" /><Relationship Type="http://schemas.openxmlformats.org/officeDocument/2006/relationships/hyperlink" Target="https://vascularpro.ru/" TargetMode="External" Id="rId692" /><Relationship Type="http://schemas.openxmlformats.org/officeDocument/2006/relationships/hyperlink" Target="https://icatalog.expocentr.ru/ru/exhibitions/de590dc5-417d-11ee-80ce-a0d3c1fab97f" TargetMode="External" Id="rId693" /><Relationship Type="http://schemas.openxmlformats.org/officeDocument/2006/relationships/hyperlink" Target="http://www.napoly.info/" TargetMode="External" Id="rId694" /><Relationship Type="http://schemas.openxmlformats.org/officeDocument/2006/relationships/hyperlink" Target="https://icatalog.expocentr.ru/ru/exhibitions/de590dc5-417d-11ee-80ce-a0d3c1fab97f" TargetMode="External" Id="rId695" /><Relationship Type="http://schemas.openxmlformats.org/officeDocument/2006/relationships/hyperlink" Target="http://www.meditekm.ru/" TargetMode="External" Id="rId696" /><Relationship Type="http://schemas.openxmlformats.org/officeDocument/2006/relationships/hyperlink" Target="https://icatalog.expocentr.ru/ru/exhibitions/de590dc5-417d-11ee-80ce-a0d3c1fab97f" TargetMode="External" Id="rId697" /><Relationship Type="http://schemas.openxmlformats.org/officeDocument/2006/relationships/hyperlink" Target="http://www.1-touch.ru/" TargetMode="External" Id="rId698" /><Relationship Type="http://schemas.openxmlformats.org/officeDocument/2006/relationships/hyperlink" Target="https://icatalog.expocentr.ru/ru/exhibitions/de590dc5-417d-11ee-80ce-a0d3c1fab97f" TargetMode="External" Id="rId699" /><Relationship Type="http://schemas.openxmlformats.org/officeDocument/2006/relationships/hyperlink" Target="https://submed.com.tr/en-US/" TargetMode="External" Id="rId700" /><Relationship Type="http://schemas.openxmlformats.org/officeDocument/2006/relationships/hyperlink" Target="https://icatalog.expocentr.ru/ru/exhibitions/de590dc5-417d-11ee-80ce-a0d3c1fab97f" TargetMode="External" Id="rId701" /><Relationship Type="http://schemas.openxmlformats.org/officeDocument/2006/relationships/hyperlink" Target="http://www.grundlage.info/" TargetMode="External" Id="rId702" /><Relationship Type="http://schemas.openxmlformats.org/officeDocument/2006/relationships/hyperlink" Target="https://icatalog.expocentr.ru/ru/exhibitions/de590dc5-417d-11ee-80ce-a0d3c1fab97f" TargetMode="External" Id="rId703" /><Relationship Type="http://schemas.openxmlformats.org/officeDocument/2006/relationships/hyperlink" Target="http://www.imsstore.ru/" TargetMode="External" Id="rId704" /><Relationship Type="http://schemas.openxmlformats.org/officeDocument/2006/relationships/hyperlink" Target="https://icatalog.expocentr.ru/ru/exhibitions/de590dc5-417d-11ee-80ce-a0d3c1fab97f" TargetMode="External" Id="rId705" /><Relationship Type="http://schemas.openxmlformats.org/officeDocument/2006/relationships/hyperlink" Target="http://lm-med.com/" TargetMode="External" Id="rId706" /><Relationship Type="http://schemas.openxmlformats.org/officeDocument/2006/relationships/hyperlink" Target="https://icatalog.expocentr.ru/ru/exhibitions/de590dc5-417d-11ee-80ce-a0d3c1fab97f" TargetMode="External" Id="rId707" /><Relationship Type="http://schemas.openxmlformats.org/officeDocument/2006/relationships/hyperlink" Target="http://www.laparomed.com/" TargetMode="External" Id="rId708" /><Relationship Type="http://schemas.openxmlformats.org/officeDocument/2006/relationships/hyperlink" Target="https://icatalog.expocentr.ru/ru/exhibitions/de590dc5-417d-11ee-80ce-a0d3c1fab97f" TargetMode="External" Id="rId709" /><Relationship Type="http://schemas.openxmlformats.org/officeDocument/2006/relationships/hyperlink" Target="https://en.zhonghongpulin.cn/" TargetMode="External" Id="rId710" /><Relationship Type="http://schemas.openxmlformats.org/officeDocument/2006/relationships/hyperlink" Target="https://icatalog.expocentr.ru/ru/exhibitions/de590dc5-417d-11ee-80ce-a0d3c1fab97f" TargetMode="External" Id="rId711" /><Relationship Type="http://schemas.openxmlformats.org/officeDocument/2006/relationships/hyperlink" Target="http://www.vascularaccess.ru/" TargetMode="External" Id="rId712" /><Relationship Type="http://schemas.openxmlformats.org/officeDocument/2006/relationships/hyperlink" Target="https://icatalog.expocentr.ru/ru/exhibitions/de590dc5-417d-11ee-80ce-a0d3c1fab97f" TargetMode="External" Id="rId713" /><Relationship Type="http://schemas.openxmlformats.org/officeDocument/2006/relationships/hyperlink" Target="https://arhimed.spb.ru/" TargetMode="External" Id="rId714" /><Relationship Type="http://schemas.openxmlformats.org/officeDocument/2006/relationships/hyperlink" Target="https://icatalog.expocentr.ru/ru/exhibitions/de590dc5-417d-11ee-80ce-a0d3c1fab97f" TargetMode="External" Id="rId715" /><Relationship Type="http://schemas.openxmlformats.org/officeDocument/2006/relationships/hyperlink" Target="http://www.dezlab.by/" TargetMode="External" Id="rId716" /><Relationship Type="http://schemas.openxmlformats.org/officeDocument/2006/relationships/hyperlink" Target="https://icatalog.expocentr.ru/ru/exhibitions/de590dc5-417d-11ee-80ce-a0d3c1fab97f" TargetMode="External" Id="rId717" /><Relationship Type="http://schemas.openxmlformats.org/officeDocument/2006/relationships/hyperlink" Target="http://www.inallscrubs.ru/" TargetMode="External" Id="rId718" /><Relationship Type="http://schemas.openxmlformats.org/officeDocument/2006/relationships/hyperlink" Target="https://icatalog.expocentr.ru/ru/exhibitions/de590dc5-417d-11ee-80ce-a0d3c1fab97f" TargetMode="External" Id="rId719" /><Relationship Type="http://schemas.openxmlformats.org/officeDocument/2006/relationships/hyperlink" Target="https://icatalog.expocentr.ru/ru/exhibitions/de590dc5-417d-11ee-80ce-a0d3c1fab97f" TargetMode="External" Id="rId720" /><Relationship Type="http://schemas.openxmlformats.org/officeDocument/2006/relationships/hyperlink" Target="https://n-vit.com/" TargetMode="External" Id="rId721" /><Relationship Type="http://schemas.openxmlformats.org/officeDocument/2006/relationships/hyperlink" Target="https://icatalog.expocentr.ru/ru/exhibitions/de590dc5-417d-11ee-80ce-a0d3c1fab97f" TargetMode="External" Id="rId722" /><Relationship Type="http://schemas.openxmlformats.org/officeDocument/2006/relationships/hyperlink" Target="https://www.techno-med.ru/" TargetMode="External" Id="rId723" /><Relationship Type="http://schemas.openxmlformats.org/officeDocument/2006/relationships/hyperlink" Target="https://icatalog.expocentr.ru/ru/exhibitions/de590dc5-417d-11ee-80ce-a0d3c1fab97f" TargetMode="External" Id="rId724" /><Relationship Type="http://schemas.openxmlformats.org/officeDocument/2006/relationships/hyperlink" Target="http://www.polesie-toys.com/" TargetMode="External" Id="rId725" /><Relationship Type="http://schemas.openxmlformats.org/officeDocument/2006/relationships/hyperlink" Target="https://icatalog.expocentr.ru/ru/exhibitions/de590dc5-417d-11ee-80ce-a0d3c1fab97f" TargetMode="External" Id="rId726" /><Relationship Type="http://schemas.openxmlformats.org/officeDocument/2006/relationships/hyperlink" Target="https://tezis-shop.ru/" TargetMode="External" Id="rId727" /><Relationship Type="http://schemas.openxmlformats.org/officeDocument/2006/relationships/hyperlink" Target="https://icatalog.expocentr.ru/ru/exhibitions/de590dc5-417d-11ee-80ce-a0d3c1fab97f" TargetMode="External" Id="rId728" /><Relationship Type="http://schemas.openxmlformats.org/officeDocument/2006/relationships/hyperlink" Target="http://www.nireda.ru/" TargetMode="External" Id="rId729" /><Relationship Type="http://schemas.openxmlformats.org/officeDocument/2006/relationships/hyperlink" Target="https://icatalog.expocentr.ru/ru/exhibitions/de590dc5-417d-11ee-80ce-a0d3c1fab97f" TargetMode="External" Id="rId730" /><Relationship Type="http://schemas.openxmlformats.org/officeDocument/2006/relationships/hyperlink" Target="http://www.tdsel.pro/" TargetMode="External" Id="rId731" /><Relationship Type="http://schemas.openxmlformats.org/officeDocument/2006/relationships/hyperlink" Target="https://icatalog.expocentr.ru/ru/exhibitions/de590dc5-417d-11ee-80ce-a0d3c1fab97f" TargetMode="External" Id="rId732" /><Relationship Type="http://schemas.openxmlformats.org/officeDocument/2006/relationships/hyperlink" Target="http://www.reanmed.ru/" TargetMode="External" Id="rId733" /><Relationship Type="http://schemas.openxmlformats.org/officeDocument/2006/relationships/hyperlink" Target="https://icatalog.expocentr.ru/ru/exhibitions/de590dc5-417d-11ee-80ce-a0d3c1fab97f" TargetMode="External" Id="rId734" /><Relationship Type="http://schemas.openxmlformats.org/officeDocument/2006/relationships/hyperlink" Target="https://berikamedikal.com.tr/" TargetMode="External" Id="rId735" /><Relationship Type="http://schemas.openxmlformats.org/officeDocument/2006/relationships/hyperlink" Target="https://icatalog.expocentr.ru/ru/exhibitions/de590dc5-417d-11ee-80ce-a0d3c1fab97f" TargetMode="External" Id="rId736" /><Relationship Type="http://schemas.openxmlformats.org/officeDocument/2006/relationships/hyperlink" Target="https://farm-sfera.ru/" TargetMode="External" Id="rId737" /><Relationship Type="http://schemas.openxmlformats.org/officeDocument/2006/relationships/hyperlink" Target="https://icatalog.expocentr.ru/ru/exhibitions/de590dc5-417d-11ee-80ce-a0d3c1fab97f" TargetMode="External" Id="rId738" /><Relationship Type="http://schemas.openxmlformats.org/officeDocument/2006/relationships/hyperlink" Target="http://ntmsp.ru/" TargetMode="External" Id="rId739" /><Relationship Type="http://schemas.openxmlformats.org/officeDocument/2006/relationships/hyperlink" Target="https://icatalog.expocentr.ru/ru/exhibitions/de590dc5-417d-11ee-80ce-a0d3c1fab97f" TargetMode="External" Id="rId740" /><Relationship Type="http://schemas.openxmlformats.org/officeDocument/2006/relationships/hyperlink" Target="http://www.unixfarm.by/" TargetMode="External" Id="rId741" /><Relationship Type="http://schemas.openxmlformats.org/officeDocument/2006/relationships/hyperlink" Target="https://icatalog.expocentr.ru/ru/exhibitions/de590dc5-417d-11ee-80ce-a0d3c1fab97f" TargetMode="External" Id="rId742" /><Relationship Type="http://schemas.openxmlformats.org/officeDocument/2006/relationships/hyperlink" Target="http://angioline.ru/" TargetMode="External" Id="rId743" /><Relationship Type="http://schemas.openxmlformats.org/officeDocument/2006/relationships/hyperlink" Target="https://icatalog.expocentr.ru/ru/exhibitions/de590dc5-417d-11ee-80ce-a0d3c1fab97f" TargetMode="External" Id="rId744" /><Relationship Type="http://schemas.openxmlformats.org/officeDocument/2006/relationships/hyperlink" Target="https://icatalog.expocentr.ru/ru/exhibitions/de590dc5-417d-11ee-80ce-a0d3c1fab97f" TargetMode="External" Id="rId745" /><Relationship Type="http://schemas.openxmlformats.org/officeDocument/2006/relationships/hyperlink" Target="https://rggroup-co.com/" TargetMode="External" Id="rId746" /><Relationship Type="http://schemas.openxmlformats.org/officeDocument/2006/relationships/hyperlink" Target="https://icatalog.expocentr.ru/ru/exhibitions/de590dc5-417d-11ee-80ce-a0d3c1fab97f" TargetMode="External" Id="rId747" /><Relationship Type="http://schemas.openxmlformats.org/officeDocument/2006/relationships/hyperlink" Target="http://diatix.ru/" TargetMode="External" Id="rId748" /><Relationship Type="http://schemas.openxmlformats.org/officeDocument/2006/relationships/hyperlink" Target="https://icatalog.expocentr.ru/ru/exhibitions/de590dc5-417d-11ee-80ce-a0d3c1fab97f" TargetMode="External" Id="rId749" /><Relationship Type="http://schemas.openxmlformats.org/officeDocument/2006/relationships/hyperlink" Target="http://www.interfarmservice.ru/" TargetMode="External" Id="rId750" /><Relationship Type="http://schemas.openxmlformats.org/officeDocument/2006/relationships/hyperlink" Target="https://icatalog.expocentr.ru/ru/exhibitions/de590dc5-417d-11ee-80ce-a0d3c1fab97f" TargetMode="External" Id="rId751" /><Relationship Type="http://schemas.openxmlformats.org/officeDocument/2006/relationships/hyperlink" Target="http://www.biosensoran.ru/" TargetMode="External" Id="rId752" /><Relationship Type="http://schemas.openxmlformats.org/officeDocument/2006/relationships/hyperlink" Target="https://icatalog.expocentr.ru/ru/exhibitions/de590dc5-417d-11ee-80ce-a0d3c1fab97f" TargetMode="External" Id="rId753" /><Relationship Type="http://schemas.openxmlformats.org/officeDocument/2006/relationships/hyperlink" Target="http://www.inpren.ru/" TargetMode="External" Id="rId754" /><Relationship Type="http://schemas.openxmlformats.org/officeDocument/2006/relationships/hyperlink" Target="https://icatalog.expocentr.ru/ru/exhibitions/de590dc5-417d-11ee-80ce-a0d3c1fab97f" TargetMode="External" Id="rId755" /><Relationship Type="http://schemas.openxmlformats.org/officeDocument/2006/relationships/hyperlink" Target="http://www.exmedikal.ru/" TargetMode="External" Id="rId756" /><Relationship Type="http://schemas.openxmlformats.org/officeDocument/2006/relationships/hyperlink" Target="https://icatalog.expocentr.ru/ru/exhibitions/de590dc5-417d-11ee-80ce-a0d3c1fab97f" TargetMode="External" Id="rId757" /><Relationship Type="http://schemas.openxmlformats.org/officeDocument/2006/relationships/hyperlink" Target="http://www.elema-n.ru/" TargetMode="External" Id="rId758" /><Relationship Type="http://schemas.openxmlformats.org/officeDocument/2006/relationships/hyperlink" Target="https://icatalog.expocentr.ru/ru/exhibitions/de590dc5-417d-11ee-80ce-a0d3c1fab97f" TargetMode="External" Id="rId759" /><Relationship Type="http://schemas.openxmlformats.org/officeDocument/2006/relationships/hyperlink" Target="http://www.abakteril.ru/" TargetMode="External" Id="rId760" /><Relationship Type="http://schemas.openxmlformats.org/officeDocument/2006/relationships/hyperlink" Target="https://icatalog.expocentr.ru/ru/exhibitions/de590dc5-417d-11ee-80ce-a0d3c1fab97f" TargetMode="External" Id="rId761" /><Relationship Type="http://schemas.openxmlformats.org/officeDocument/2006/relationships/hyperlink" Target="http://www.a-dez.ru/" TargetMode="External" Id="rId762" /><Relationship Type="http://schemas.openxmlformats.org/officeDocument/2006/relationships/hyperlink" Target="https://icatalog.expocentr.ru/ru/exhibitions/de590dc5-417d-11ee-80ce-a0d3c1fab97f" TargetMode="External" Id="rId763" /><Relationship Type="http://schemas.openxmlformats.org/officeDocument/2006/relationships/hyperlink" Target="http://www.almadez.ru/" TargetMode="External" Id="rId764" /><Relationship Type="http://schemas.openxmlformats.org/officeDocument/2006/relationships/hyperlink" Target="https://icatalog.expocentr.ru/ru/exhibitions/de590dc5-417d-11ee-80ce-a0d3c1fab97f" TargetMode="External" Id="rId765" /><Relationship Type="http://schemas.openxmlformats.org/officeDocument/2006/relationships/hyperlink" Target="http://www.dezon.pro/" TargetMode="External" Id="rId766" /><Relationship Type="http://schemas.openxmlformats.org/officeDocument/2006/relationships/hyperlink" Target="https://icatalog.expocentr.ru/ru/exhibitions/de590dc5-417d-11ee-80ce-a0d3c1fab97f" TargetMode="External" Id="rId767" /><Relationship Type="http://schemas.openxmlformats.org/officeDocument/2006/relationships/hyperlink" Target="http://www.voltmetrika.ru/" TargetMode="External" Id="rId768" /><Relationship Type="http://schemas.openxmlformats.org/officeDocument/2006/relationships/hyperlink" Target="https://icatalog.expocentr.ru/ru/exhibitions/de590dc5-417d-11ee-80ce-a0d3c1fab97f" TargetMode="External" Id="rId769" /><Relationship Type="http://schemas.openxmlformats.org/officeDocument/2006/relationships/hyperlink" Target="http://www.aseptica.biz/" TargetMode="External" Id="rId770" /><Relationship Type="http://schemas.openxmlformats.org/officeDocument/2006/relationships/hyperlink" Target="https://icatalog.expocentr.ru/ru/exhibitions/de590dc5-417d-11ee-80ce-a0d3c1fab97f" TargetMode="External" Id="rId771" /><Relationship Type="http://schemas.openxmlformats.org/officeDocument/2006/relationships/hyperlink" Target="http://www.geniks.ru/" TargetMode="External" Id="rId772" /><Relationship Type="http://schemas.openxmlformats.org/officeDocument/2006/relationships/hyperlink" Target="https://icatalog.expocentr.ru/ru/exhibitions/de590dc5-417d-11ee-80ce-a0d3c1fab97f" TargetMode="External" Id="rId773" /><Relationship Type="http://schemas.openxmlformats.org/officeDocument/2006/relationships/hyperlink" Target="http://septo.net/" TargetMode="External" Id="rId774" /><Relationship Type="http://schemas.openxmlformats.org/officeDocument/2006/relationships/hyperlink" Target="https://icatalog.expocentr.ru/ru/exhibitions/de590dc5-417d-11ee-80ce-a0d3c1fab97f" TargetMode="External" Id="rId775" /><Relationship Type="http://schemas.openxmlformats.org/officeDocument/2006/relationships/hyperlink" Target="http://www.avgroupp.ru/" TargetMode="External" Id="rId776" /><Relationship Type="http://schemas.openxmlformats.org/officeDocument/2006/relationships/hyperlink" Target="https://icatalog.expocentr.ru/ru/exhibitions/de590dc5-417d-11ee-80ce-a0d3c1fab97f" TargetMode="External" Id="rId777" /><Relationship Type="http://schemas.openxmlformats.org/officeDocument/2006/relationships/hyperlink" Target="http://www.vitapool.ru/" TargetMode="External" Id="rId778" /><Relationship Type="http://schemas.openxmlformats.org/officeDocument/2006/relationships/hyperlink" Target="https://icatalog.expocentr.ru/ru/exhibitions/de590dc5-417d-11ee-80ce-a0d3c1fab97f" TargetMode="External" Id="rId779" /><Relationship Type="http://schemas.openxmlformats.org/officeDocument/2006/relationships/hyperlink" Target="http://steri-pack.ru/" TargetMode="External" Id="rId780" /><Relationship Type="http://schemas.openxmlformats.org/officeDocument/2006/relationships/hyperlink" Target="https://icatalog.expocentr.ru/ru/exhibitions/de590dc5-417d-11ee-80ce-a0d3c1fab97f" TargetMode="External" Id="rId781" /><Relationship Type="http://schemas.openxmlformats.org/officeDocument/2006/relationships/hyperlink" Target="http://npkmedex.ru/" TargetMode="External" Id="rId782" /><Relationship Type="http://schemas.openxmlformats.org/officeDocument/2006/relationships/hyperlink" Target="https://icatalog.expocentr.ru/ru/exhibitions/de590dc5-417d-11ee-80ce-a0d3c1fab97f" TargetMode="External" Id="rId783" /><Relationship Type="http://schemas.openxmlformats.org/officeDocument/2006/relationships/hyperlink" Target="http://www.volgamedrf.ru/" TargetMode="External" Id="rId784" /><Relationship Type="http://schemas.openxmlformats.org/officeDocument/2006/relationships/hyperlink" Target="https://icatalog.expocentr.ru/ru/exhibitions/de590dc5-417d-11ee-80ce-a0d3c1fab97f" TargetMode="External" Id="rId785" /><Relationship Type="http://schemas.openxmlformats.org/officeDocument/2006/relationships/hyperlink" Target="http://www.mediana-filter.ru/" TargetMode="External" Id="rId786" /><Relationship Type="http://schemas.openxmlformats.org/officeDocument/2006/relationships/hyperlink" Target="https://icatalog.expocentr.ru/ru/exhibitions/de590dc5-417d-11ee-80ce-a0d3c1fab97f" TargetMode="External" Id="rId787" /><Relationship Type="http://schemas.openxmlformats.org/officeDocument/2006/relationships/hyperlink" Target="http://www.sterilnost.ru/" TargetMode="External" Id="rId788" /><Relationship Type="http://schemas.openxmlformats.org/officeDocument/2006/relationships/hyperlink" Target="https://icatalog.expocentr.ru/ru/exhibitions/de590dc5-417d-11ee-80ce-a0d3c1fab97f" TargetMode="External" Id="rId789" /><Relationship Type="http://schemas.openxmlformats.org/officeDocument/2006/relationships/hyperlink" Target="http://www.bandeq.ru/" TargetMode="External" Id="rId790" /><Relationship Type="http://schemas.openxmlformats.org/officeDocument/2006/relationships/hyperlink" Target="https://icatalog.expocentr.ru/ru/exhibitions/de590dc5-417d-11ee-80ce-a0d3c1fab97f" TargetMode="External" Id="rId791" /><Relationship Type="http://schemas.openxmlformats.org/officeDocument/2006/relationships/hyperlink" Target="http://www.dmicro.ru/" TargetMode="External" Id="rId792" /><Relationship Type="http://schemas.openxmlformats.org/officeDocument/2006/relationships/hyperlink" Target="https://icatalog.expocentr.ru/ru/exhibitions/de590dc5-417d-11ee-80ce-a0d3c1fab97f" TargetMode="External" Id="rId793" /><Relationship Type="http://schemas.openxmlformats.org/officeDocument/2006/relationships/hyperlink" Target="http://www.aldez.ru/" TargetMode="External" Id="rId794" /><Relationship Type="http://schemas.openxmlformats.org/officeDocument/2006/relationships/hyperlink" Target="https://icatalog.expocentr.ru/ru/exhibitions/de590dc5-417d-11ee-80ce-a0d3c1fab97f" TargetMode="External" Id="rId795" /><Relationship Type="http://schemas.openxmlformats.org/officeDocument/2006/relationships/hyperlink" Target="https://terramed.pro/" TargetMode="External" Id="rId796" /><Relationship Type="http://schemas.openxmlformats.org/officeDocument/2006/relationships/hyperlink" Target="https://icatalog.expocentr.ru/ru/exhibitions/de590dc5-417d-11ee-80ce-a0d3c1fab97f" TargetMode="External" Id="rId797" /><Relationship Type="http://schemas.openxmlformats.org/officeDocument/2006/relationships/hyperlink" Target="http://www.ooomedikon.ru/" TargetMode="External" Id="rId798" /><Relationship Type="http://schemas.openxmlformats.org/officeDocument/2006/relationships/hyperlink" Target="https://icatalog.expocentr.ru/ru/exhibitions/de590dc5-417d-11ee-80ce-a0d3c1fab97f" TargetMode="External" Id="rId799" /><Relationship Type="http://schemas.openxmlformats.org/officeDocument/2006/relationships/hyperlink" Target="http://www.test-me.co/" TargetMode="External" Id="rId800" /><Relationship Type="http://schemas.openxmlformats.org/officeDocument/2006/relationships/hyperlink" Target="https://icatalog.expocentr.ru/ru/exhibitions/de590dc5-417d-11ee-80ce-a0d3c1fab97f" TargetMode="External" Id="rId801" /><Relationship Type="http://schemas.openxmlformats.org/officeDocument/2006/relationships/hyperlink" Target="http://www.medutil.ru/" TargetMode="External" Id="rId802" /><Relationship Type="http://schemas.openxmlformats.org/officeDocument/2006/relationships/hyperlink" Target="https://icatalog.expocentr.ru/ru/exhibitions/de590dc5-417d-11ee-80ce-a0d3c1fab97f" TargetMode="External" Id="rId803" /><Relationship Type="http://schemas.openxmlformats.org/officeDocument/2006/relationships/hyperlink" Target="http://sanoborona.by/" TargetMode="External" Id="rId804" /><Relationship Type="http://schemas.openxmlformats.org/officeDocument/2006/relationships/hyperlink" Target="https://icatalog.expocentr.ru/ru/exhibitions/de590dc5-417d-11ee-80ce-a0d3c1fab97f" TargetMode="External" Id="rId805" /><Relationship Type="http://schemas.openxmlformats.org/officeDocument/2006/relationships/hyperlink" Target="http://airlife.ru/" TargetMode="External" Id="rId806" /><Relationship Type="http://schemas.openxmlformats.org/officeDocument/2006/relationships/hyperlink" Target="https://icatalog.expocentr.ru/ru/exhibitions/de590dc5-417d-11ee-80ce-a0d3c1fab97f" TargetMode="External" Id="rId807" /><Relationship Type="http://schemas.openxmlformats.org/officeDocument/2006/relationships/hyperlink" Target="http://steri-pro.ru/" TargetMode="External" Id="rId808" /><Relationship Type="http://schemas.openxmlformats.org/officeDocument/2006/relationships/hyperlink" Target="https://icatalog.expocentr.ru/ru/exhibitions/de590dc5-417d-11ee-80ce-a0d3c1fab97f" TargetMode="External" Id="rId809" /><Relationship Type="http://schemas.openxmlformats.org/officeDocument/2006/relationships/hyperlink" Target="http://www.kront.com/" TargetMode="External" Id="rId810" /><Relationship Type="http://schemas.openxmlformats.org/officeDocument/2006/relationships/hyperlink" Target="https://icatalog.expocentr.ru/ru/exhibitions/de590dc5-417d-11ee-80ce-a0d3c1fab97f" TargetMode="External" Id="rId811" /><Relationship Type="http://schemas.openxmlformats.org/officeDocument/2006/relationships/hyperlink" Target="http://www.eurotype.biz/" TargetMode="External" Id="rId812" /><Relationship Type="http://schemas.openxmlformats.org/officeDocument/2006/relationships/hyperlink" Target="https://icatalog.expocentr.ru/ru/exhibitions/de590dc5-417d-11ee-80ce-a0d3c1fab97f" TargetMode="External" Id="rId813" /><Relationship Type="http://schemas.openxmlformats.org/officeDocument/2006/relationships/hyperlink" Target="http://www.saraya-cis.ru/" TargetMode="External" Id="rId814" /><Relationship Type="http://schemas.openxmlformats.org/officeDocument/2006/relationships/hyperlink" Target="https://icatalog.expocentr.ru/ru/exhibitions/de590dc5-417d-11ee-80ce-a0d3c1fab97f" TargetMode="External" Id="rId815" /><Relationship Type="http://schemas.openxmlformats.org/officeDocument/2006/relationships/hyperlink" Target="http://www.sfcrus.com/" TargetMode="External" Id="rId816" /><Relationship Type="http://schemas.openxmlformats.org/officeDocument/2006/relationships/hyperlink" Target="https://icatalog.expocentr.ru/ru/exhibitions/de590dc5-417d-11ee-80ce-a0d3c1fab97f" TargetMode="External" Id="rId817" /><Relationship Type="http://schemas.openxmlformats.org/officeDocument/2006/relationships/hyperlink" Target="https://icatalog.expocentr.ru/ru/exhibitions/de590dc5-417d-11ee-80ce-a0d3c1fab97f" TargetMode="External" Id="rId818" /><Relationship Type="http://schemas.openxmlformats.org/officeDocument/2006/relationships/hyperlink" Target="http://www.mediteczt.ru/" TargetMode="External" Id="rId819" /><Relationship Type="http://schemas.openxmlformats.org/officeDocument/2006/relationships/hyperlink" Target="https://icatalog.expocentr.ru/ru/exhibitions/de590dc5-417d-11ee-80ce-a0d3c1fab97f" TargetMode="External" Id="rId820" /><Relationship Type="http://schemas.openxmlformats.org/officeDocument/2006/relationships/hyperlink" Target="https://don-polymer.ru/" TargetMode="External" Id="rId821" /><Relationship Type="http://schemas.openxmlformats.org/officeDocument/2006/relationships/hyperlink" Target="https://icatalog.expocentr.ru/ru/exhibitions/de590dc5-417d-11ee-80ce-a0d3c1fab97f" TargetMode="External" Id="rId822" /><Relationship Type="http://schemas.openxmlformats.org/officeDocument/2006/relationships/hyperlink" Target="http://www.litoplast.by/" TargetMode="External" Id="rId823" /><Relationship Type="http://schemas.openxmlformats.org/officeDocument/2006/relationships/hyperlink" Target="https://icatalog.expocentr.ru/ru/exhibitions/de590dc5-417d-11ee-80ce-a0d3c1fab97f" TargetMode="External" Id="rId824" /><Relationship Type="http://schemas.openxmlformats.org/officeDocument/2006/relationships/hyperlink" Target="http://www.edu.gov.by/" TargetMode="External" Id="rId825" /><Relationship Type="http://schemas.openxmlformats.org/officeDocument/2006/relationships/hyperlink" Target="https://icatalog.expocentr.ru/ru/exhibitions/de590dc5-417d-11ee-80ce-a0d3c1fab97f" TargetMode="External" Id="rId826" /><Relationship Type="http://schemas.openxmlformats.org/officeDocument/2006/relationships/hyperlink" Target="https://pro.tion.ru/" TargetMode="External" Id="rId827" /><Relationship Type="http://schemas.openxmlformats.org/officeDocument/2006/relationships/hyperlink" Target="https://icatalog.expocentr.ru/ru/exhibitions/de590dc5-417d-11ee-80ce-a0d3c1fab97f" TargetMode="External" Id="rId828" /><Relationship Type="http://schemas.openxmlformats.org/officeDocument/2006/relationships/hyperlink" Target="http://www.stl-comp.ru/" TargetMode="External" Id="rId829" /><Relationship Type="http://schemas.openxmlformats.org/officeDocument/2006/relationships/hyperlink" Target="https://icatalog.expocentr.ru/ru/exhibitions/de590dc5-417d-11ee-80ce-a0d3c1fab97f" TargetMode="External" Id="rId830" /><Relationship Type="http://schemas.openxmlformats.org/officeDocument/2006/relationships/hyperlink" Target="https://deleksa.ru/" TargetMode="External" Id="rId831" /><Relationship Type="http://schemas.openxmlformats.org/officeDocument/2006/relationships/hyperlink" Target="https://icatalog.expocentr.ru/ru/exhibitions/de590dc5-417d-11ee-80ce-a0d3c1fab97f" TargetMode="External" Id="rId832" /><Relationship Type="http://schemas.openxmlformats.org/officeDocument/2006/relationships/hyperlink" Target="http://www.sterius.ru/" TargetMode="External" Id="rId833" /><Relationship Type="http://schemas.openxmlformats.org/officeDocument/2006/relationships/hyperlink" Target="https://icatalog.expocentr.ru/ru/exhibitions/de590dc5-417d-11ee-80ce-a0d3c1fab97f" TargetMode="External" Id="rId834" /><Relationship Type="http://schemas.openxmlformats.org/officeDocument/2006/relationships/hyperlink" Target="https://www.lit-uv.ru/" TargetMode="External" Id="rId835" /><Relationship Type="http://schemas.openxmlformats.org/officeDocument/2006/relationships/hyperlink" Target="https://icatalog.expocentr.ru/ru/exhibitions/de590dc5-417d-11ee-80ce-a0d3c1fab97f" TargetMode="External" Id="rId836" /><Relationship Type="http://schemas.openxmlformats.org/officeDocument/2006/relationships/hyperlink" Target="http://flexfresh.ru/" TargetMode="External" Id="rId837" /><Relationship Type="http://schemas.openxmlformats.org/officeDocument/2006/relationships/hyperlink" Target="https://icatalog.expocentr.ru/ru/exhibitions/de590dc5-417d-11ee-80ce-a0d3c1fab97f" TargetMode="External" Id="rId838" /><Relationship Type="http://schemas.openxmlformats.org/officeDocument/2006/relationships/hyperlink" Target="https://micromed-spb.ru/" TargetMode="External" Id="rId839" /><Relationship Type="http://schemas.openxmlformats.org/officeDocument/2006/relationships/hyperlink" Target="https://icatalog.expocentr.ru/ru/exhibitions/de590dc5-417d-11ee-80ce-a0d3c1fab97f" TargetMode="External" Id="rId840" /><Relationship Type="http://schemas.openxmlformats.org/officeDocument/2006/relationships/hyperlink" Target="http://www.lks.ru/" TargetMode="External" Id="rId841" /><Relationship Type="http://schemas.openxmlformats.org/officeDocument/2006/relationships/hyperlink" Target="https://icatalog.expocentr.ru/ru/exhibitions/de590dc5-417d-11ee-80ce-a0d3c1fab97f" TargetMode="External" Id="rId842" /><Relationship Type="http://schemas.openxmlformats.org/officeDocument/2006/relationships/hyperlink" Target="http://www.ams-medical.ru/" TargetMode="External" Id="rId843" /><Relationship Type="http://schemas.openxmlformats.org/officeDocument/2006/relationships/hyperlink" Target="https://icatalog.expocentr.ru/ru/exhibitions/de590dc5-417d-11ee-80ce-a0d3c1fab97f" TargetMode="External" Id="rId844" /><Relationship Type="http://schemas.openxmlformats.org/officeDocument/2006/relationships/hyperlink" Target="http://www.raster.ru/" TargetMode="External" Id="rId845" /><Relationship Type="http://schemas.openxmlformats.org/officeDocument/2006/relationships/hyperlink" Target="https://icatalog.expocentr.ru/ru/exhibitions/de590dc5-417d-11ee-80ce-a0d3c1fab97f" TargetMode="External" Id="rId846" /><Relationship Type="http://schemas.openxmlformats.org/officeDocument/2006/relationships/hyperlink" Target="http://biryuza-med.com/" TargetMode="External" Id="rId847" /><Relationship Type="http://schemas.openxmlformats.org/officeDocument/2006/relationships/hyperlink" Target="https://icatalog.expocentr.ru/ru/exhibitions/de590dc5-417d-11ee-80ce-a0d3c1fab97f" TargetMode="External" Id="rId848" /><Relationship Type="http://schemas.openxmlformats.org/officeDocument/2006/relationships/hyperlink" Target="http://vladhimprom.com/" TargetMode="External" Id="rId849" /><Relationship Type="http://schemas.openxmlformats.org/officeDocument/2006/relationships/hyperlink" Target="https://icatalog.expocentr.ru/ru/exhibitions/de590dc5-417d-11ee-80ce-a0d3c1fab97f" TargetMode="External" Id="rId850" /><Relationship Type="http://schemas.openxmlformats.org/officeDocument/2006/relationships/hyperlink" Target="http://www.smtrust.ru/" TargetMode="External" Id="rId851" /><Relationship Type="http://schemas.openxmlformats.org/officeDocument/2006/relationships/hyperlink" Target="https://icatalog.expocentr.ru/ru/exhibitions/de590dc5-417d-11ee-80ce-a0d3c1fab97f" TargetMode="External" Id="rId852" /><Relationship Type="http://schemas.openxmlformats.org/officeDocument/2006/relationships/hyperlink" Target="http://www.torimed.ru/" TargetMode="External" Id="rId853" /><Relationship Type="http://schemas.openxmlformats.org/officeDocument/2006/relationships/hyperlink" Target="https://icatalog.expocentr.ru/ru/exhibitions/de590dc5-417d-11ee-80ce-a0d3c1fab97f" TargetMode="External" Id="rId854" /><Relationship Type="http://schemas.openxmlformats.org/officeDocument/2006/relationships/hyperlink" Target="http://www.potok.com/" TargetMode="External" Id="rId855" /><Relationship Type="http://schemas.openxmlformats.org/officeDocument/2006/relationships/hyperlink" Target="https://icatalog.expocentr.ru/ru/exhibitions/de590dc5-417d-11ee-80ce-a0d3c1fab97f" TargetMode="External" Id="rId856" /><Relationship Type="http://schemas.openxmlformats.org/officeDocument/2006/relationships/hyperlink" Target="http://www.deznet.ru/" TargetMode="External" Id="rId857" /><Relationship Type="http://schemas.openxmlformats.org/officeDocument/2006/relationships/hyperlink" Target="https://icatalog.expocentr.ru/ru/exhibitions/de590dc5-417d-11ee-80ce-a0d3c1fab97f" TargetMode="External" Id="rId858" /><Relationship Type="http://schemas.openxmlformats.org/officeDocument/2006/relationships/hyperlink" Target="http://www.melius-team.ru/" TargetMode="External" Id="rId859" /><Relationship Type="http://schemas.openxmlformats.org/officeDocument/2006/relationships/hyperlink" Target="https://icatalog.expocentr.ru/ru/exhibitions/de590dc5-417d-11ee-80ce-a0d3c1fab97f" TargetMode="External" Id="rId860" /><Relationship Type="http://schemas.openxmlformats.org/officeDocument/2006/relationships/hyperlink" Target="http://zpt-medicall.ru/" TargetMode="External" Id="rId861" /><Relationship Type="http://schemas.openxmlformats.org/officeDocument/2006/relationships/hyperlink" Target="https://icatalog.expocentr.ru/ru/exhibitions/de590dc5-417d-11ee-80ce-a0d3c1fab97f" TargetMode="External" Id="rId862" /><Relationship Type="http://schemas.openxmlformats.org/officeDocument/2006/relationships/hyperlink" Target="http://www.nevohim.com/" TargetMode="External" Id="rId863" /><Relationship Type="http://schemas.openxmlformats.org/officeDocument/2006/relationships/hyperlink" Target="https://icatalog.expocentr.ru/ru/exhibitions/de590dc5-417d-11ee-80ce-a0d3c1fab97f" TargetMode="External" Id="rId864" /><Relationship Type="http://schemas.openxmlformats.org/officeDocument/2006/relationships/hyperlink" Target="http://www.ramtec.ru/" TargetMode="External" Id="rId865" /><Relationship Type="http://schemas.openxmlformats.org/officeDocument/2006/relationships/hyperlink" Target="https://icatalog.expocentr.ru/ru/exhibitions/de590dc5-417d-11ee-80ce-a0d3c1fab97f" TargetMode="External" Id="rId866" /><Relationship Type="http://schemas.openxmlformats.org/officeDocument/2006/relationships/hyperlink" Target="https://hemostar.ru/" TargetMode="External" Id="rId867" /><Relationship Type="http://schemas.openxmlformats.org/officeDocument/2006/relationships/hyperlink" Target="https://icatalog.expocentr.ru/ru/exhibitions/de590dc5-417d-11ee-80ce-a0d3c1fab97f" TargetMode="External" Id="rId868" /><Relationship Type="http://schemas.openxmlformats.org/officeDocument/2006/relationships/hyperlink" Target="http://www.eurmed.ru/" TargetMode="External" Id="rId869" /><Relationship Type="http://schemas.openxmlformats.org/officeDocument/2006/relationships/hyperlink" Target="https://icatalog.expocentr.ru/ru/exhibitions/de590dc5-417d-11ee-80ce-a0d3c1fab97f" TargetMode="External" Id="rId870" /><Relationship Type="http://schemas.openxmlformats.org/officeDocument/2006/relationships/hyperlink" Target="http://www.rumex.ru/" TargetMode="External" Id="rId871" /><Relationship Type="http://schemas.openxmlformats.org/officeDocument/2006/relationships/hyperlink" Target="https://icatalog.expocentr.ru/ru/exhibitions/de590dc5-417d-11ee-80ce-a0d3c1fab97f" TargetMode="External" Id="rId872" /><Relationship Type="http://schemas.openxmlformats.org/officeDocument/2006/relationships/hyperlink" Target="http://www.medteco.ru/" TargetMode="External" Id="rId873" /><Relationship Type="http://schemas.openxmlformats.org/officeDocument/2006/relationships/hyperlink" Target="https://icatalog.expocentr.ru/ru/exhibitions/de590dc5-417d-11ee-80ce-a0d3c1fab97f" TargetMode="External" Id="rId874" /><Relationship Type="http://schemas.openxmlformats.org/officeDocument/2006/relationships/hyperlink" Target="https://cliffmedical.com/" TargetMode="External" Id="rId875" /><Relationship Type="http://schemas.openxmlformats.org/officeDocument/2006/relationships/hyperlink" Target="https://icatalog.expocentr.ru/ru/exhibitions/de590dc5-417d-11ee-80ce-a0d3c1fab97f" TargetMode="External" Id="rId876" /><Relationship Type="http://schemas.openxmlformats.org/officeDocument/2006/relationships/hyperlink" Target="http://www.hzbocon.com/" TargetMode="External" Id="rId877" /><Relationship Type="http://schemas.openxmlformats.org/officeDocument/2006/relationships/hyperlink" Target="https://icatalog.expocentr.ru/ru/exhibitions/de590dc5-417d-11ee-80ce-a0d3c1fab97f" TargetMode="External" Id="rId878" /><Relationship Type="http://schemas.openxmlformats.org/officeDocument/2006/relationships/hyperlink" Target="http://www.lpu.elamed.com/" TargetMode="External" Id="rId879" /><Relationship Type="http://schemas.openxmlformats.org/officeDocument/2006/relationships/hyperlink" Target="https://icatalog.expocentr.ru/ru/exhibitions/de590dc5-417d-11ee-80ce-a0d3c1fab97f" TargetMode="External" Id="rId880" /><Relationship Type="http://schemas.openxmlformats.org/officeDocument/2006/relationships/hyperlink" Target="https://elid-azov.ru/" TargetMode="External" Id="rId881" /><Relationship Type="http://schemas.openxmlformats.org/officeDocument/2006/relationships/hyperlink" Target="https://icatalog.expocentr.ru/ru/exhibitions/de590dc5-417d-11ee-80ce-a0d3c1fab97f" TargetMode="External" Id="rId882" /><Relationship Type="http://schemas.openxmlformats.org/officeDocument/2006/relationships/hyperlink" Target="https://anas.ru/" TargetMode="External" Id="rId883" /><Relationship Type="http://schemas.openxmlformats.org/officeDocument/2006/relationships/hyperlink" Target="https://icatalog.expocentr.ru/ru/exhibitions/de590dc5-417d-11ee-80ce-a0d3c1fab97f" TargetMode="External" Id="rId884" /><Relationship Type="http://schemas.openxmlformats.org/officeDocument/2006/relationships/hyperlink" Target="http://kossmed.ru/" TargetMode="External" Id="rId885" /><Relationship Type="http://schemas.openxmlformats.org/officeDocument/2006/relationships/hyperlink" Target="https://icatalog.expocentr.ru/ru/exhibitions/de590dc5-417d-11ee-80ce-a0d3c1fab97f" TargetMode="External" Id="rId886" /><Relationship Type="http://schemas.openxmlformats.org/officeDocument/2006/relationships/hyperlink" Target="http://www.iek.ru/" TargetMode="External" Id="rId887" /><Relationship Type="http://schemas.openxmlformats.org/officeDocument/2006/relationships/hyperlink" Target="https://icatalog.expocentr.ru/ru/exhibitions/de590dc5-417d-11ee-80ce-a0d3c1fab97f" TargetMode="External" Id="rId888" /><Relationship Type="http://schemas.openxmlformats.org/officeDocument/2006/relationships/hyperlink" Target="http://www.chemplant.farm/" TargetMode="External" Id="rId889" /><Relationship Type="http://schemas.openxmlformats.org/officeDocument/2006/relationships/hyperlink" Target="https://icatalog.expocentr.ru/ru/exhibitions/de590dc5-417d-11ee-80ce-a0d3c1fab97f" TargetMode="External" Id="rId890" /><Relationship Type="http://schemas.openxmlformats.org/officeDocument/2006/relationships/hyperlink" Target="https://allergychip.ru/" TargetMode="External" Id="rId891" /><Relationship Type="http://schemas.openxmlformats.org/officeDocument/2006/relationships/hyperlink" Target="https://icatalog.expocentr.ru/ru/exhibitions/de590dc5-417d-11ee-80ce-a0d3c1fab97f" TargetMode="External" Id="rId892" /><Relationship Type="http://schemas.openxmlformats.org/officeDocument/2006/relationships/hyperlink" Target="https://mbnso.ru/" TargetMode="External" Id="rId893" /><Relationship Type="http://schemas.openxmlformats.org/officeDocument/2006/relationships/hyperlink" Target="https://icatalog.expocentr.ru/ru/exhibitions/de590dc5-417d-11ee-80ce-a0d3c1fab97f" TargetMode="External" Id="rId894" /><Relationship Type="http://schemas.openxmlformats.org/officeDocument/2006/relationships/hyperlink" Target="http://www.orion-si.ru/" TargetMode="External" Id="rId895" /><Relationship Type="http://schemas.openxmlformats.org/officeDocument/2006/relationships/hyperlink" Target="https://icatalog.expocentr.ru/ru/exhibitions/de590dc5-417d-11ee-80ce-a0d3c1fab97f" TargetMode="External" Id="rId896" /><Relationship Type="http://schemas.openxmlformats.org/officeDocument/2006/relationships/hyperlink" Target="https://www.ferroplast.ru/" TargetMode="External" Id="rId897" /><Relationship Type="http://schemas.openxmlformats.org/officeDocument/2006/relationships/hyperlink" Target="https://icatalog.expocentr.ru/ru/exhibitions/de590dc5-417d-11ee-80ce-a0d3c1fab97f" TargetMode="External" Id="rId898" /><Relationship Type="http://schemas.openxmlformats.org/officeDocument/2006/relationships/hyperlink" Target="http://www.acearussia.com/" TargetMode="External" Id="rId899" /><Relationship Type="http://schemas.openxmlformats.org/officeDocument/2006/relationships/hyperlink" Target="https://icatalog.expocentr.ru/ru/exhibitions/de590dc5-417d-11ee-80ce-a0d3c1fab97f" TargetMode="External" Id="rId900" /><Relationship Type="http://schemas.openxmlformats.org/officeDocument/2006/relationships/hyperlink" Target="http://www.siriuschem.ru/" TargetMode="External" Id="rId901" /><Relationship Type="http://schemas.openxmlformats.org/officeDocument/2006/relationships/hyperlink" Target="https://icatalog.expocentr.ru/ru/exhibitions/de590dc5-417d-11ee-80ce-a0d3c1fab97f" TargetMode="External" Id="rId902" /><Relationship Type="http://schemas.openxmlformats.org/officeDocument/2006/relationships/hyperlink" Target="https://bioveritas.ru/" TargetMode="External" Id="rId903" /><Relationship Type="http://schemas.openxmlformats.org/officeDocument/2006/relationships/hyperlink" Target="https://icatalog.expocentr.ru/ru/exhibitions/de590dc5-417d-11ee-80ce-a0d3c1fab97f" TargetMode="External" Id="rId904" /><Relationship Type="http://schemas.openxmlformats.org/officeDocument/2006/relationships/hyperlink" Target="http://www.adiabatica.ru/" TargetMode="External" Id="rId905" /><Relationship Type="http://schemas.openxmlformats.org/officeDocument/2006/relationships/hyperlink" Target="https://icatalog.expocentr.ru/ru/exhibitions/de590dc5-417d-11ee-80ce-a0d3c1fab97f" TargetMode="External" Id="rId906" /><Relationship Type="http://schemas.openxmlformats.org/officeDocument/2006/relationships/hyperlink" Target="http://www.medtechnics.ru/" TargetMode="External" Id="rId907" /><Relationship Type="http://schemas.openxmlformats.org/officeDocument/2006/relationships/hyperlink" Target="https://icatalog.expocentr.ru/ru/exhibitions/de590dc5-417d-11ee-80ce-a0d3c1fab97f" TargetMode="External" Id="rId908" /><Relationship Type="http://schemas.openxmlformats.org/officeDocument/2006/relationships/hyperlink" Target="http://sterimedplus.ru/" TargetMode="External" Id="rId909" /><Relationship Type="http://schemas.openxmlformats.org/officeDocument/2006/relationships/hyperlink" Target="https://icatalog.expocentr.ru/ru/exhibitions/de590dc5-417d-11ee-80ce-a0d3c1fab97f" TargetMode="External" Id="rId910" /><Relationship Type="http://schemas.openxmlformats.org/officeDocument/2006/relationships/hyperlink" Target="https://export-rt.ru/" TargetMode="External" Id="rId911" /><Relationship Type="http://schemas.openxmlformats.org/officeDocument/2006/relationships/hyperlink" Target="https://icatalog.expocentr.ru/ru/exhibitions/de590dc5-417d-11ee-80ce-a0d3c1fab97f" TargetMode="External" Id="rId912" /><Relationship Type="http://schemas.openxmlformats.org/officeDocument/2006/relationships/hyperlink" Target="https://unimedlab.ru/" TargetMode="External" Id="rId913" /><Relationship Type="http://schemas.openxmlformats.org/officeDocument/2006/relationships/hyperlink" Target="https://icatalog.expocentr.ru/ru/exhibitions/de590dc5-417d-11ee-80ce-a0d3c1fab97f" TargetMode="External" Id="rId914" /><Relationship Type="http://schemas.openxmlformats.org/officeDocument/2006/relationships/hyperlink" Target="http://www.centrifugebel.org/" TargetMode="External" Id="rId915" /><Relationship Type="http://schemas.openxmlformats.org/officeDocument/2006/relationships/hyperlink" Target="https://icatalog.expocentr.ru/ru/exhibitions/de590dc5-417d-11ee-80ce-a0d3c1fab97f" TargetMode="External" Id="rId916" /><Relationship Type="http://schemas.openxmlformats.org/officeDocument/2006/relationships/hyperlink" Target="http://www.melitta-uv.ru/" TargetMode="External" Id="rId917" /><Relationship Type="http://schemas.openxmlformats.org/officeDocument/2006/relationships/hyperlink" Target="https://icatalog.expocentr.ru/ru/exhibitions/de590dc5-417d-11ee-80ce-a0d3c1fab97f" TargetMode="External" Id="rId918" /><Relationship Type="http://schemas.openxmlformats.org/officeDocument/2006/relationships/hyperlink" Target="http://www.renmedprom.ru/" TargetMode="External" Id="rId919" /><Relationship Type="http://schemas.openxmlformats.org/officeDocument/2006/relationships/hyperlink" Target="https://icatalog.expocentr.ru/ru/exhibitions/de590dc5-417d-11ee-80ce-a0d3c1fab97f" TargetMode="External" Id="rId920" /><Relationship Type="http://schemas.openxmlformats.org/officeDocument/2006/relationships/hyperlink" Target="http://www.diakon-ds.ru/" TargetMode="External" Id="rId921" /><Relationship Type="http://schemas.openxmlformats.org/officeDocument/2006/relationships/hyperlink" Target="https://icatalog.expocentr.ru/ru/exhibitions/de590dc5-417d-11ee-80ce-a0d3c1fab97f" TargetMode="External" Id="rId922" /><Relationship Type="http://schemas.openxmlformats.org/officeDocument/2006/relationships/hyperlink" Target="https://tianoks.ru/" TargetMode="External" Id="rId923" /><Relationship Type="http://schemas.openxmlformats.org/officeDocument/2006/relationships/hyperlink" Target="https://icatalog.expocentr.ru/ru/exhibitions/de590dc5-417d-11ee-80ce-a0d3c1fab97f" TargetMode="External" Id="rId924" /><Relationship Type="http://schemas.openxmlformats.org/officeDocument/2006/relationships/hyperlink" Target="https://umetex.com/ru/" TargetMode="External" Id="rId925" /><Relationship Type="http://schemas.openxmlformats.org/officeDocument/2006/relationships/hyperlink" Target="https://icatalog.expocentr.ru/ru/exhibitions/de590dc5-417d-11ee-80ce-a0d3c1fab97f" TargetMode="External" Id="rId926" /><Relationship Type="http://schemas.openxmlformats.org/officeDocument/2006/relationships/hyperlink" Target="http://vk.com/rus63com" TargetMode="External" Id="rId927" /><Relationship Type="http://schemas.openxmlformats.org/officeDocument/2006/relationships/hyperlink" Target="https://icatalog.expocentr.ru/ru/exhibitions/de590dc5-417d-11ee-80ce-a0d3c1fab97f" TargetMode="External" Id="rId928" /><Relationship Type="http://schemas.openxmlformats.org/officeDocument/2006/relationships/hyperlink" Target="http://www.tekomax.com/" TargetMode="External" Id="rId929" /><Relationship Type="http://schemas.openxmlformats.org/officeDocument/2006/relationships/hyperlink" Target="https://icatalog.expocentr.ru/ru/exhibitions/de590dc5-417d-11ee-80ce-a0d3c1fab97f" TargetMode="External" Id="rId930" /><Relationship Type="http://schemas.openxmlformats.org/officeDocument/2006/relationships/hyperlink" Target="http://www.n-farm.ru/" TargetMode="External" Id="rId931" /><Relationship Type="http://schemas.openxmlformats.org/officeDocument/2006/relationships/hyperlink" Target="https://icatalog.expocentr.ru/ru/exhibitions/de590dc5-417d-11ee-80ce-a0d3c1fab97f" TargetMode="External" Id="rId932" /><Relationship Type="http://schemas.openxmlformats.org/officeDocument/2006/relationships/hyperlink" Target="http://www.ugasept.ru/" TargetMode="External" Id="rId933" /><Relationship Type="http://schemas.openxmlformats.org/officeDocument/2006/relationships/hyperlink" Target="https://icatalog.expocentr.ru/ru/exhibitions/de590dc5-417d-11ee-80ce-a0d3c1fab97f" TargetMode="External" Id="rId934" /><Relationship Type="http://schemas.openxmlformats.org/officeDocument/2006/relationships/hyperlink" Target="https://aksel.kz/" TargetMode="External" Id="rId935" /><Relationship Type="http://schemas.openxmlformats.org/officeDocument/2006/relationships/hyperlink" Target="https://icatalog.expocentr.ru/ru/exhibitions/de590dc5-417d-11ee-80ce-a0d3c1fab97f" TargetMode="External" Id="rId936" /><Relationship Type="http://schemas.openxmlformats.org/officeDocument/2006/relationships/hyperlink" Target="http://www.rivierabiotech.com/" TargetMode="External" Id="rId937" /><Relationship Type="http://schemas.openxmlformats.org/officeDocument/2006/relationships/hyperlink" Target="https://icatalog.expocentr.ru/ru/exhibitions/de590dc5-417d-11ee-80ce-a0d3c1fab97f" TargetMode="External" Id="rId938" /><Relationship Type="http://schemas.openxmlformats.org/officeDocument/2006/relationships/hyperlink" Target="https://www.dr-linden.ru/" TargetMode="External" Id="rId939" /><Relationship Type="http://schemas.openxmlformats.org/officeDocument/2006/relationships/hyperlink" Target="https://icatalog.expocentr.ru/ru/exhibitions/de590dc5-417d-11ee-80ce-a0d3c1fab97f" TargetMode="External" Id="rId940" /><Relationship Type="http://schemas.openxmlformats.org/officeDocument/2006/relationships/hyperlink" Target="https://fitstyle.ru/anapskaya-kosmetika" TargetMode="External" Id="rId941" /><Relationship Type="http://schemas.openxmlformats.org/officeDocument/2006/relationships/hyperlink" Target="https://icatalog.expocentr.ru/ru/exhibitions/de590dc5-417d-11ee-80ce-a0d3c1fab97f" TargetMode="External" Id="rId942" /><Relationship Type="http://schemas.openxmlformats.org/officeDocument/2006/relationships/hyperlink" Target="https://sk.ru/" TargetMode="External" Id="rId943" /><Relationship Type="http://schemas.openxmlformats.org/officeDocument/2006/relationships/hyperlink" Target="https://icatalog.expocentr.ru/ru/exhibitions/de590dc5-417d-11ee-80ce-a0d3c1fab97f" TargetMode="External" Id="rId944" /><Relationship Type="http://schemas.openxmlformats.org/officeDocument/2006/relationships/hyperlink" Target="http://papillon.health/" TargetMode="External" Id="rId945" /><Relationship Type="http://schemas.openxmlformats.org/officeDocument/2006/relationships/hyperlink" Target="https://icatalog.expocentr.ru/ru/exhibitions/de590dc5-417d-11ee-80ce-a0d3c1fab97f" TargetMode="External" Id="rId946" /><Relationship Type="http://schemas.openxmlformats.org/officeDocument/2006/relationships/hyperlink" Target="https://sensorehab.com/ru" TargetMode="External" Id="rId947" /><Relationship Type="http://schemas.openxmlformats.org/officeDocument/2006/relationships/hyperlink" Target="https://icatalog.expocentr.ru/ru/exhibitions/de590dc5-417d-11ee-80ce-a0d3c1fab97f" TargetMode="External" Id="rId948" /><Relationship Type="http://schemas.openxmlformats.org/officeDocument/2006/relationships/hyperlink" Target="https://scientific-compliance.ru/" TargetMode="External" Id="rId949" /><Relationship Type="http://schemas.openxmlformats.org/officeDocument/2006/relationships/hyperlink" Target="https://icatalog.expocentr.ru/ru/exhibitions/de590dc5-417d-11ee-80ce-a0d3c1fab97f" TargetMode="External" Id="rId950" /><Relationship Type="http://schemas.openxmlformats.org/officeDocument/2006/relationships/hyperlink" Target="https://npotpz.ru/" TargetMode="External" Id="rId951" /><Relationship Type="http://schemas.openxmlformats.org/officeDocument/2006/relationships/hyperlink" Target="https://icatalog.expocentr.ru/ru/exhibitions/de590dc5-417d-11ee-80ce-a0d3c1fab97f" TargetMode="External" Id="rId952" /><Relationship Type="http://schemas.openxmlformats.org/officeDocument/2006/relationships/hyperlink" Target="https://fitofarm.ru/" TargetMode="External" Id="rId953" /><Relationship Type="http://schemas.openxmlformats.org/officeDocument/2006/relationships/hyperlink" Target="https://icatalog.expocentr.ru/ru/exhibitions/de590dc5-417d-11ee-80ce-a0d3c1fab97f" TargetMode="External" Id="rId954" /><Relationship Type="http://schemas.openxmlformats.org/officeDocument/2006/relationships/hyperlink" Target="https://chimavtomatika.ru/" TargetMode="External" Id="rId955" /><Relationship Type="http://schemas.openxmlformats.org/officeDocument/2006/relationships/hyperlink" Target="https://icatalog.expocentr.ru/ru/exhibitions/de590dc5-417d-11ee-80ce-a0d3c1fab97f" TargetMode="External" Id="rId956" /><Relationship Type="http://schemas.openxmlformats.org/officeDocument/2006/relationships/hyperlink" Target="https://www.disera.com.tr/tr" TargetMode="External" Id="rId957" /><Relationship Type="http://schemas.openxmlformats.org/officeDocument/2006/relationships/hyperlink" Target="https://icatalog.expocentr.ru/ru/exhibitions/de590dc5-417d-11ee-80ce-a0d3c1fab97f" TargetMode="External" Id="rId958" /><Relationship Type="http://schemas.openxmlformats.org/officeDocument/2006/relationships/hyperlink" Target="https://www.engineering.tomsk.ru/about/" TargetMode="External" Id="rId959" /><Relationship Type="http://schemas.openxmlformats.org/officeDocument/2006/relationships/hyperlink" Target="https://icatalog.expocentr.ru/ru/exhibitions/de590dc5-417d-11ee-80ce-a0d3c1fab97f" TargetMode="External" Id="rId960" /><Relationship Type="http://schemas.openxmlformats.org/officeDocument/2006/relationships/hyperlink" Target="https://prokhim.ru/" TargetMode="External" Id="rId961" /><Relationship Type="http://schemas.openxmlformats.org/officeDocument/2006/relationships/hyperlink" Target="https://icatalog.expocentr.ru/ru/exhibitions/de590dc5-417d-11ee-80ce-a0d3c1fab97f" TargetMode="External" Id="rId962" /><Relationship Type="http://schemas.openxmlformats.org/officeDocument/2006/relationships/hyperlink" Target="https://alsariya.com/" TargetMode="External" Id="rId963" /><Relationship Type="http://schemas.openxmlformats.org/officeDocument/2006/relationships/hyperlink" Target="https://icatalog.expocentr.ru/ru/exhibitions/de590dc5-417d-11ee-80ce-a0d3c1fab97f" TargetMode="External" Id="rId964" /><Relationship Type="http://schemas.openxmlformats.org/officeDocument/2006/relationships/hyperlink" Target="https://alphaplastic.ru/" TargetMode="External" Id="rId965" /><Relationship Type="http://schemas.openxmlformats.org/officeDocument/2006/relationships/hyperlink" Target="https://icatalog.expocentr.ru/ru/exhibitions/de590dc5-417d-11ee-80ce-a0d3c1fab97f" TargetMode="External" Id="rId966" /><Relationship Type="http://schemas.openxmlformats.org/officeDocument/2006/relationships/hyperlink" Target="https://uniforma-rusana.com/" TargetMode="External" Id="rId967" /><Relationship Type="http://schemas.openxmlformats.org/officeDocument/2006/relationships/hyperlink" Target="https://icatalog.expocentr.ru/ru/exhibitions/de590dc5-417d-11ee-80ce-a0d3c1fab97f" TargetMode="External" Id="rId968" /><Relationship Type="http://schemas.openxmlformats.org/officeDocument/2006/relationships/hyperlink" Target="http://i.moscow/" TargetMode="External" Id="rId969" /><Relationship Type="http://schemas.openxmlformats.org/officeDocument/2006/relationships/hyperlink" Target="https://icatalog.expocentr.ru/ru/exhibitions/de590dc5-417d-11ee-80ce-a0d3c1fab97f" TargetMode="External" Id="rId970" /><Relationship Type="http://schemas.openxmlformats.org/officeDocument/2006/relationships/hyperlink" Target="http://www.smartmedical.tech/" TargetMode="External" Id="rId971" /><Relationship Type="http://schemas.openxmlformats.org/officeDocument/2006/relationships/hyperlink" Target="https://icatalog.expocentr.ru/ru/exhibitions/de590dc5-417d-11ee-80ce-a0d3c1fab97f" TargetMode="External" Id="rId972" /><Relationship Type="http://schemas.openxmlformats.org/officeDocument/2006/relationships/hyperlink" Target="https://medlex.ru/" TargetMode="External" Id="rId973" /><Relationship Type="http://schemas.openxmlformats.org/officeDocument/2006/relationships/hyperlink" Target="https://icatalog.expocentr.ru/ru/exhibitions/de590dc5-417d-11ee-80ce-a0d3c1fab97f" TargetMode="External" Id="rId974" /><Relationship Type="http://schemas.openxmlformats.org/officeDocument/2006/relationships/hyperlink" Target="http://www.ldplast.ru/" TargetMode="External" Id="rId975" /><Relationship Type="http://schemas.openxmlformats.org/officeDocument/2006/relationships/hyperlink" Target="https://icatalog.expocentr.ru/ru/exhibitions/de590dc5-417d-11ee-80ce-a0d3c1fab97f" TargetMode="External" Id="rId976" /><Relationship Type="http://schemas.openxmlformats.org/officeDocument/2006/relationships/hyperlink" Target="http://pupro.ru/" TargetMode="External" Id="rId977" /><Relationship Type="http://schemas.openxmlformats.org/officeDocument/2006/relationships/hyperlink" Target="https://icatalog.expocentr.ru/ru/exhibitions/de590dc5-417d-11ee-80ce-a0d3c1fab97f" TargetMode="External" Id="rId978" /><Relationship Type="http://schemas.openxmlformats.org/officeDocument/2006/relationships/hyperlink" Target="http://visionero.ru/" TargetMode="External" Id="rId979" /><Relationship Type="http://schemas.openxmlformats.org/officeDocument/2006/relationships/hyperlink" Target="https://icatalog.expocentr.ru/ru/exhibitions/de590dc5-417d-11ee-80ce-a0d3c1fab97f" TargetMode="External" Id="rId980" /><Relationship Type="http://schemas.openxmlformats.org/officeDocument/2006/relationships/hyperlink" Target="http://www.cryotone.ru/" TargetMode="External" Id="rId981" /><Relationship Type="http://schemas.openxmlformats.org/officeDocument/2006/relationships/hyperlink" Target="https://icatalog.expocentr.ru/ru/exhibitions/9daad3de-f999-11ef-80ce-a0d3c1fab97f" TargetMode="External" Id="rId982" /><Relationship Type="http://schemas.openxmlformats.org/officeDocument/2006/relationships/hyperlink" Target="http://www.biomera.ru/" TargetMode="External" Id="rId983" /><Relationship Type="http://schemas.openxmlformats.org/officeDocument/2006/relationships/hyperlink" Target="https://icatalog.expocentr.ru/ru/exhibitions/9daad3de-f999-11ef-80ce-a0d3c1fab97f" TargetMode="External" Id="rId984" /><Relationship Type="http://schemas.openxmlformats.org/officeDocument/2006/relationships/hyperlink" Target="http://www.sanruzh.by/" TargetMode="External" Id="rId985" /><Relationship Type="http://schemas.openxmlformats.org/officeDocument/2006/relationships/hyperlink" Target="https://icatalog.expocentr.ru/ru/exhibitions/9daad3de-f999-11ef-80ce-a0d3c1fab97f" TargetMode="External" Id="rId986" /><Relationship Type="http://schemas.openxmlformats.org/officeDocument/2006/relationships/hyperlink" Target="http://www.sovprof.ru/" TargetMode="External" Id="rId987" /><Relationship Type="http://schemas.openxmlformats.org/officeDocument/2006/relationships/hyperlink" Target="https://icatalog.expocentr.ru/ru/exhibitions/9daad3de-f999-11ef-80ce-a0d3c1fab97f" TargetMode="External" Id="rId988" /><Relationship Type="http://schemas.openxmlformats.org/officeDocument/2006/relationships/hyperlink" Target="https://deep.online/ru" TargetMode="External" Id="rId989" /><Relationship Type="http://schemas.openxmlformats.org/officeDocument/2006/relationships/hyperlink" Target="https://icatalog.expocentr.ru/ru/exhibitions/9daad3de-f999-11ef-80ce-a0d3c1fab97f" TargetMode="External" Id="rId990" /><Relationship Type="http://schemas.openxmlformats.org/officeDocument/2006/relationships/hyperlink" Target="https://frontmed.ru/" TargetMode="External" Id="rId991" /><Relationship Type="http://schemas.openxmlformats.org/officeDocument/2006/relationships/hyperlink" Target="https://icatalog.expocentr.ru/ru/exhibitions/9daad3de-f999-11ef-80ce-a0d3c1fab97f" TargetMode="External" Id="rId992" /><Relationship Type="http://schemas.openxmlformats.org/officeDocument/2006/relationships/hyperlink" Target="http://beautylinergroup.ru/" TargetMode="External" Id="rId993" /><Relationship Type="http://schemas.openxmlformats.org/officeDocument/2006/relationships/hyperlink" Target="https://icatalog.expocentr.ru/ru/exhibitions/9daad3de-f999-11ef-80ce-a0d3c1fab97f" TargetMode="External" Id="rId994" /><Relationship Type="http://schemas.openxmlformats.org/officeDocument/2006/relationships/hyperlink" Target="http://vacuvit.com/" TargetMode="External" Id="rId995" /><Relationship Type="http://schemas.openxmlformats.org/officeDocument/2006/relationships/hyperlink" Target="https://icatalog.expocentr.ru/ru/exhibitions/9daad3de-f999-11ef-80ce-a0d3c1fab97f" TargetMode="External" Id="rId996" /><Relationship Type="http://schemas.openxmlformats.org/officeDocument/2006/relationships/hyperlink" Target="http://a-vm.ru/" TargetMode="External" Id="rId997" /><Relationship Type="http://schemas.openxmlformats.org/officeDocument/2006/relationships/hyperlink" Target="https://icatalog.expocentr.ru/ru/exhibitions/9daad3de-f999-11ef-80ce-a0d3c1fab97f" TargetMode="External" Id="rId998" /><Relationship Type="http://schemas.openxmlformats.org/officeDocument/2006/relationships/hyperlink" Target="http://www.alpenpharma.ru/" TargetMode="External" Id="rId999" /><Relationship Type="http://schemas.openxmlformats.org/officeDocument/2006/relationships/hyperlink" Target="https://icatalog.expocentr.ru/ru/exhibitions/9daad3de-f999-11ef-80ce-a0d3c1fab97f" TargetMode="External" Id="rId1000" /><Relationship Type="http://schemas.openxmlformats.org/officeDocument/2006/relationships/hyperlink" Target="https://dentdealer.ru/" TargetMode="External" Id="rId1001" /><Relationship Type="http://schemas.openxmlformats.org/officeDocument/2006/relationships/hyperlink" Target="https://icatalog.expocentr.ru/ru/exhibitions/9daad3de-f999-11ef-80ce-a0d3c1fab97f" TargetMode="External" Id="rId1002" /><Relationship Type="http://schemas.openxmlformats.org/officeDocument/2006/relationships/hyperlink" Target="https://agroturg.ru/" TargetMode="External" Id="rId1003" /><Relationship Type="http://schemas.openxmlformats.org/officeDocument/2006/relationships/hyperlink" Target="https://icatalog.expocentr.ru/ru/exhibitions/9daad3de-f999-11ef-80ce-a0d3c1fab97f" TargetMode="External" Id="rId1004" /><Relationship Type="http://schemas.openxmlformats.org/officeDocument/2006/relationships/hyperlink" Target="https://roimax.ru/" TargetMode="External" Id="rId1005" /><Relationship Type="http://schemas.openxmlformats.org/officeDocument/2006/relationships/hyperlink" Target="https://icatalog.expocentr.ru/ru/exhibitions/9daad3de-f999-11ef-80ce-a0d3c1fab97f" TargetMode="External" Id="rId1006" /><Relationship Type="http://schemas.openxmlformats.org/officeDocument/2006/relationships/hyperlink" Target="http://www.vt66.ru/" TargetMode="External" Id="rId1007" /><Relationship Type="http://schemas.openxmlformats.org/officeDocument/2006/relationships/hyperlink" Target="https://icatalog.expocentr.ru/ru/exhibitions/9daad3de-f999-11ef-80ce-a0d3c1fab97f" TargetMode="External" Id="rId1008" /><Relationship Type="http://schemas.openxmlformats.org/officeDocument/2006/relationships/hyperlink" Target="http://www.whbiy.com/" TargetMode="External" Id="rId1009" /><Relationship Type="http://schemas.openxmlformats.org/officeDocument/2006/relationships/hyperlink" Target="https://icatalog.expocentr.ru/ru/exhibitions/9daad3de-f999-11ef-80ce-a0d3c1fab97f" TargetMode="External" Id="rId1010" /><Relationship Type="http://schemas.openxmlformats.org/officeDocument/2006/relationships/hyperlink" Target="http://www.mriyaresort.com/" TargetMode="External" Id="rId1011" /></Relationships>
</file>

<file path=xl/worksheets/_rels/sheet3.xml.rels><Relationships xmlns="http://schemas.openxmlformats.org/package/2006/relationships"><Relationship Type="http://schemas.openxmlformats.org/officeDocument/2006/relationships/hyperlink" Target="https://icatalog.expocentr.ru/ru/exhibitions/de590dc5-417d-11ee-80ce-a0d3c1fab97f" TargetMode="External" Id="rId1" /><Relationship Type="http://schemas.openxmlformats.org/officeDocument/2006/relationships/hyperlink" Target="http://www.projecttrade.ru/" TargetMode="External" Id="rId2" /><Relationship Type="http://schemas.openxmlformats.org/officeDocument/2006/relationships/hyperlink" Target="https://icatalog.expocentr.ru/ru/exhibitions/de590dc5-417d-11ee-80ce-a0d3c1fab97f" TargetMode="External" Id="rId3" /><Relationship Type="http://schemas.openxmlformats.org/officeDocument/2006/relationships/hyperlink" Target="http://www.mtl.ru/" TargetMode="External" Id="rId4" /><Relationship Type="http://schemas.openxmlformats.org/officeDocument/2006/relationships/hyperlink" Target="https://icatalog.expocentr.ru/ru/exhibitions/de590dc5-417d-11ee-80ce-a0d3c1fab97f" TargetMode="External" Id="rId5" /><Relationship Type="http://schemas.openxmlformats.org/officeDocument/2006/relationships/hyperlink" Target="http://www.expert-tomograph.ru/" TargetMode="External" Id="rId6" /><Relationship Type="http://schemas.openxmlformats.org/officeDocument/2006/relationships/hyperlink" Target="https://icatalog.expocentr.ru/ru/exhibitions/de590dc5-417d-11ee-80ce-a0d3c1fab97f" TargetMode="External" Id="rId7" /><Relationship Type="http://schemas.openxmlformats.org/officeDocument/2006/relationships/hyperlink" Target="http://www.btlnet.com/" TargetMode="External" Id="rId8" /><Relationship Type="http://schemas.openxmlformats.org/officeDocument/2006/relationships/hyperlink" Target="https://icatalog.expocentr.ru/ru/exhibitions/de590dc5-417d-11ee-80ce-a0d3c1fab97f" TargetMode="External" Id="rId9" /><Relationship Type="http://schemas.openxmlformats.org/officeDocument/2006/relationships/hyperlink" Target="http://www.bonss-russia.ru/" TargetMode="External" Id="rId10" /><Relationship Type="http://schemas.openxmlformats.org/officeDocument/2006/relationships/hyperlink" Target="https://icatalog.expocentr.ru/ru/exhibitions/de590dc5-417d-11ee-80ce-a0d3c1fab97f" TargetMode="External" Id="rId11" /><Relationship Type="http://schemas.openxmlformats.org/officeDocument/2006/relationships/hyperlink" Target="https://neurosoft.com/" TargetMode="External" Id="rId12" /><Relationship Type="http://schemas.openxmlformats.org/officeDocument/2006/relationships/hyperlink" Target="https://icatalog.expocentr.ru/ru/exhibitions/de590dc5-417d-11ee-80ce-a0d3c1fab97f" TargetMode="External" Id="rId13" /><Relationship Type="http://schemas.openxmlformats.org/officeDocument/2006/relationships/hyperlink" Target="http://www.helpic.ru/" TargetMode="External" Id="rId14" /><Relationship Type="http://schemas.openxmlformats.org/officeDocument/2006/relationships/hyperlink" Target="https://icatalog.expocentr.ru/ru/exhibitions/de590dc5-417d-11ee-80ce-a0d3c1fab97f" TargetMode="External" Id="rId15" /><Relationship Type="http://schemas.openxmlformats.org/officeDocument/2006/relationships/hyperlink" Target="http://www.medcomp.ru/" TargetMode="External" Id="rId16" /><Relationship Type="http://schemas.openxmlformats.org/officeDocument/2006/relationships/hyperlink" Target="https://icatalog.expocentr.ru/ru/exhibitions/de590dc5-417d-11ee-80ce-a0d3c1fab97f" TargetMode="External" Id="rId17" /><Relationship Type="http://schemas.openxmlformats.org/officeDocument/2006/relationships/hyperlink" Target="http://www.lmed.ru/" TargetMode="External" Id="rId18" /><Relationship Type="http://schemas.openxmlformats.org/officeDocument/2006/relationships/hyperlink" Target="https://icatalog.expocentr.ru/ru/exhibitions/de590dc5-417d-11ee-80ce-a0d3c1fab97f" TargetMode="External" Id="rId19" /><Relationship Type="http://schemas.openxmlformats.org/officeDocument/2006/relationships/hyperlink" Target="http://www.adanirus.ru/" TargetMode="External" Id="rId20" /><Relationship Type="http://schemas.openxmlformats.org/officeDocument/2006/relationships/hyperlink" Target="https://icatalog.expocentr.ru/ru/exhibitions/de590dc5-417d-11ee-80ce-a0d3c1fab97f" TargetMode="External" Id="rId21" /><Relationship Type="http://schemas.openxmlformats.org/officeDocument/2006/relationships/hyperlink" Target="http://www.reninnmed.com/" TargetMode="External" Id="rId22" /><Relationship Type="http://schemas.openxmlformats.org/officeDocument/2006/relationships/hyperlink" Target="https://icatalog.expocentr.ru/ru/exhibitions/de590dc5-417d-11ee-80ce-a0d3c1fab97f" TargetMode="External" Id="rId23" /><Relationship Type="http://schemas.openxmlformats.org/officeDocument/2006/relationships/hyperlink" Target="http://www.mk-klever.ru/" TargetMode="External" Id="rId24" /><Relationship Type="http://schemas.openxmlformats.org/officeDocument/2006/relationships/hyperlink" Target="https://icatalog.expocentr.ru/ru/exhibitions/de590dc5-417d-11ee-80ce-a0d3c1fab97f" TargetMode="External" Id="rId25" /><Relationship Type="http://schemas.openxmlformats.org/officeDocument/2006/relationships/hyperlink" Target="http://www.elmed-kzn.ru/" TargetMode="External" Id="rId26" /><Relationship Type="http://schemas.openxmlformats.org/officeDocument/2006/relationships/hyperlink" Target="https://icatalog.expocentr.ru/ru/exhibitions/de590dc5-417d-11ee-80ce-a0d3c1fab97f" TargetMode="External" Id="rId27" /><Relationship Type="http://schemas.openxmlformats.org/officeDocument/2006/relationships/hyperlink" Target="http://www.medison.ru/" TargetMode="External" Id="rId28" /><Relationship Type="http://schemas.openxmlformats.org/officeDocument/2006/relationships/hyperlink" Target="https://icatalog.expocentr.ru/ru/exhibitions/de590dc5-417d-11ee-80ce-a0d3c1fab97f" TargetMode="External" Id="rId29" /><Relationship Type="http://schemas.openxmlformats.org/officeDocument/2006/relationships/hyperlink" Target="http://sonomedica.ru/" TargetMode="External" Id="rId30" /><Relationship Type="http://schemas.openxmlformats.org/officeDocument/2006/relationships/hyperlink" Target="https://icatalog.expocentr.ru/ru/exhibitions/de590dc5-417d-11ee-80ce-a0d3c1fab97f" TargetMode="External" Id="rId31" /><Relationship Type="http://schemas.openxmlformats.org/officeDocument/2006/relationships/hyperlink" Target="http://medeq.ru/" TargetMode="External" Id="rId32" /><Relationship Type="http://schemas.openxmlformats.org/officeDocument/2006/relationships/hyperlink" Target="https://icatalog.expocentr.ru/ru/exhibitions/de590dc5-417d-11ee-80ce-a0d3c1fab97f" TargetMode="External" Id="rId33" /><Relationship Type="http://schemas.openxmlformats.org/officeDocument/2006/relationships/hyperlink" Target="http://uspekh.ru/" TargetMode="External" Id="rId34" /><Relationship Type="http://schemas.openxmlformats.org/officeDocument/2006/relationships/hyperlink" Target="https://icatalog.expocentr.ru/ru/exhibitions/de590dc5-417d-11ee-80ce-a0d3c1fab97f" TargetMode="External" Id="rId35" /><Relationship Type="http://schemas.openxmlformats.org/officeDocument/2006/relationships/hyperlink" Target="http://www.mosnerv.ru/" TargetMode="External" Id="rId36" /><Relationship Type="http://schemas.openxmlformats.org/officeDocument/2006/relationships/hyperlink" Target="https://icatalog.expocentr.ru/ru/exhibitions/de590dc5-417d-11ee-80ce-a0d3c1fab97f" TargetMode="External" Id="rId37" /><Relationship Type="http://schemas.openxmlformats.org/officeDocument/2006/relationships/hyperlink" Target="http://innobiosystems.com/" TargetMode="External" Id="rId38" /><Relationship Type="http://schemas.openxmlformats.org/officeDocument/2006/relationships/hyperlink" Target="https://icatalog.expocentr.ru/ru/exhibitions/de590dc5-417d-11ee-80ce-a0d3c1fab97f" TargetMode="External" Id="rId39" /><Relationship Type="http://schemas.openxmlformats.org/officeDocument/2006/relationships/hyperlink" Target="http://www.miocard.ru/" TargetMode="External" Id="rId40" /><Relationship Type="http://schemas.openxmlformats.org/officeDocument/2006/relationships/hyperlink" Target="https://icatalog.expocentr.ru/ru/exhibitions/de590dc5-417d-11ee-80ce-a0d3c1fab97f" TargetMode="External" Id="rId41" /><Relationship Type="http://schemas.openxmlformats.org/officeDocument/2006/relationships/hyperlink" Target="https://focal-spot.ru/" TargetMode="External" Id="rId42" /><Relationship Type="http://schemas.openxmlformats.org/officeDocument/2006/relationships/hyperlink" Target="https://icatalog.expocentr.ru/ru/exhibitions/de590dc5-417d-11ee-80ce-a0d3c1fab97f" TargetMode="External" Id="rId43" /><Relationship Type="http://schemas.openxmlformats.org/officeDocument/2006/relationships/hyperlink" Target="https://medcustoms.ru/" TargetMode="External" Id="rId44" /><Relationship Type="http://schemas.openxmlformats.org/officeDocument/2006/relationships/hyperlink" Target="https://icatalog.expocentr.ru/ru/exhibitions/de590dc5-417d-11ee-80ce-a0d3c1fab97f" TargetMode="External" Id="rId45" /><Relationship Type="http://schemas.openxmlformats.org/officeDocument/2006/relationships/hyperlink" Target="http://medstrategy.ru/" TargetMode="External" Id="rId46" /><Relationship Type="http://schemas.openxmlformats.org/officeDocument/2006/relationships/hyperlink" Target="https://icatalog.expocentr.ru/ru/exhibitions/de590dc5-417d-11ee-80ce-a0d3c1fab97f" TargetMode="External" Id="rId47" /><Relationship Type="http://schemas.openxmlformats.org/officeDocument/2006/relationships/hyperlink" Target="https://avamedica.ru/" TargetMode="External" Id="rId48" /><Relationship Type="http://schemas.openxmlformats.org/officeDocument/2006/relationships/hyperlink" Target="https://icatalog.expocentr.ru/ru/exhibitions/de590dc5-417d-11ee-80ce-a0d3c1fab97f" TargetMode="External" Id="rId49" /><Relationship Type="http://schemas.openxmlformats.org/officeDocument/2006/relationships/hyperlink" Target="http://www.sonorus.ru/" TargetMode="External" Id="rId50" /><Relationship Type="http://schemas.openxmlformats.org/officeDocument/2006/relationships/hyperlink" Target="mailto:mail@info-sonic.ru" TargetMode="External" Id="rId51" /><Relationship Type="http://schemas.openxmlformats.org/officeDocument/2006/relationships/hyperlink" Target="https://icatalog.expocentr.ru/ru/exhibitions/de590dc5-417d-11ee-80ce-a0d3c1fab97f" TargetMode="External" Id="rId52" /><Relationship Type="http://schemas.openxmlformats.org/officeDocument/2006/relationships/hyperlink" Target="https://rusmedcompany.ru/" TargetMode="External" Id="rId53" /><Relationship Type="http://schemas.openxmlformats.org/officeDocument/2006/relationships/hyperlink" Target="https://icatalog.expocentr.ru/ru/exhibitions/de590dc5-417d-11ee-80ce-a0d3c1fab97f" TargetMode="External" Id="rId54" /><Relationship Type="http://schemas.openxmlformats.org/officeDocument/2006/relationships/hyperlink" Target="http://www.mitsar-eeg.ru/" TargetMode="External" Id="rId55" /><Relationship Type="http://schemas.openxmlformats.org/officeDocument/2006/relationships/hyperlink" Target="https://icatalog.expocentr.ru/ru/exhibitions/de590dc5-417d-11ee-80ce-a0d3c1fab97f" TargetMode="External" Id="rId56" /><Relationship Type="http://schemas.openxmlformats.org/officeDocument/2006/relationships/hyperlink" Target="http://www.astrocard-meditek.ru/" TargetMode="External" Id="rId57" /><Relationship Type="http://schemas.openxmlformats.org/officeDocument/2006/relationships/hyperlink" Target="https://icatalog.expocentr.ru/ru/exhibitions/de590dc5-417d-11ee-80ce-a0d3c1fab97f" TargetMode="External" Id="rId58" /><Relationship Type="http://schemas.openxmlformats.org/officeDocument/2006/relationships/hyperlink" Target="http://www.spectrumllc.org/" TargetMode="External" Id="rId59" /><Relationship Type="http://schemas.openxmlformats.org/officeDocument/2006/relationships/hyperlink" Target="https://icatalog.expocentr.ru/ru/exhibitions/de590dc5-417d-11ee-80ce-a0d3c1fab97f" TargetMode="External" Id="rId60" /><Relationship Type="http://schemas.openxmlformats.org/officeDocument/2006/relationships/hyperlink" Target="http://zaslon.ru/" TargetMode="External" Id="rId61" /><Relationship Type="http://schemas.openxmlformats.org/officeDocument/2006/relationships/hyperlink" Target="https://icatalog.expocentr.ru/ru/exhibitions/de590dc5-417d-11ee-80ce-a0d3c1fab97f" TargetMode="External" Id="rId62" /><Relationship Type="http://schemas.openxmlformats.org/officeDocument/2006/relationships/hyperlink" Target="http://dm-group.org/" TargetMode="External" Id="rId63" /><Relationship Type="http://schemas.openxmlformats.org/officeDocument/2006/relationships/hyperlink" Target="https://icatalog.expocentr.ru/ru/exhibitions/de590dc5-417d-11ee-80ce-a0d3c1fab97f" TargetMode="External" Id="rId64" /><Relationship Type="http://schemas.openxmlformats.org/officeDocument/2006/relationships/hyperlink" Target="http://www.medscanner.ru/" TargetMode="External" Id="rId65" /><Relationship Type="http://schemas.openxmlformats.org/officeDocument/2006/relationships/hyperlink" Target="https://icatalog.expocentr.ru/ru/exhibitions/de590dc5-417d-11ee-80ce-a0d3c1fab97f" TargetMode="External" Id="rId66" /><Relationship Type="http://schemas.openxmlformats.org/officeDocument/2006/relationships/hyperlink" Target="https://franom.ru/" TargetMode="External" Id="rId67" /><Relationship Type="http://schemas.openxmlformats.org/officeDocument/2006/relationships/hyperlink" Target="https://icatalog.expocentr.ru/ru/exhibitions/de590dc5-417d-11ee-80ce-a0d3c1fab97f" TargetMode="External" Id="rId68" /><Relationship Type="http://schemas.openxmlformats.org/officeDocument/2006/relationships/hyperlink" Target="http://www.sante.ru/" TargetMode="External" Id="rId69" /><Relationship Type="http://schemas.openxmlformats.org/officeDocument/2006/relationships/hyperlink" Target="https://icatalog.expocentr.ru/ru/exhibitions/de590dc5-417d-11ee-80ce-a0d3c1fab97f" TargetMode="External" Id="rId70" /><Relationship Type="http://schemas.openxmlformats.org/officeDocument/2006/relationships/hyperlink" Target="https://www.premium-a.ru/" TargetMode="External" Id="rId71" /><Relationship Type="http://schemas.openxmlformats.org/officeDocument/2006/relationships/hyperlink" Target="https://icatalog.expocentr.ru/ru/exhibitions/de590dc5-417d-11ee-80ce-a0d3c1fab97f" TargetMode="External" Id="rId72" /><Relationship Type="http://schemas.openxmlformats.org/officeDocument/2006/relationships/hyperlink" Target="http://rg.sedspb.ru/" TargetMode="External" Id="rId73" /><Relationship Type="http://schemas.openxmlformats.org/officeDocument/2006/relationships/hyperlink" Target="https://icatalog.expocentr.ru/ru/exhibitions/de590dc5-417d-11ee-80ce-a0d3c1fab97f" TargetMode="External" Id="rId74" /><Relationship Type="http://schemas.openxmlformats.org/officeDocument/2006/relationships/hyperlink" Target="https://activ-medica.ru/" TargetMode="External" Id="rId75" /><Relationship Type="http://schemas.openxmlformats.org/officeDocument/2006/relationships/hyperlink" Target="https://icatalog.expocentr.ru/ru/exhibitions/de590dc5-417d-11ee-80ce-a0d3c1fab97f" TargetMode="External" Id="rId76" /><Relationship Type="http://schemas.openxmlformats.org/officeDocument/2006/relationships/hyperlink" Target="http://zerts.ru/" TargetMode="External" Id="rId77" /><Relationship Type="http://schemas.openxmlformats.org/officeDocument/2006/relationships/hyperlink" Target="https://icatalog.expocentr.ru/ru/exhibitions/de590dc5-417d-11ee-80ce-a0d3c1fab97f" TargetMode="External" Id="rId78" /><Relationship Type="http://schemas.openxmlformats.org/officeDocument/2006/relationships/hyperlink" Target="http://www.tako-line.ru/" TargetMode="External" Id="rId79" /><Relationship Type="http://schemas.openxmlformats.org/officeDocument/2006/relationships/hyperlink" Target="https://icatalog.expocentr.ru/ru/exhibitions/de590dc5-417d-11ee-80ce-a0d3c1fab97f" TargetMode="External" Id="rId80" /><Relationship Type="http://schemas.openxmlformats.org/officeDocument/2006/relationships/hyperlink" Target="http://www.aktubrentgen.ru/" TargetMode="External" Id="rId81" /><Relationship Type="http://schemas.openxmlformats.org/officeDocument/2006/relationships/hyperlink" Target="https://icatalog.expocentr.ru/ru/exhibitions/de590dc5-417d-11ee-80ce-a0d3c1fab97f" TargetMode="External" Id="rId82" /><Relationship Type="http://schemas.openxmlformats.org/officeDocument/2006/relationships/hyperlink" Target="https://icatalog.expocentr.ru/ru/exhibitions/de590dc5-417d-11ee-80ce-a0d3c1fab97f" TargetMode="External" Id="rId83" /><Relationship Type="http://schemas.openxmlformats.org/officeDocument/2006/relationships/hyperlink" Target="http://www.heine-opto.ru/" TargetMode="External" Id="rId84" /><Relationship Type="http://schemas.openxmlformats.org/officeDocument/2006/relationships/hyperlink" Target="https://icatalog.expocentr.ru/ru/exhibitions/de590dc5-417d-11ee-80ce-a0d3c1fab97f" TargetMode="External" Id="rId85" /><Relationship Type="http://schemas.openxmlformats.org/officeDocument/2006/relationships/hyperlink" Target="http://www.elmedica.ru/" TargetMode="External" Id="rId86" /><Relationship Type="http://schemas.openxmlformats.org/officeDocument/2006/relationships/hyperlink" Target="https://icatalog.expocentr.ru/ru/exhibitions/de590dc5-417d-11ee-80ce-a0d3c1fab97f" TargetMode="External" Id="rId87" /><Relationship Type="http://schemas.openxmlformats.org/officeDocument/2006/relationships/hyperlink" Target="http://iae.it/" TargetMode="External" Id="rId88" /><Relationship Type="http://schemas.openxmlformats.org/officeDocument/2006/relationships/hyperlink" Target="https://icatalog.expocentr.ru/ru/exhibitions/de590dc5-417d-11ee-80ce-a0d3c1fab97f" TargetMode="External" Id="rId89" /><Relationship Type="http://schemas.openxmlformats.org/officeDocument/2006/relationships/hyperlink" Target="http://www.endocentr.tech/" TargetMode="External" Id="rId90" /><Relationship Type="http://schemas.openxmlformats.org/officeDocument/2006/relationships/hyperlink" Target="https://icatalog.expocentr.ru/ru/exhibitions/de590dc5-417d-11ee-80ce-a0d3c1fab97f" TargetMode="External" Id="rId91" /><Relationship Type="http://schemas.openxmlformats.org/officeDocument/2006/relationships/hyperlink" Target="https://webclinic.ru/" TargetMode="External" Id="rId92" /><Relationship Type="http://schemas.openxmlformats.org/officeDocument/2006/relationships/hyperlink" Target="https://icatalog.expocentr.ru/ru/exhibitions/de590dc5-417d-11ee-80ce-a0d3c1fab97f" TargetMode="External" Id="rId93" /><Relationship Type="http://schemas.openxmlformats.org/officeDocument/2006/relationships/hyperlink" Target="https://swissspinesolution.ru/" TargetMode="External" Id="rId94" /><Relationship Type="http://schemas.openxmlformats.org/officeDocument/2006/relationships/hyperlink" Target="https://icatalog.expocentr.ru/ru/exhibitions/de590dc5-417d-11ee-80ce-a0d3c1fab97f" TargetMode="External" Id="rId95" /><Relationship Type="http://schemas.openxmlformats.org/officeDocument/2006/relationships/hyperlink" Target="https://els-med.ru/" TargetMode="External" Id="rId96" /><Relationship Type="http://schemas.openxmlformats.org/officeDocument/2006/relationships/hyperlink" Target="https://icatalog.expocentr.ru/ru/exhibitions/de590dc5-417d-11ee-80ce-a0d3c1fab97f" TargetMode="External" Id="rId97" /><Relationship Type="http://schemas.openxmlformats.org/officeDocument/2006/relationships/hyperlink" Target="https://sonder-tula.ru/" TargetMode="External" Id="rId98" /><Relationship Type="http://schemas.openxmlformats.org/officeDocument/2006/relationships/hyperlink" Target="https://icatalog.expocentr.ru/ru/exhibitions/de590dc5-417d-11ee-80ce-a0d3c1fab97f" TargetMode="External" Id="rId99" /><Relationship Type="http://schemas.openxmlformats.org/officeDocument/2006/relationships/hyperlink" Target="http://www.analitika-m.ru/" TargetMode="External" Id="rId100" /><Relationship Type="http://schemas.openxmlformats.org/officeDocument/2006/relationships/hyperlink" Target="https://icatalog.expocentr.ru/ru/exhibitions/de590dc5-417d-11ee-80ce-a0d3c1fab97f" TargetMode="External" Id="rId101" /><Relationship Type="http://schemas.openxmlformats.org/officeDocument/2006/relationships/hyperlink" Target="http://med-nnz.ru/" TargetMode="External" Id="rId102" /><Relationship Type="http://schemas.openxmlformats.org/officeDocument/2006/relationships/hyperlink" Target="https://icatalog.expocentr.ru/ru/exhibitions/de590dc5-417d-11ee-80ce-a0d3c1fab97f" TargetMode="External" Id="rId103" /><Relationship Type="http://schemas.openxmlformats.org/officeDocument/2006/relationships/hyperlink" Target="https://rustomograf.ru/" TargetMode="External" Id="rId104" /><Relationship Type="http://schemas.openxmlformats.org/officeDocument/2006/relationships/hyperlink" Target="https://icatalog.expocentr.ru/ru/exhibitions/de590dc5-417d-11ee-80ce-a0d3c1fab97f" TargetMode="External" Id="rId105" /><Relationship Type="http://schemas.openxmlformats.org/officeDocument/2006/relationships/hyperlink" Target="http://www.oooinvent.ru/" TargetMode="External" Id="rId106" /><Relationship Type="http://schemas.openxmlformats.org/officeDocument/2006/relationships/hyperlink" Target="https://icatalog.expocentr.ru/ru/exhibitions/de590dc5-417d-11ee-80ce-a0d3c1fab97f" TargetMode="External" Id="rId107" /><Relationship Type="http://schemas.openxmlformats.org/officeDocument/2006/relationships/hyperlink" Target="http://www.doza.ru/" TargetMode="External" Id="rId108" /><Relationship Type="http://schemas.openxmlformats.org/officeDocument/2006/relationships/hyperlink" Target="https://icatalog.expocentr.ru/ru/exhibitions/de590dc5-417d-11ee-80ce-a0d3c1fab97f" TargetMode="External" Id="rId109" /><Relationship Type="http://schemas.openxmlformats.org/officeDocument/2006/relationships/hyperlink" Target="http://www.argus-ds.ru/" TargetMode="External" Id="rId110" /><Relationship Type="http://schemas.openxmlformats.org/officeDocument/2006/relationships/hyperlink" Target="https://icatalog.expocentr.ru/ru/exhibitions/de590dc5-417d-11ee-80ce-a0d3c1fab97f" TargetMode="External" Id="rId111" /><Relationship Type="http://schemas.openxmlformats.org/officeDocument/2006/relationships/hyperlink" Target="http://tomograph.pro/" TargetMode="External" Id="rId112" /><Relationship Type="http://schemas.openxmlformats.org/officeDocument/2006/relationships/hyperlink" Target="https://icatalog.expocentr.ru/ru/exhibitions/de590dc5-417d-11ee-80ce-a0d3c1fab97f" TargetMode="External" Id="rId113" /><Relationship Type="http://schemas.openxmlformats.org/officeDocument/2006/relationships/hyperlink" Target="http://www.medsystems.ru/" TargetMode="External" Id="rId114" /><Relationship Type="http://schemas.openxmlformats.org/officeDocument/2006/relationships/hyperlink" Target="https://icatalog.expocentr.ru/ru/exhibitions/de590dc5-417d-11ee-80ce-a0d3c1fab97f" TargetMode="External" Id="rId115" /><Relationship Type="http://schemas.openxmlformats.org/officeDocument/2006/relationships/hyperlink" Target="http://www.medliga.ru/" TargetMode="External" Id="rId116" /><Relationship Type="http://schemas.openxmlformats.org/officeDocument/2006/relationships/hyperlink" Target="https://icatalog.expocentr.ru/ru/exhibitions/de590dc5-417d-11ee-80ce-a0d3c1fab97f" TargetMode="External" Id="rId117" /><Relationship Type="http://schemas.openxmlformats.org/officeDocument/2006/relationships/hyperlink" Target="https://eurotech.ru/" TargetMode="External" Id="rId118" /><Relationship Type="http://schemas.openxmlformats.org/officeDocument/2006/relationships/hyperlink" Target="https://icatalog.expocentr.ru/ru/exhibitions/de590dc5-417d-11ee-80ce-a0d3c1fab97f" TargetMode="External" Id="rId119" /><Relationship Type="http://schemas.openxmlformats.org/officeDocument/2006/relationships/hyperlink" Target="https://ctccapital.ru/" TargetMode="External" Id="rId120" /><Relationship Type="http://schemas.openxmlformats.org/officeDocument/2006/relationships/hyperlink" Target="https://icatalog.expocentr.ru/ru/exhibitions/de590dc5-417d-11ee-80ce-a0d3c1fab97f" TargetMode="External" Id="rId121" /><Relationship Type="http://schemas.openxmlformats.org/officeDocument/2006/relationships/hyperlink" Target="http://www.pole96.ru/" TargetMode="External" Id="rId122" /><Relationship Type="http://schemas.openxmlformats.org/officeDocument/2006/relationships/hyperlink" Target="https://icatalog.expocentr.ru/ru/exhibitions/de590dc5-417d-11ee-80ce-a0d3c1fab97f" TargetMode="External" Id="rId123" /><Relationship Type="http://schemas.openxmlformats.org/officeDocument/2006/relationships/hyperlink" Target="http://www.cryotec.ru/" TargetMode="External" Id="rId124" /><Relationship Type="http://schemas.openxmlformats.org/officeDocument/2006/relationships/hyperlink" Target="https://icatalog.expocentr.ru/ru/exhibitions/de590dc5-417d-11ee-80ce-a0d3c1fab97f" TargetMode="External" Id="rId125" /><Relationship Type="http://schemas.openxmlformats.org/officeDocument/2006/relationships/hyperlink" Target="https://medicalcom.ru/" TargetMode="External" Id="rId126" /><Relationship Type="http://schemas.openxmlformats.org/officeDocument/2006/relationships/hyperlink" Target="https://icatalog.expocentr.ru/ru/exhibitions/de590dc5-417d-11ee-80ce-a0d3c1fab97f" TargetMode="External" Id="rId127" /><Relationship Type="http://schemas.openxmlformats.org/officeDocument/2006/relationships/hyperlink" Target="http://www.inmed.ru/" TargetMode="External" Id="rId128" /><Relationship Type="http://schemas.openxmlformats.org/officeDocument/2006/relationships/hyperlink" Target="https://icatalog.expocentr.ru/ru/exhibitions/de590dc5-417d-11ee-80ce-a0d3c1fab97f" TargetMode="External" Id="rId129" /><Relationship Type="http://schemas.openxmlformats.org/officeDocument/2006/relationships/hyperlink" Target="https://goldident.ru/" TargetMode="External" Id="rId130" /><Relationship Type="http://schemas.openxmlformats.org/officeDocument/2006/relationships/hyperlink" Target="https://icatalog.expocentr.ru/ru/exhibitions/de590dc5-417d-11ee-80ce-a0d3c1fab97f" TargetMode="External" Id="rId131" /><Relationship Type="http://schemas.openxmlformats.org/officeDocument/2006/relationships/hyperlink" Target="http://www.mttechnica.ru/" TargetMode="External" Id="rId132" /><Relationship Type="http://schemas.openxmlformats.org/officeDocument/2006/relationships/hyperlink" Target="https://icatalog.expocentr.ru/ru/exhibitions/de590dc5-417d-11ee-80ce-a0d3c1fab97f" TargetMode="External" Id="rId133" /><Relationship Type="http://schemas.openxmlformats.org/officeDocument/2006/relationships/hyperlink" Target="http://www.anokmt.ru/" TargetMode="External" Id="rId134" /><Relationship Type="http://schemas.openxmlformats.org/officeDocument/2006/relationships/hyperlink" Target="https://icatalog.expocentr.ru/ru/exhibitions/de590dc5-417d-11ee-80ce-a0d3c1fab97f" TargetMode="External" Id="rId135" /><Relationship Type="http://schemas.openxmlformats.org/officeDocument/2006/relationships/hyperlink" Target="https://icatalog.expocentr.ru/ru/exhibitions/de590dc5-417d-11ee-80ce-a0d3c1fab97f" TargetMode="External" Id="rId136" /><Relationship Type="http://schemas.openxmlformats.org/officeDocument/2006/relationships/hyperlink" Target="https://gkvector.com/" TargetMode="External" Id="rId137" /><Relationship Type="http://schemas.openxmlformats.org/officeDocument/2006/relationships/hyperlink" Target="https://icatalog.expocentr.ru/ru/exhibitions/de590dc5-417d-11ee-80ce-a0d3c1fab97f" TargetMode="External" Id="rId138" /><Relationship Type="http://schemas.openxmlformats.org/officeDocument/2006/relationships/hyperlink" Target="http://www.rpharm.ru/" TargetMode="External" Id="rId139" /><Relationship Type="http://schemas.openxmlformats.org/officeDocument/2006/relationships/hyperlink" Target="https://icatalog.expocentr.ru/ru/exhibitions/de590dc5-417d-11ee-80ce-a0d3c1fab97f" TargetMode="External" Id="rId140" /><Relationship Type="http://schemas.openxmlformats.org/officeDocument/2006/relationships/hyperlink" Target="https://southmedica.ru/" TargetMode="External" Id="rId141" /><Relationship Type="http://schemas.openxmlformats.org/officeDocument/2006/relationships/hyperlink" Target="https://icatalog.expocentr.ru/ru/exhibitions/de590dc5-417d-11ee-80ce-a0d3c1fab97f" TargetMode="External" Id="rId142" /><Relationship Type="http://schemas.openxmlformats.org/officeDocument/2006/relationships/hyperlink" Target="https://siti-med.com/" TargetMode="External" Id="rId143" /><Relationship Type="http://schemas.openxmlformats.org/officeDocument/2006/relationships/hyperlink" Target="https://icatalog.expocentr.ru/ru/exhibitions/de590dc5-417d-11ee-80ce-a0d3c1fab97f" TargetMode="External" Id="rId144" /><Relationship Type="http://schemas.openxmlformats.org/officeDocument/2006/relationships/hyperlink" Target="https://cpm.center/" TargetMode="External" Id="rId145" /><Relationship Type="http://schemas.openxmlformats.org/officeDocument/2006/relationships/hyperlink" Target="https://icatalog.expocentr.ru/ru/exhibitions/de590dc5-417d-11ee-80ce-a0d3c1fab97f" TargetMode="External" Id="rId146" /><Relationship Type="http://schemas.openxmlformats.org/officeDocument/2006/relationships/hyperlink" Target="http://formed.ru/" TargetMode="External" Id="rId147" /><Relationship Type="http://schemas.openxmlformats.org/officeDocument/2006/relationships/hyperlink" Target="https://icatalog.expocentr.ru/ru/exhibitions/de590dc5-417d-11ee-80ce-a0d3c1fab97f" TargetMode="External" Id="rId148" /><Relationship Type="http://schemas.openxmlformats.org/officeDocument/2006/relationships/hyperlink" Target="https://cordismed.ru/" TargetMode="External" Id="rId149" /><Relationship Type="http://schemas.openxmlformats.org/officeDocument/2006/relationships/hyperlink" Target="https://icatalog.expocentr.ru/ru/exhibitions/de590dc5-417d-11ee-80ce-a0d3c1fab97f" TargetMode="External" Id="rId150" /><Relationship Type="http://schemas.openxmlformats.org/officeDocument/2006/relationships/hyperlink" Target="http://www.grandmedgroup.ru/" TargetMode="External" Id="rId151" /><Relationship Type="http://schemas.openxmlformats.org/officeDocument/2006/relationships/hyperlink" Target="https://icatalog.expocentr.ru/ru/exhibitions/de590dc5-417d-11ee-80ce-a0d3c1fab97f" TargetMode="External" Id="rId152" /><Relationship Type="http://schemas.openxmlformats.org/officeDocument/2006/relationships/hyperlink" Target="http://www.electronxray.com/" TargetMode="External" Id="rId153" /><Relationship Type="http://schemas.openxmlformats.org/officeDocument/2006/relationships/hyperlink" Target="https://icatalog.expocentr.ru/ru/exhibitions/de590dc5-417d-11ee-80ce-a0d3c1fab97f" TargetMode="External" Id="rId154" /><Relationship Type="http://schemas.openxmlformats.org/officeDocument/2006/relationships/hyperlink" Target="http://www.357.pro/" TargetMode="External" Id="rId155" /><Relationship Type="http://schemas.openxmlformats.org/officeDocument/2006/relationships/hyperlink" Target="https://icatalog.expocentr.ru/ru/exhibitions/de590dc5-417d-11ee-80ce-a0d3c1fab97f" TargetMode="External" Id="rId156" /><Relationship Type="http://schemas.openxmlformats.org/officeDocument/2006/relationships/hyperlink" Target="http://www.paritet-moscow.ru/" TargetMode="External" Id="rId157" /><Relationship Type="http://schemas.openxmlformats.org/officeDocument/2006/relationships/hyperlink" Target="https://icatalog.expocentr.ru/ru/exhibitions/de590dc5-417d-11ee-80ce-a0d3c1fab97f" TargetMode="External" Id="rId158" /><Relationship Type="http://schemas.openxmlformats.org/officeDocument/2006/relationships/hyperlink" Target="https://medal.group/" TargetMode="External" Id="rId159" /><Relationship Type="http://schemas.openxmlformats.org/officeDocument/2006/relationships/hyperlink" Target="https://icatalog.expocentr.ru/ru/exhibitions/de590dc5-417d-11ee-80ce-a0d3c1fab97f" TargetMode="External" Id="rId160" /><Relationship Type="http://schemas.openxmlformats.org/officeDocument/2006/relationships/hyperlink" Target="http://www.bimcvol.ru/" TargetMode="External" Id="rId161" /><Relationship Type="http://schemas.openxmlformats.org/officeDocument/2006/relationships/hyperlink" Target="https://icatalog.expocentr.ru/ru/exhibitions/de590dc5-417d-11ee-80ce-a0d3c1fab97f" TargetMode="External" Id="rId162" /><Relationship Type="http://schemas.openxmlformats.org/officeDocument/2006/relationships/hyperlink" Target="http://endomedi.ru/" TargetMode="External" Id="rId163" /><Relationship Type="http://schemas.openxmlformats.org/officeDocument/2006/relationships/hyperlink" Target="https://icatalog.expocentr.ru/ru/exhibitions/de590dc5-417d-11ee-80ce-a0d3c1fab97f" TargetMode="External" Id="rId164" /><Relationship Type="http://schemas.openxmlformats.org/officeDocument/2006/relationships/hyperlink" Target="https://medteh.ru/" TargetMode="External" Id="rId165" /><Relationship Type="http://schemas.openxmlformats.org/officeDocument/2006/relationships/hyperlink" Target="https://icatalog.expocentr.ru/ru/exhibitions/de590dc5-417d-11ee-80ce-a0d3c1fab97f" TargetMode="External" Id="rId166" /><Relationship Type="http://schemas.openxmlformats.org/officeDocument/2006/relationships/hyperlink" Target="http://www.infomed.com.ru/" TargetMode="External" Id="rId167" /><Relationship Type="http://schemas.openxmlformats.org/officeDocument/2006/relationships/hyperlink" Target="https://icatalog.expocentr.ru/ru/exhibitions/de590dc5-417d-11ee-80ce-a0d3c1fab97f" TargetMode="External" Id="rId168" /><Relationship Type="http://schemas.openxmlformats.org/officeDocument/2006/relationships/hyperlink" Target="http://gmgrus.ru/" TargetMode="External" Id="rId169" /><Relationship Type="http://schemas.openxmlformats.org/officeDocument/2006/relationships/hyperlink" Target="https://icatalog.expocentr.ru/ru/exhibitions/de590dc5-417d-11ee-80ce-a0d3c1fab97f" TargetMode="External" Id="rId170" /><Relationship Type="http://schemas.openxmlformats.org/officeDocument/2006/relationships/hyperlink" Target="http://www.pharmster.com/" TargetMode="External" Id="rId171" /><Relationship Type="http://schemas.openxmlformats.org/officeDocument/2006/relationships/hyperlink" Target="https://icatalog.expocentr.ru/ru/exhibitions/de590dc5-417d-11ee-80ce-a0d3c1fab97f" TargetMode="External" Id="rId172" /><Relationship Type="http://schemas.openxmlformats.org/officeDocument/2006/relationships/hyperlink" Target="https://icatalog.expocentr.ru/ru/exhibitions/de590dc5-417d-11ee-80ce-a0d3c1fab97f" TargetMode="External" Id="rId173" /><Relationship Type="http://schemas.openxmlformats.org/officeDocument/2006/relationships/hyperlink" Target="http://www.avtodom73.ru/" TargetMode="External" Id="rId174" /><Relationship Type="http://schemas.openxmlformats.org/officeDocument/2006/relationships/hyperlink" Target="https://icatalog.expocentr.ru/ru/exhibitions/de590dc5-417d-11ee-80ce-a0d3c1fab97f" TargetMode="External" Id="rId175" /><Relationship Type="http://schemas.openxmlformats.org/officeDocument/2006/relationships/hyperlink" Target="https://icatalog.expocentr.ru/ru/exhibitions/de590dc5-417d-11ee-80ce-a0d3c1fab97f" TargetMode="External" Id="rId176" /><Relationship Type="http://schemas.openxmlformats.org/officeDocument/2006/relationships/hyperlink" Target="http://www.endo.video/" TargetMode="External" Id="rId177" /><Relationship Type="http://schemas.openxmlformats.org/officeDocument/2006/relationships/hyperlink" Target="https://icatalog.expocentr.ru/ru/exhibitions/de590dc5-417d-11ee-80ce-a0d3c1fab97f" TargetMode="External" Id="rId178" /><Relationship Type="http://schemas.openxmlformats.org/officeDocument/2006/relationships/hyperlink" Target="http://www.medical112.ru/" TargetMode="External" Id="rId179" /><Relationship Type="http://schemas.openxmlformats.org/officeDocument/2006/relationships/hyperlink" Target="https://icatalog.expocentr.ru/ru/exhibitions/de590dc5-417d-11ee-80ce-a0d3c1fab97f" TargetMode="External" Id="rId180" /><Relationship Type="http://schemas.openxmlformats.org/officeDocument/2006/relationships/hyperlink" Target="http://www.ophimed.ru/" TargetMode="External" Id="rId181" /><Relationship Type="http://schemas.openxmlformats.org/officeDocument/2006/relationships/hyperlink" Target="https://icatalog.expocentr.ru/ru/exhibitions/de590dc5-417d-11ee-80ce-a0d3c1fab97f" TargetMode="External" Id="rId182" /><Relationship Type="http://schemas.openxmlformats.org/officeDocument/2006/relationships/hyperlink" Target="http://www.omt-ural.ru/" TargetMode="External" Id="rId183" /><Relationship Type="http://schemas.openxmlformats.org/officeDocument/2006/relationships/hyperlink" Target="https://icatalog.expocentr.ru/ru/exhibitions/de590dc5-417d-11ee-80ce-a0d3c1fab97f" TargetMode="External" Id="rId184" /><Relationship Type="http://schemas.openxmlformats.org/officeDocument/2006/relationships/hyperlink" Target="http://www.stormoff.com/" TargetMode="External" Id="rId185" /><Relationship Type="http://schemas.openxmlformats.org/officeDocument/2006/relationships/hyperlink" Target="https://icatalog.expocentr.ru/ru/exhibitions/de590dc5-417d-11ee-80ce-a0d3c1fab97f" TargetMode="External" Id="rId186" /><Relationship Type="http://schemas.openxmlformats.org/officeDocument/2006/relationships/hyperlink" Target="https://zelmedservice.ru/" TargetMode="External" Id="rId187" /><Relationship Type="http://schemas.openxmlformats.org/officeDocument/2006/relationships/hyperlink" Target="https://icatalog.expocentr.ru/ru/exhibitions/de590dc5-417d-11ee-80ce-a0d3c1fab97f" TargetMode="External" Id="rId188" /><Relationship Type="http://schemas.openxmlformats.org/officeDocument/2006/relationships/hyperlink" Target="http://technomedgroup.ru/" TargetMode="External" Id="rId189" /><Relationship Type="http://schemas.openxmlformats.org/officeDocument/2006/relationships/hyperlink" Target="https://icatalog.expocentr.ru/ru/exhibitions/de590dc5-417d-11ee-80ce-a0d3c1fab97f" TargetMode="External" Id="rId190" /><Relationship Type="http://schemas.openxmlformats.org/officeDocument/2006/relationships/hyperlink" Target="https://kc-prof.ru/" TargetMode="External" Id="rId191" /><Relationship Type="http://schemas.openxmlformats.org/officeDocument/2006/relationships/hyperlink" Target="https://icatalog.expocentr.ru/ru/exhibitions/de590dc5-417d-11ee-80ce-a0d3c1fab97f" TargetMode="External" Id="rId192" /><Relationship Type="http://schemas.openxmlformats.org/officeDocument/2006/relationships/hyperlink" Target="https://mrtprofi.ru/" TargetMode="External" Id="rId193" /><Relationship Type="http://schemas.openxmlformats.org/officeDocument/2006/relationships/hyperlink" Target="https://icatalog.expocentr.ru/ru/exhibitions/de590dc5-417d-11ee-80ce-a0d3c1fab97f" TargetMode="External" Id="rId194" /><Relationship Type="http://schemas.openxmlformats.org/officeDocument/2006/relationships/hyperlink" Target="https://icatalog.expocentr.ru/ru/exhibitions/de590dc5-417d-11ee-80ce-a0d3c1fab97f" TargetMode="External" Id="rId195" /><Relationship Type="http://schemas.openxmlformats.org/officeDocument/2006/relationships/hyperlink" Target="http://www.evropamedical.ru/" TargetMode="External" Id="rId196" /><Relationship Type="http://schemas.openxmlformats.org/officeDocument/2006/relationships/hyperlink" Target="https://icatalog.expocentr.ru/ru/exhibitions/de590dc5-417d-11ee-80ce-a0d3c1fab97f" TargetMode="External" Id="rId197" /><Relationship Type="http://schemas.openxmlformats.org/officeDocument/2006/relationships/hyperlink" Target="https://akross-auto.ru/" TargetMode="External" Id="rId198" /><Relationship Type="http://schemas.openxmlformats.org/officeDocument/2006/relationships/hyperlink" Target="https://icatalog.expocentr.ru/ru/exhibitions/de590dc5-417d-11ee-80ce-a0d3c1fab97f" TargetMode="External" Id="rId199" /><Relationship Type="http://schemas.openxmlformats.org/officeDocument/2006/relationships/hyperlink" Target="http://mtmedical.net/" TargetMode="External" Id="rId200" /><Relationship Type="http://schemas.openxmlformats.org/officeDocument/2006/relationships/hyperlink" Target="https://icatalog.expocentr.ru/ru/exhibitions/de590dc5-417d-11ee-80ce-a0d3c1fab97f" TargetMode="External" Id="rId201" /><Relationship Type="http://schemas.openxmlformats.org/officeDocument/2006/relationships/hyperlink" Target="https://dali-medical.com/" TargetMode="External" Id="rId202" /><Relationship Type="http://schemas.openxmlformats.org/officeDocument/2006/relationships/hyperlink" Target="https://icatalog.expocentr.ru/ru/exhibitions/de590dc5-417d-11ee-80ce-a0d3c1fab97f" TargetMode="External" Id="rId203" /><Relationship Type="http://schemas.openxmlformats.org/officeDocument/2006/relationships/hyperlink" Target="http://www.bioline.ru/" TargetMode="External" Id="rId204" /><Relationship Type="http://schemas.openxmlformats.org/officeDocument/2006/relationships/hyperlink" Target="https://icatalog.expocentr.ru/ru/exhibitions/de590dc5-417d-11ee-80ce-a0d3c1fab97f" TargetMode="External" Id="rId205" /><Relationship Type="http://schemas.openxmlformats.org/officeDocument/2006/relationships/hyperlink" Target="http://www.stkraft.com/" TargetMode="External" Id="rId206" /><Relationship Type="http://schemas.openxmlformats.org/officeDocument/2006/relationships/hyperlink" Target="https://icatalog.expocentr.ru/ru/exhibitions/de590dc5-417d-11ee-80ce-a0d3c1fab97f" TargetMode="External" Id="rId207" /><Relationship Type="http://schemas.openxmlformats.org/officeDocument/2006/relationships/hyperlink" Target="https://www.mkbfakel.ru/" TargetMode="External" Id="rId208" /><Relationship Type="http://schemas.openxmlformats.org/officeDocument/2006/relationships/hyperlink" Target="https://icatalog.expocentr.ru/ru/exhibitions/de590dc5-417d-11ee-80ce-a0d3c1fab97f" TargetMode="External" Id="rId209" /><Relationship Type="http://schemas.openxmlformats.org/officeDocument/2006/relationships/hyperlink" Target="https://zavod-iskra.ru/" TargetMode="External" Id="rId210" /><Relationship Type="http://schemas.openxmlformats.org/officeDocument/2006/relationships/hyperlink" Target="https://icatalog.expocentr.ru/ru/exhibitions/de590dc5-417d-11ee-80ce-a0d3c1fab97f" TargetMode="External" Id="rId211" /><Relationship Type="http://schemas.openxmlformats.org/officeDocument/2006/relationships/hyperlink" Target="https://rehabtex.ru/" TargetMode="External" Id="rId212" /><Relationship Type="http://schemas.openxmlformats.org/officeDocument/2006/relationships/hyperlink" Target="https://icatalog.expocentr.ru/ru/exhibitions/de590dc5-417d-11ee-80ce-a0d3c1fab97f" TargetMode="External" Id="rId213" /><Relationship Type="http://schemas.openxmlformats.org/officeDocument/2006/relationships/hyperlink" Target="http://4clinic.ru/" TargetMode="External" Id="rId214" /><Relationship Type="http://schemas.openxmlformats.org/officeDocument/2006/relationships/hyperlink" Target="https://icatalog.expocentr.ru/ru/exhibitions/de590dc5-417d-11ee-80ce-a0d3c1fab97f" TargetMode="External" Id="rId215" /><Relationship Type="http://schemas.openxmlformats.org/officeDocument/2006/relationships/hyperlink" Target="http://www.trimm.ru/" TargetMode="External" Id="rId216" /><Relationship Type="http://schemas.openxmlformats.org/officeDocument/2006/relationships/hyperlink" Target="https://icatalog.expocentr.ru/ru/exhibitions/de590dc5-417d-11ee-80ce-a0d3c1fab97f" TargetMode="External" Id="rId217" /><Relationship Type="http://schemas.openxmlformats.org/officeDocument/2006/relationships/hyperlink" Target="http://treaton.ru/" TargetMode="External" Id="rId218" /><Relationship Type="http://schemas.openxmlformats.org/officeDocument/2006/relationships/hyperlink" Target="https://icatalog.expocentr.ru/ru/exhibitions/de590dc5-417d-11ee-80ce-a0d3c1fab97f" TargetMode="External" Id="rId219" /><Relationship Type="http://schemas.openxmlformats.org/officeDocument/2006/relationships/hyperlink" Target="https://www.vniiimt.ru/" TargetMode="External" Id="rId220" /><Relationship Type="http://schemas.openxmlformats.org/officeDocument/2006/relationships/hyperlink" Target="https://icatalog.expocentr.ru/ru/exhibitions/de590dc5-417d-11ee-80ce-a0d3c1fab97f" TargetMode="External" Id="rId221" /><Relationship Type="http://schemas.openxmlformats.org/officeDocument/2006/relationships/hyperlink" Target="https://www.regmed.ru/" TargetMode="External" Id="rId222" /><Relationship Type="http://schemas.openxmlformats.org/officeDocument/2006/relationships/hyperlink" Target="https://icatalog.expocentr.ru/ru/exhibitions/de590dc5-417d-11ee-80ce-a0d3c1fab97f" TargetMode="External" Id="rId223" /><Relationship Type="http://schemas.openxmlformats.org/officeDocument/2006/relationships/hyperlink" Target="https://tumbotino.ru/" TargetMode="External" Id="rId224" /><Relationship Type="http://schemas.openxmlformats.org/officeDocument/2006/relationships/hyperlink" Target="https://icatalog.expocentr.ru/ru/exhibitions/de590dc5-417d-11ee-80ce-a0d3c1fab97f" TargetMode="External" Id="rId225" /><Relationship Type="http://schemas.openxmlformats.org/officeDocument/2006/relationships/hyperlink" Target="https://icatalog.expocentr.ru/ru/exhibitions/de590dc5-417d-11ee-80ce-a0d3c1fab97f" TargetMode="External" Id="rId226" /><Relationship Type="http://schemas.openxmlformats.org/officeDocument/2006/relationships/hyperlink" Target="https://medatrium.ru/" TargetMode="External" Id="rId227" /><Relationship Type="http://schemas.openxmlformats.org/officeDocument/2006/relationships/hyperlink" Target="https://icatalog.expocentr.ru/ru/exhibitions/de590dc5-417d-11ee-80ce-a0d3c1fab97f" TargetMode="External" Id="rId228" /><Relationship Type="http://schemas.openxmlformats.org/officeDocument/2006/relationships/hyperlink" Target="http://www.vital-spb.ru/" TargetMode="External" Id="rId229" /><Relationship Type="http://schemas.openxmlformats.org/officeDocument/2006/relationships/hyperlink" Target="https://icatalog.expocentr.ru/ru/exhibitions/de590dc5-417d-11ee-80ce-a0d3c1fab97f" TargetMode="External" Id="rId230" /><Relationship Type="http://schemas.openxmlformats.org/officeDocument/2006/relationships/hyperlink" Target="https://negatoscope.ru/" TargetMode="External" Id="rId231" /><Relationship Type="http://schemas.openxmlformats.org/officeDocument/2006/relationships/hyperlink" Target="https://icatalog.expocentr.ru/ru/exhibitions/de590dc5-417d-11ee-80ce-a0d3c1fab97f" TargetMode="External" Id="rId232" /><Relationship Type="http://schemas.openxmlformats.org/officeDocument/2006/relationships/hyperlink" Target="http://www.bplab.ru/" TargetMode="External" Id="rId233" /><Relationship Type="http://schemas.openxmlformats.org/officeDocument/2006/relationships/hyperlink" Target="https://icatalog.expocentr.ru/ru/exhibitions/de590dc5-417d-11ee-80ce-a0d3c1fab97f" TargetMode="External" Id="rId234" /><Relationship Type="http://schemas.openxmlformats.org/officeDocument/2006/relationships/hyperlink" Target="https://icatalog.expocentr.ru/ru/exhibitions/de590dc5-417d-11ee-80ce-a0d3c1fab97f" TargetMode="External" Id="rId235" /><Relationship Type="http://schemas.openxmlformats.org/officeDocument/2006/relationships/hyperlink" Target="http://vmt-neuro.ru/" TargetMode="External" Id="rId236" /><Relationship Type="http://schemas.openxmlformats.org/officeDocument/2006/relationships/hyperlink" Target="https://icatalog.expocentr.ru/ru/exhibitions/de590dc5-417d-11ee-80ce-a0d3c1fab97f" TargetMode="External" Id="rId237" /><Relationship Type="http://schemas.openxmlformats.org/officeDocument/2006/relationships/hyperlink" Target="http://www.zimmer-medsys.ru/" TargetMode="External" Id="rId238" /><Relationship Type="http://schemas.openxmlformats.org/officeDocument/2006/relationships/hyperlink" Target="https://icatalog.expocentr.ru/ru/exhibitions/de590dc5-417d-11ee-80ce-a0d3c1fab97f" TargetMode="External" Id="rId239" /><Relationship Type="http://schemas.openxmlformats.org/officeDocument/2006/relationships/hyperlink" Target="http://www.st-nn.ru/" TargetMode="External" Id="rId240" /><Relationship Type="http://schemas.openxmlformats.org/officeDocument/2006/relationships/hyperlink" Target="https://icatalog.expocentr.ru/ru/exhibitions/de590dc5-417d-11ee-80ce-a0d3c1fab97f" TargetMode="External" Id="rId241" /><Relationship Type="http://schemas.openxmlformats.org/officeDocument/2006/relationships/hyperlink" Target="http://polytechmed.ru/" TargetMode="External" Id="rId242" /><Relationship Type="http://schemas.openxmlformats.org/officeDocument/2006/relationships/hyperlink" Target="https://icatalog.expocentr.ru/ru/exhibitions/de590dc5-417d-11ee-80ce-a0d3c1fab97f" TargetMode="External" Id="rId243" /><Relationship Type="http://schemas.openxmlformats.org/officeDocument/2006/relationships/hyperlink" Target="https://lektrava.ru/" TargetMode="External" Id="rId244" /><Relationship Type="http://schemas.openxmlformats.org/officeDocument/2006/relationships/hyperlink" Target="https://icatalog.expocentr.ru/ru/exhibitions/de590dc5-417d-11ee-80ce-a0d3c1fab97f" TargetMode="External" Id="rId245" /><Relationship Type="http://schemas.openxmlformats.org/officeDocument/2006/relationships/hyperlink" Target="http://www.medmarin.com/" TargetMode="External" Id="rId246" /><Relationship Type="http://schemas.openxmlformats.org/officeDocument/2006/relationships/hyperlink" Target="https://icatalog.expocentr.ru/ru/exhibitions/de590dc5-417d-11ee-80ce-a0d3c1fab97f" TargetMode="External" Id="rId247" /><Relationship Type="http://schemas.openxmlformats.org/officeDocument/2006/relationships/hyperlink" Target="http://www.mediko.ru/" TargetMode="External" Id="rId248" /><Relationship Type="http://schemas.openxmlformats.org/officeDocument/2006/relationships/hyperlink" Target="https://icatalog.expocentr.ru/ru/exhibitions/de590dc5-417d-11ee-80ce-a0d3c1fab97f" TargetMode="External" Id="rId249" /><Relationship Type="http://schemas.openxmlformats.org/officeDocument/2006/relationships/hyperlink" Target="http://www.tves.com.ru/" TargetMode="External" Id="rId250" /><Relationship Type="http://schemas.openxmlformats.org/officeDocument/2006/relationships/hyperlink" Target="https://icatalog.expocentr.ru/ru/exhibitions/de590dc5-417d-11ee-80ce-a0d3c1fab97f" TargetMode="External" Id="rId251" /><Relationship Type="http://schemas.openxmlformats.org/officeDocument/2006/relationships/hyperlink" Target="http://www.endomed.biz/" TargetMode="External" Id="rId252" /><Relationship Type="http://schemas.openxmlformats.org/officeDocument/2006/relationships/hyperlink" Target="https://icatalog.expocentr.ru/ru/exhibitions/de590dc5-417d-11ee-80ce-a0d3c1fab97f" TargetMode="External" Id="rId253" /><Relationship Type="http://schemas.openxmlformats.org/officeDocument/2006/relationships/hyperlink" Target="http://www.neofytos.ru/" TargetMode="External" Id="rId254" /><Relationship Type="http://schemas.openxmlformats.org/officeDocument/2006/relationships/hyperlink" Target="https://icatalog.expocentr.ru/ru/exhibitions/de590dc5-417d-11ee-80ce-a0d3c1fab97f" TargetMode="External" Id="rId255" /><Relationship Type="http://schemas.openxmlformats.org/officeDocument/2006/relationships/hyperlink" Target="http://www.dzmo.ru/" TargetMode="External" Id="rId256" /><Relationship Type="http://schemas.openxmlformats.org/officeDocument/2006/relationships/hyperlink" Target="https://icatalog.expocentr.ru/ru/exhibitions/de590dc5-417d-11ee-80ce-a0d3c1fab97f" TargetMode="External" Id="rId257" /><Relationship Type="http://schemas.openxmlformats.org/officeDocument/2006/relationships/hyperlink" Target="http://www.medimcom.ru/" TargetMode="External" Id="rId258" /><Relationship Type="http://schemas.openxmlformats.org/officeDocument/2006/relationships/hyperlink" Target="https://icatalog.expocentr.ru/ru/exhibitions/de590dc5-417d-11ee-80ce-a0d3c1fab97f" TargetMode="External" Id="rId259" /><Relationship Type="http://schemas.openxmlformats.org/officeDocument/2006/relationships/hyperlink" Target="http://www.newmedcom.ru/" TargetMode="External" Id="rId260" /><Relationship Type="http://schemas.openxmlformats.org/officeDocument/2006/relationships/hyperlink" Target="https://icatalog.expocentr.ru/ru/exhibitions/de590dc5-417d-11ee-80ce-a0d3c1fab97f" TargetMode="External" Id="rId261" /><Relationship Type="http://schemas.openxmlformats.org/officeDocument/2006/relationships/hyperlink" Target="https://loewensteinmedical.com/" TargetMode="External" Id="rId262" /><Relationship Type="http://schemas.openxmlformats.org/officeDocument/2006/relationships/hyperlink" Target="https://icatalog.expocentr.ru/ru/exhibitions/de590dc5-417d-11ee-80ce-a0d3c1fab97f" TargetMode="External" Id="rId263" /><Relationship Type="http://schemas.openxmlformats.org/officeDocument/2006/relationships/hyperlink" Target="http://www.skrz.ru/" TargetMode="External" Id="rId264" /><Relationship Type="http://schemas.openxmlformats.org/officeDocument/2006/relationships/hyperlink" Target="https://icatalog.expocentr.ru/ru/exhibitions/de590dc5-417d-11ee-80ce-a0d3c1fab97f" TargetMode="External" Id="rId265" /><Relationship Type="http://schemas.openxmlformats.org/officeDocument/2006/relationships/hyperlink" Target="http://www.velment.ru/" TargetMode="External" Id="rId266" /><Relationship Type="http://schemas.openxmlformats.org/officeDocument/2006/relationships/hyperlink" Target="https://icatalog.expocentr.ru/ru/exhibitions/de590dc5-417d-11ee-80ce-a0d3c1fab97f" TargetMode="External" Id="rId267" /><Relationship Type="http://schemas.openxmlformats.org/officeDocument/2006/relationships/hyperlink" Target="http://www.medelia.ru/" TargetMode="External" Id="rId268" /><Relationship Type="http://schemas.openxmlformats.org/officeDocument/2006/relationships/hyperlink" Target="https://icatalog.expocentr.ru/ru/exhibitions/de590dc5-417d-11ee-80ce-a0d3c1fab97f" TargetMode="External" Id="rId269" /><Relationship Type="http://schemas.openxmlformats.org/officeDocument/2006/relationships/hyperlink" Target="http://www.med-engineering.ru/" TargetMode="External" Id="rId270" /><Relationship Type="http://schemas.openxmlformats.org/officeDocument/2006/relationships/hyperlink" Target="https://icatalog.expocentr.ru/ru/exhibitions/de590dc5-417d-11ee-80ce-a0d3c1fab97f" TargetMode="External" Id="rId271" /><Relationship Type="http://schemas.openxmlformats.org/officeDocument/2006/relationships/hyperlink" Target="https://endomarket.ru/" TargetMode="External" Id="rId272" /><Relationship Type="http://schemas.openxmlformats.org/officeDocument/2006/relationships/hyperlink" Target="https://icatalog.expocentr.ru/ru/exhibitions/de590dc5-417d-11ee-80ce-a0d3c1fab97f" TargetMode="External" Id="rId273" /><Relationship Type="http://schemas.openxmlformats.org/officeDocument/2006/relationships/hyperlink" Target="http://www.telsi.ru/" TargetMode="External" Id="rId274" /><Relationship Type="http://schemas.openxmlformats.org/officeDocument/2006/relationships/hyperlink" Target="https://icatalog.expocentr.ru/ru/exhibitions/de590dc5-417d-11ee-80ce-a0d3c1fab97f" TargetMode="External" Id="rId275" /><Relationship Type="http://schemas.openxmlformats.org/officeDocument/2006/relationships/hyperlink" Target="https://innodrive.ru/" TargetMode="External" Id="rId276" /><Relationship Type="http://schemas.openxmlformats.org/officeDocument/2006/relationships/hyperlink" Target="https://icatalog.expocentr.ru/ru/exhibitions/de590dc5-417d-11ee-80ce-a0d3c1fab97f" TargetMode="External" Id="rId277" /><Relationship Type="http://schemas.openxmlformats.org/officeDocument/2006/relationships/hyperlink" Target="http://www.35med.ru/" TargetMode="External" Id="rId278" /><Relationship Type="http://schemas.openxmlformats.org/officeDocument/2006/relationships/hyperlink" Target="https://icatalog.expocentr.ru/ru/exhibitions/de590dc5-417d-11ee-80ce-a0d3c1fab97f" TargetMode="External" Id="rId279" /><Relationship Type="http://schemas.openxmlformats.org/officeDocument/2006/relationships/hyperlink" Target="http://www.provita.ru/" TargetMode="External" Id="rId280" /><Relationship Type="http://schemas.openxmlformats.org/officeDocument/2006/relationships/hyperlink" Target="https://icatalog.expocentr.ru/ru/exhibitions/de590dc5-417d-11ee-80ce-a0d3c1fab97f" TargetMode="External" Id="rId281" /><Relationship Type="http://schemas.openxmlformats.org/officeDocument/2006/relationships/hyperlink" Target="http://www.lojer.com/" TargetMode="External" Id="rId282" /><Relationship Type="http://schemas.openxmlformats.org/officeDocument/2006/relationships/hyperlink" Target="https://icatalog.expocentr.ru/ru/exhibitions/de590dc5-417d-11ee-80ce-a0d3c1fab97f" TargetMode="External" Id="rId283" /><Relationship Type="http://schemas.openxmlformats.org/officeDocument/2006/relationships/hyperlink" Target="https://aksioma.com/" TargetMode="External" Id="rId284" /><Relationship Type="http://schemas.openxmlformats.org/officeDocument/2006/relationships/hyperlink" Target="https://icatalog.expocentr.ru/ru/exhibitions/de590dc5-417d-11ee-80ce-a0d3c1fab97f" TargetMode="External" Id="rId285" /><Relationship Type="http://schemas.openxmlformats.org/officeDocument/2006/relationships/hyperlink" Target="http://www.kriptomed.ru/" TargetMode="External" Id="rId286" /><Relationship Type="http://schemas.openxmlformats.org/officeDocument/2006/relationships/hyperlink" Target="https://icatalog.expocentr.ru/ru/exhibitions/de590dc5-417d-11ee-80ce-a0d3c1fab97f" TargetMode="External" Id="rId287" /><Relationship Type="http://schemas.openxmlformats.org/officeDocument/2006/relationships/hyperlink" Target="http://www.triomed.pro/" TargetMode="External" Id="rId288" /><Relationship Type="http://schemas.openxmlformats.org/officeDocument/2006/relationships/hyperlink" Target="https://icatalog.expocentr.ru/ru/exhibitions/de590dc5-417d-11ee-80ce-a0d3c1fab97f" TargetMode="External" Id="rId289" /><Relationship Type="http://schemas.openxmlformats.org/officeDocument/2006/relationships/hyperlink" Target="http://www.validusmed.ru/" TargetMode="External" Id="rId290" /><Relationship Type="http://schemas.openxmlformats.org/officeDocument/2006/relationships/hyperlink" Target="https://icatalog.expocentr.ru/ru/exhibitions/de590dc5-417d-11ee-80ce-a0d3c1fab97f" TargetMode="External" Id="rId291" /><Relationship Type="http://schemas.openxmlformats.org/officeDocument/2006/relationships/hyperlink" Target="https://www.mbe-center.ru/" TargetMode="External" Id="rId292" /><Relationship Type="http://schemas.openxmlformats.org/officeDocument/2006/relationships/hyperlink" Target="https://icatalog.expocentr.ru/ru/exhibitions/de590dc5-417d-11ee-80ce-a0d3c1fab97f" TargetMode="External" Id="rId293" /><Relationship Type="http://schemas.openxmlformats.org/officeDocument/2006/relationships/hyperlink" Target="http://www.farm-invest.ru/" TargetMode="External" Id="rId294" /><Relationship Type="http://schemas.openxmlformats.org/officeDocument/2006/relationships/hyperlink" Target="https://icatalog.expocentr.ru/ru/exhibitions/de590dc5-417d-11ee-80ce-a0d3c1fab97f" TargetMode="External" Id="rId295" /><Relationship Type="http://schemas.openxmlformats.org/officeDocument/2006/relationships/hyperlink" Target="https://icatalog.expocentr.ru/ru/exhibitions/de590dc5-417d-11ee-80ce-a0d3c1fab97f" TargetMode="External" Id="rId296" /><Relationship Type="http://schemas.openxmlformats.org/officeDocument/2006/relationships/hyperlink" Target="http://www.labromed.ru/" TargetMode="External" Id="rId297" /><Relationship Type="http://schemas.openxmlformats.org/officeDocument/2006/relationships/hyperlink" Target="https://icatalog.expocentr.ru/ru/exhibitions/de590dc5-417d-11ee-80ce-a0d3c1fab97f" TargetMode="External" Id="rId298" /><Relationship Type="http://schemas.openxmlformats.org/officeDocument/2006/relationships/hyperlink" Target="http://www.med-mos.ru/" TargetMode="External" Id="rId299" /><Relationship Type="http://schemas.openxmlformats.org/officeDocument/2006/relationships/hyperlink" Target="https://icatalog.expocentr.ru/ru/exhibitions/de590dc5-417d-11ee-80ce-a0d3c1fab97f" TargetMode="External" Id="rId300" /><Relationship Type="http://schemas.openxmlformats.org/officeDocument/2006/relationships/hyperlink" Target="http://www.flogiston-med.ru/" TargetMode="External" Id="rId301" /><Relationship Type="http://schemas.openxmlformats.org/officeDocument/2006/relationships/hyperlink" Target="https://icatalog.expocentr.ru/ru/exhibitions/de590dc5-417d-11ee-80ce-a0d3c1fab97f" TargetMode="External" Id="rId302" /><Relationship Type="http://schemas.openxmlformats.org/officeDocument/2006/relationships/hyperlink" Target="http://www.reha-teh.ru/" TargetMode="External" Id="rId303" /><Relationship Type="http://schemas.openxmlformats.org/officeDocument/2006/relationships/hyperlink" Target="https://icatalog.expocentr.ru/ru/exhibitions/de590dc5-417d-11ee-80ce-a0d3c1fab97f" TargetMode="External" Id="rId304" /><Relationship Type="http://schemas.openxmlformats.org/officeDocument/2006/relationships/hyperlink" Target="https://endovi.ru/" TargetMode="External" Id="rId305" /><Relationship Type="http://schemas.openxmlformats.org/officeDocument/2006/relationships/hyperlink" Target="https://icatalog.expocentr.ru/ru/exhibitions/de590dc5-417d-11ee-80ce-a0d3c1fab97f" TargetMode="External" Id="rId306" /><Relationship Type="http://schemas.openxmlformats.org/officeDocument/2006/relationships/hyperlink" Target="http://www.servinst.ru/" TargetMode="External" Id="rId307" /><Relationship Type="http://schemas.openxmlformats.org/officeDocument/2006/relationships/hyperlink" Target="https://icatalog.expocentr.ru/ru/exhibitions/de590dc5-417d-11ee-80ce-a0d3c1fab97f" TargetMode="External" Id="rId308" /><Relationship Type="http://schemas.openxmlformats.org/officeDocument/2006/relationships/hyperlink" Target="https://medfarma.net/" TargetMode="External" Id="rId309" /><Relationship Type="http://schemas.openxmlformats.org/officeDocument/2006/relationships/hyperlink" Target="https://icatalog.expocentr.ru/ru/exhibitions/de590dc5-417d-11ee-80ce-a0d3c1fab97f" TargetMode="External" Id="rId310" /><Relationship Type="http://schemas.openxmlformats.org/officeDocument/2006/relationships/hyperlink" Target="http://www.respircare.ru/" TargetMode="External" Id="rId311" /><Relationship Type="http://schemas.openxmlformats.org/officeDocument/2006/relationships/hyperlink" Target="https://icatalog.expocentr.ru/ru/exhibitions/de590dc5-417d-11ee-80ce-a0d3c1fab97f" TargetMode="External" Id="rId312" /><Relationship Type="http://schemas.openxmlformats.org/officeDocument/2006/relationships/hyperlink" Target="http://zdravmebel77.ru/" TargetMode="External" Id="rId313" /><Relationship Type="http://schemas.openxmlformats.org/officeDocument/2006/relationships/hyperlink" Target="https://icatalog.expocentr.ru/ru/exhibitions/de590dc5-417d-11ee-80ce-a0d3c1fab97f" TargetMode="External" Id="rId314" /><Relationship Type="http://schemas.openxmlformats.org/officeDocument/2006/relationships/hyperlink" Target="http://www.bowa-eurasia.com/" TargetMode="External" Id="rId315" /><Relationship Type="http://schemas.openxmlformats.org/officeDocument/2006/relationships/hyperlink" Target="https://icatalog.expocentr.ru/ru/exhibitions/de590dc5-417d-11ee-80ce-a0d3c1fab97f" TargetMode="External" Id="rId316" /><Relationship Type="http://schemas.openxmlformats.org/officeDocument/2006/relationships/hyperlink" Target="http://www.nordmedica.ru/kontakty" TargetMode="External" Id="rId317" /><Relationship Type="http://schemas.openxmlformats.org/officeDocument/2006/relationships/hyperlink" Target="https://icatalog.expocentr.ru/ru/exhibitions/de590dc5-417d-11ee-80ce-a0d3c1fab97f" TargetMode="External" Id="rId318" /><Relationship Type="http://schemas.openxmlformats.org/officeDocument/2006/relationships/hyperlink" Target="http://www.fotonfly.ru/" TargetMode="External" Id="rId319" /><Relationship Type="http://schemas.openxmlformats.org/officeDocument/2006/relationships/hyperlink" Target="https://icatalog.expocentr.ru/ru/exhibitions/de590dc5-417d-11ee-80ce-a0d3c1fab97f" TargetMode="External" Id="rId320" /><Relationship Type="http://schemas.openxmlformats.org/officeDocument/2006/relationships/hyperlink" Target="http://www.el-medical.ru/" TargetMode="External" Id="rId321" /><Relationship Type="http://schemas.openxmlformats.org/officeDocument/2006/relationships/hyperlink" Target="https://icatalog.expocentr.ru/ru/exhibitions/de590dc5-417d-11ee-80ce-a0d3c1fab97f" TargetMode="External" Id="rId322" /><Relationship Type="http://schemas.openxmlformats.org/officeDocument/2006/relationships/hyperlink" Target="http://www.rm-med.ru/" TargetMode="External" Id="rId323" /><Relationship Type="http://schemas.openxmlformats.org/officeDocument/2006/relationships/hyperlink" Target="https://icatalog.expocentr.ru/ru/exhibitions/de590dc5-417d-11ee-80ce-a0d3c1fab97f" TargetMode="External" Id="rId324" /><Relationship Type="http://schemas.openxmlformats.org/officeDocument/2006/relationships/hyperlink" Target="http://www.onhs.ru/" TargetMode="External" Id="rId325" /><Relationship Type="http://schemas.openxmlformats.org/officeDocument/2006/relationships/hyperlink" Target="https://icatalog.expocentr.ru/ru/exhibitions/de590dc5-417d-11ee-80ce-a0d3c1fab97f" TargetMode="External" Id="rId326" /><Relationship Type="http://schemas.openxmlformats.org/officeDocument/2006/relationships/hyperlink" Target="http://gm-med.ru/" TargetMode="External" Id="rId327" /><Relationship Type="http://schemas.openxmlformats.org/officeDocument/2006/relationships/hyperlink" Target="https://icatalog.expocentr.ru/ru/exhibitions/de590dc5-417d-11ee-80ce-a0d3c1fab97f" TargetMode="External" Id="rId328" /><Relationship Type="http://schemas.openxmlformats.org/officeDocument/2006/relationships/hyperlink" Target="http://www.dealmed.ru/" TargetMode="External" Id="rId329" /><Relationship Type="http://schemas.openxmlformats.org/officeDocument/2006/relationships/hyperlink" Target="https://icatalog.expocentr.ru/ru/exhibitions/de590dc5-417d-11ee-80ce-a0d3c1fab97f" TargetMode="External" Id="rId330" /><Relationship Type="http://schemas.openxmlformats.org/officeDocument/2006/relationships/hyperlink" Target="http://www.tairiku.info/" TargetMode="External" Id="rId331" /><Relationship Type="http://schemas.openxmlformats.org/officeDocument/2006/relationships/hyperlink" Target="https://icatalog.expocentr.ru/ru/exhibitions/de590dc5-417d-11ee-80ce-a0d3c1fab97f" TargetMode="External" Id="rId332" /><Relationship Type="http://schemas.openxmlformats.org/officeDocument/2006/relationships/hyperlink" Target="https://sensar.su/" TargetMode="External" Id="rId333" /><Relationship Type="http://schemas.openxmlformats.org/officeDocument/2006/relationships/hyperlink" Target="https://icatalog.expocentr.ru/ru/exhibitions/de590dc5-417d-11ee-80ce-a0d3c1fab97f" TargetMode="External" Id="rId334" /><Relationship Type="http://schemas.openxmlformats.org/officeDocument/2006/relationships/hyperlink" Target="http://www.sol-ex.ru/" TargetMode="External" Id="rId335" /><Relationship Type="http://schemas.openxmlformats.org/officeDocument/2006/relationships/hyperlink" Target="https://icatalog.expocentr.ru/ru/exhibitions/de590dc5-417d-11ee-80ce-a0d3c1fab97f" TargetMode="External" Id="rId336" /><Relationship Type="http://schemas.openxmlformats.org/officeDocument/2006/relationships/hyperlink" Target="https://icatalog.expocentr.ru/ru/exhibitions/de590dc5-417d-11ee-80ce-a0d3c1fab97f" TargetMode="External" Id="rId337" /><Relationship Type="http://schemas.openxmlformats.org/officeDocument/2006/relationships/hyperlink" Target="https://icatalog.expocentr.ru/ru/exhibitions/de590dc5-417d-11ee-80ce-a0d3c1fab97f" TargetMode="External" Id="rId338" /><Relationship Type="http://schemas.openxmlformats.org/officeDocument/2006/relationships/hyperlink" Target="http://www.optmebel.ru/" TargetMode="External" Id="rId339" /><Relationship Type="http://schemas.openxmlformats.org/officeDocument/2006/relationships/hyperlink" Target="https://icatalog.expocentr.ru/ru/exhibitions/de590dc5-417d-11ee-80ce-a0d3c1fab97f" TargetMode="External" Id="rId340" /><Relationship Type="http://schemas.openxmlformats.org/officeDocument/2006/relationships/hyperlink" Target="http://tdask.ru/" TargetMode="External" Id="rId341" /><Relationship Type="http://schemas.openxmlformats.org/officeDocument/2006/relationships/hyperlink" Target="https://icatalog.expocentr.ru/ru/exhibitions/de590dc5-417d-11ee-80ce-a0d3c1fab97f" TargetMode="External" Id="rId342" /><Relationship Type="http://schemas.openxmlformats.org/officeDocument/2006/relationships/hyperlink" Target="http://www.zmir.ru/" TargetMode="External" Id="rId343" /><Relationship Type="http://schemas.openxmlformats.org/officeDocument/2006/relationships/hyperlink" Target="https://icatalog.expocentr.ru/ru/exhibitions/de590dc5-417d-11ee-80ce-a0d3c1fab97f" TargetMode="External" Id="rId344" /><Relationship Type="http://schemas.openxmlformats.org/officeDocument/2006/relationships/hyperlink" Target="http://www.sonoscape.ru/" TargetMode="External" Id="rId345" /><Relationship Type="http://schemas.openxmlformats.org/officeDocument/2006/relationships/hyperlink" Target="https://icatalog.expocentr.ru/ru/exhibitions/de590dc5-417d-11ee-80ce-a0d3c1fab97f" TargetMode="External" Id="rId346" /><Relationship Type="http://schemas.openxmlformats.org/officeDocument/2006/relationships/hyperlink" Target="http://www.sonoscape.com/" TargetMode="External" Id="rId347" /><Relationship Type="http://schemas.openxmlformats.org/officeDocument/2006/relationships/hyperlink" Target="https://icatalog.expocentr.ru/ru/exhibitions/de590dc5-417d-11ee-80ce-a0d3c1fab97f" TargetMode="External" Id="rId348" /><Relationship Type="http://schemas.openxmlformats.org/officeDocument/2006/relationships/hyperlink" Target="http://www.eq-vip.cafe/" TargetMode="External" Id="rId349" /><Relationship Type="http://schemas.openxmlformats.org/officeDocument/2006/relationships/hyperlink" Target="https://icatalog.expocentr.ru/ru/exhibitions/de590dc5-417d-11ee-80ce-a0d3c1fab97f" TargetMode="External" Id="rId350" /><Relationship Type="http://schemas.openxmlformats.org/officeDocument/2006/relationships/hyperlink" Target="http://www.axion-med.ru/" TargetMode="External" Id="rId351" /><Relationship Type="http://schemas.openxmlformats.org/officeDocument/2006/relationships/hyperlink" Target="https://icatalog.expocentr.ru/ru/exhibitions/de590dc5-417d-11ee-80ce-a0d3c1fab97f" TargetMode="External" Id="rId352" /><Relationship Type="http://schemas.openxmlformats.org/officeDocument/2006/relationships/hyperlink" Target="https://ippon.ru/" TargetMode="External" Id="rId353" /><Relationship Type="http://schemas.openxmlformats.org/officeDocument/2006/relationships/hyperlink" Target="https://icatalog.expocentr.ru/ru/exhibitions/de590dc5-417d-11ee-80ce-a0d3c1fab97f" TargetMode="External" Id="rId354" /><Relationship Type="http://schemas.openxmlformats.org/officeDocument/2006/relationships/hyperlink" Target="http://www.ooo-dialog.ru/" TargetMode="External" Id="rId355" /><Relationship Type="http://schemas.openxmlformats.org/officeDocument/2006/relationships/hyperlink" Target="https://icatalog.expocentr.ru/ru/exhibitions/de590dc5-417d-11ee-80ce-a0d3c1fab97f" TargetMode="External" Id="rId356" /><Relationship Type="http://schemas.openxmlformats.org/officeDocument/2006/relationships/hyperlink" Target="https://electrontest-grp.ru/" TargetMode="External" Id="rId357" /><Relationship Type="http://schemas.openxmlformats.org/officeDocument/2006/relationships/hyperlink" Target="https://icatalog.expocentr.ru/ru/exhibitions/de590dc5-417d-11ee-80ce-a0d3c1fab97f" TargetMode="External" Id="rId358" /><Relationship Type="http://schemas.openxmlformats.org/officeDocument/2006/relationships/hyperlink" Target="https://medklych.ru/" TargetMode="External" Id="rId359" /><Relationship Type="http://schemas.openxmlformats.org/officeDocument/2006/relationships/hyperlink" Target="https://icatalog.expocentr.ru/ru/exhibitions/de590dc5-417d-11ee-80ce-a0d3c1fab97f" TargetMode="External" Id="rId360" /><Relationship Type="http://schemas.openxmlformats.org/officeDocument/2006/relationships/hyperlink" Target="http://www.euromedservice.org/" TargetMode="External" Id="rId361" /><Relationship Type="http://schemas.openxmlformats.org/officeDocument/2006/relationships/hyperlink" Target="https://icatalog.expocentr.ru/ru/exhibitions/de590dc5-417d-11ee-80ce-a0d3c1fab97f" TargetMode="External" Id="rId362" /><Relationship Type="http://schemas.openxmlformats.org/officeDocument/2006/relationships/hyperlink" Target="http://www.doctormebel.ru/" TargetMode="External" Id="rId363" /><Relationship Type="http://schemas.openxmlformats.org/officeDocument/2006/relationships/hyperlink" Target="https://icatalog.expocentr.ru/ru/exhibitions/de590dc5-417d-11ee-80ce-a0d3c1fab97f" TargetMode="External" Id="rId364" /><Relationship Type="http://schemas.openxmlformats.org/officeDocument/2006/relationships/hyperlink" Target="http://www.legion.ru/" TargetMode="External" Id="rId365" /><Relationship Type="http://schemas.openxmlformats.org/officeDocument/2006/relationships/hyperlink" Target="https://icatalog.expocentr.ru/ru/exhibitions/de590dc5-417d-11ee-80ce-a0d3c1fab97f" TargetMode="External" Id="rId366" /><Relationship Type="http://schemas.openxmlformats.org/officeDocument/2006/relationships/hyperlink" Target="https://icatalog.expocentr.ru/ru/exhibitions/de590dc5-417d-11ee-80ce-a0d3c1fab97f" TargetMode="External" Id="rId367" /><Relationship Type="http://schemas.openxmlformats.org/officeDocument/2006/relationships/hyperlink" Target="http://www.medgrade.pro/" TargetMode="External" Id="rId368" /><Relationship Type="http://schemas.openxmlformats.org/officeDocument/2006/relationships/hyperlink" Target="https://icatalog.expocentr.ru/ru/exhibitions/de590dc5-417d-11ee-80ce-a0d3c1fab97f" TargetMode="External" Id="rId369" /><Relationship Type="http://schemas.openxmlformats.org/officeDocument/2006/relationships/hyperlink" Target="http://www.dr-d.ru/" TargetMode="External" Id="rId370" /><Relationship Type="http://schemas.openxmlformats.org/officeDocument/2006/relationships/hyperlink" Target="https://icatalog.expocentr.ru/ru/exhibitions/de590dc5-417d-11ee-80ce-a0d3c1fab97f" TargetMode="External" Id="rId371" /><Relationship Type="http://schemas.openxmlformats.org/officeDocument/2006/relationships/hyperlink" Target="http://www.medprivod.com/" TargetMode="External" Id="rId372" /><Relationship Type="http://schemas.openxmlformats.org/officeDocument/2006/relationships/hyperlink" Target="https://icatalog.expocentr.ru/ru/exhibitions/de590dc5-417d-11ee-80ce-a0d3c1fab97f" TargetMode="External" Id="rId373" /><Relationship Type="http://schemas.openxmlformats.org/officeDocument/2006/relationships/hyperlink" Target="http://www.unity-m.pro/" TargetMode="External" Id="rId374" /><Relationship Type="http://schemas.openxmlformats.org/officeDocument/2006/relationships/hyperlink" Target="https://icatalog.expocentr.ru/ru/exhibitions/de590dc5-417d-11ee-80ce-a0d3c1fab97f" TargetMode="External" Id="rId375" /><Relationship Type="http://schemas.openxmlformats.org/officeDocument/2006/relationships/hyperlink" Target="http://www.safe.ru/" TargetMode="External" Id="rId376" /><Relationship Type="http://schemas.openxmlformats.org/officeDocument/2006/relationships/hyperlink" Target="https://icatalog.expocentr.ru/ru/exhibitions/de590dc5-417d-11ee-80ce-a0d3c1fab97f" TargetMode="External" Id="rId377" /><Relationship Type="http://schemas.openxmlformats.org/officeDocument/2006/relationships/hyperlink" Target="http://www.cardiomed.su/" TargetMode="External" Id="rId378" /><Relationship Type="http://schemas.openxmlformats.org/officeDocument/2006/relationships/hyperlink" Target="https://icatalog.expocentr.ru/ru/exhibitions/de590dc5-417d-11ee-80ce-a0d3c1fab97f" TargetMode="External" Id="rId379" /><Relationship Type="http://schemas.openxmlformats.org/officeDocument/2006/relationships/hyperlink" Target="http://www.vzmo.su/" TargetMode="External" Id="rId380" /><Relationship Type="http://schemas.openxmlformats.org/officeDocument/2006/relationships/hyperlink" Target="https://icatalog.expocentr.ru/ru/exhibitions/de590dc5-417d-11ee-80ce-a0d3c1fab97f" TargetMode="External" Id="rId381" /><Relationship Type="http://schemas.openxmlformats.org/officeDocument/2006/relationships/hyperlink" Target="http://www.rusmbs.ru/" TargetMode="External" Id="rId382" /><Relationship Type="http://schemas.openxmlformats.org/officeDocument/2006/relationships/hyperlink" Target="https://icatalog.expocentr.ru/ru/exhibitions/de590dc5-417d-11ee-80ce-a0d3c1fab97f" TargetMode="External" Id="rId383" /><Relationship Type="http://schemas.openxmlformats.org/officeDocument/2006/relationships/hyperlink" Target="http://www.diacoms.ru/" TargetMode="External" Id="rId384" /><Relationship Type="http://schemas.openxmlformats.org/officeDocument/2006/relationships/hyperlink" Target="https://icatalog.expocentr.ru/ru/exhibitions/de590dc5-417d-11ee-80ce-a0d3c1fab97f" TargetMode="External" Id="rId385" /><Relationship Type="http://schemas.openxmlformats.org/officeDocument/2006/relationships/hyperlink" Target="https://smcall.ru/" TargetMode="External" Id="rId386" /><Relationship Type="http://schemas.openxmlformats.org/officeDocument/2006/relationships/hyperlink" Target="https://icatalog.expocentr.ru/ru/exhibitions/de590dc5-417d-11ee-80ce-a0d3c1fab97f" TargetMode="External" Id="rId387" /><Relationship Type="http://schemas.openxmlformats.org/officeDocument/2006/relationships/hyperlink" Target="https://nitrocare.com.ru/" TargetMode="External" Id="rId388" /><Relationship Type="http://schemas.openxmlformats.org/officeDocument/2006/relationships/hyperlink" Target="https://icatalog.expocentr.ru/ru/exhibitions/de590dc5-417d-11ee-80ce-a0d3c1fab97f" TargetMode="External" Id="rId389" /><Relationship Type="http://schemas.openxmlformats.org/officeDocument/2006/relationships/hyperlink" Target="http://www.yadromed.ru/" TargetMode="External" Id="rId390" /><Relationship Type="http://schemas.openxmlformats.org/officeDocument/2006/relationships/hyperlink" Target="https://icatalog.expocentr.ru/ru/exhibitions/de590dc5-417d-11ee-80ce-a0d3c1fab97f" TargetMode="External" Id="rId391" /><Relationship Type="http://schemas.openxmlformats.org/officeDocument/2006/relationships/hyperlink" Target="http://www.lomo.ru/" TargetMode="External" Id="rId392" /><Relationship Type="http://schemas.openxmlformats.org/officeDocument/2006/relationships/hyperlink" Target="https://icatalog.expocentr.ru/ru/exhibitions/de590dc5-417d-11ee-80ce-a0d3c1fab97f" TargetMode="External" Id="rId393" /><Relationship Type="http://schemas.openxmlformats.org/officeDocument/2006/relationships/hyperlink" Target="http://www.mrigroup.ru/" TargetMode="External" Id="rId394" /><Relationship Type="http://schemas.openxmlformats.org/officeDocument/2006/relationships/hyperlink" Target="https://icatalog.expocentr.ru/ru/exhibitions/de590dc5-417d-11ee-80ce-a0d3c1fab97f" TargetMode="External" Id="rId395" /><Relationship Type="http://schemas.openxmlformats.org/officeDocument/2006/relationships/hyperlink" Target="http://unona-aqua.ru/" TargetMode="External" Id="rId396" /><Relationship Type="http://schemas.openxmlformats.org/officeDocument/2006/relationships/hyperlink" Target="https://icatalog.expocentr.ru/ru/exhibitions/de590dc5-417d-11ee-80ce-a0d3c1fab97f" TargetMode="External" Id="rId397" /><Relationship Type="http://schemas.openxmlformats.org/officeDocument/2006/relationships/hyperlink" Target="https://karipain.ru/" TargetMode="External" Id="rId398" /><Relationship Type="http://schemas.openxmlformats.org/officeDocument/2006/relationships/hyperlink" Target="https://icatalog.expocentr.ru/ru/exhibitions/de590dc5-417d-11ee-80ce-a0d3c1fab97f" TargetMode="External" Id="rId399" /><Relationship Type="http://schemas.openxmlformats.org/officeDocument/2006/relationships/hyperlink" Target="http://www.divisy.biz/" TargetMode="External" Id="rId400" /><Relationship Type="http://schemas.openxmlformats.org/officeDocument/2006/relationships/hyperlink" Target="https://icatalog.expocentr.ru/ru/exhibitions/de590dc5-417d-11ee-80ce-a0d3c1fab97f" TargetMode="External" Id="rId401" /><Relationship Type="http://schemas.openxmlformats.org/officeDocument/2006/relationships/hyperlink" Target="http://deltaufa.ru/" TargetMode="External" Id="rId402" /><Relationship Type="http://schemas.openxmlformats.org/officeDocument/2006/relationships/hyperlink" Target="https://icatalog.expocentr.ru/ru/exhibitions/de590dc5-417d-11ee-80ce-a0d3c1fab97f" TargetMode="External" Id="rId403" /><Relationship Type="http://schemas.openxmlformats.org/officeDocument/2006/relationships/hyperlink" Target="http://www.almaz-rpe.ru/" TargetMode="External" Id="rId404" /><Relationship Type="http://schemas.openxmlformats.org/officeDocument/2006/relationships/hyperlink" Target="https://icatalog.expocentr.ru/ru/exhibitions/de590dc5-417d-11ee-80ce-a0d3c1fab97f" TargetMode="External" Id="rId405" /><Relationship Type="http://schemas.openxmlformats.org/officeDocument/2006/relationships/hyperlink" Target="https://vniivega.ru/" TargetMode="External" Id="rId406" /><Relationship Type="http://schemas.openxmlformats.org/officeDocument/2006/relationships/hyperlink" Target="https://icatalog.expocentr.ru/ru/exhibitions/de590dc5-417d-11ee-80ce-a0d3c1fab97f" TargetMode="External" Id="rId407" /><Relationship Type="http://schemas.openxmlformats.org/officeDocument/2006/relationships/hyperlink" Target="http://www.relsib.com/" TargetMode="External" Id="rId408" /><Relationship Type="http://schemas.openxmlformats.org/officeDocument/2006/relationships/hyperlink" Target="https://icatalog.expocentr.ru/ru/exhibitions/de590dc5-417d-11ee-80ce-a0d3c1fab97f" TargetMode="External" Id="rId409" /><Relationship Type="http://schemas.openxmlformats.org/officeDocument/2006/relationships/hyperlink" Target="http://www.rs01.ru/" TargetMode="External" Id="rId410" /><Relationship Type="http://schemas.openxmlformats.org/officeDocument/2006/relationships/hyperlink" Target="https://icatalog.expocentr.ru/ru/exhibitions/de590dc5-417d-11ee-80ce-a0d3c1fab97f" TargetMode="External" Id="rId411" /><Relationship Type="http://schemas.openxmlformats.org/officeDocument/2006/relationships/hyperlink" Target="http://haass.ru/" TargetMode="External" Id="rId412" /><Relationship Type="http://schemas.openxmlformats.org/officeDocument/2006/relationships/hyperlink" Target="https://icatalog.expocentr.ru/ru/exhibitions/de590dc5-417d-11ee-80ce-a0d3c1fab97f" TargetMode="External" Id="rId413" /><Relationship Type="http://schemas.openxmlformats.org/officeDocument/2006/relationships/hyperlink" Target="https://icatalog.expocentr.ru/ru/exhibitions/de590dc5-417d-11ee-80ce-a0d3c1fab97f" TargetMode="External" Id="rId414" /><Relationship Type="http://schemas.openxmlformats.org/officeDocument/2006/relationships/hyperlink" Target="http://ifmark.ru/" TargetMode="External" Id="rId415" /><Relationship Type="http://schemas.openxmlformats.org/officeDocument/2006/relationships/hyperlink" Target="https://icatalog.expocentr.ru/ru/exhibitions/de590dc5-417d-11ee-80ce-a0d3c1fab97f" TargetMode="External" Id="rId416" /><Relationship Type="http://schemas.openxmlformats.org/officeDocument/2006/relationships/hyperlink" Target="http://www.eleps.ru/" TargetMode="External" Id="rId417" /><Relationship Type="http://schemas.openxmlformats.org/officeDocument/2006/relationships/hyperlink" Target="https://icatalog.expocentr.ru/ru/exhibitions/de590dc5-417d-11ee-80ce-a0d3c1fab97f" TargetMode="External" Id="rId418" /><Relationship Type="http://schemas.openxmlformats.org/officeDocument/2006/relationships/hyperlink" Target="http://www.balumed.su/" TargetMode="External" Id="rId419" /><Relationship Type="http://schemas.openxmlformats.org/officeDocument/2006/relationships/hyperlink" Target="https://icatalog.expocentr.ru/ru/exhibitions/de590dc5-417d-11ee-80ce-a0d3c1fab97f" TargetMode="External" Id="rId420" /><Relationship Type="http://schemas.openxmlformats.org/officeDocument/2006/relationships/hyperlink" Target="http://www.medizdelie.ru/" TargetMode="External" Id="rId421" /><Relationship Type="http://schemas.openxmlformats.org/officeDocument/2006/relationships/hyperlink" Target="https://icatalog.expocentr.ru/ru/exhibitions/de590dc5-417d-11ee-80ce-a0d3c1fab97f" TargetMode="External" Id="rId422" /><Relationship Type="http://schemas.openxmlformats.org/officeDocument/2006/relationships/hyperlink" Target="http://medikom.ru/" TargetMode="External" Id="rId423" /><Relationship Type="http://schemas.openxmlformats.org/officeDocument/2006/relationships/hyperlink" Target="https://icatalog.expocentr.ru/ru/exhibitions/de590dc5-417d-11ee-80ce-a0d3c1fab97f" TargetMode="External" Id="rId424" /><Relationship Type="http://schemas.openxmlformats.org/officeDocument/2006/relationships/hyperlink" Target="http://www.nephron.ru/" TargetMode="External" Id="rId425" /><Relationship Type="http://schemas.openxmlformats.org/officeDocument/2006/relationships/hyperlink" Target="https://icatalog.expocentr.ru/ru/exhibitions/de590dc5-417d-11ee-80ce-a0d3c1fab97f" TargetMode="External" Id="rId426" /><Relationship Type="http://schemas.openxmlformats.org/officeDocument/2006/relationships/hyperlink" Target="http://www.armaline.ru/" TargetMode="External" Id="rId427" /><Relationship Type="http://schemas.openxmlformats.org/officeDocument/2006/relationships/hyperlink" Target="https://icatalog.expocentr.ru/ru/exhibitions/de590dc5-417d-11ee-80ce-a0d3c1fab97f" TargetMode="External" Id="rId428" /><Relationship Type="http://schemas.openxmlformats.org/officeDocument/2006/relationships/hyperlink" Target="http://vit-medical.com/" TargetMode="External" Id="rId429" /><Relationship Type="http://schemas.openxmlformats.org/officeDocument/2006/relationships/hyperlink" Target="https://icatalog.expocentr.ru/ru/exhibitions/de590dc5-417d-11ee-80ce-a0d3c1fab97f" TargetMode="External" Id="rId430" /><Relationship Type="http://schemas.openxmlformats.org/officeDocument/2006/relationships/hyperlink" Target="https://bigpravo.ru/" TargetMode="External" Id="rId431" /><Relationship Type="http://schemas.openxmlformats.org/officeDocument/2006/relationships/hyperlink" Target="https://icatalog.expocentr.ru/ru/exhibitions/de590dc5-417d-11ee-80ce-a0d3c1fab97f" TargetMode="External" Id="rId432" /><Relationship Type="http://schemas.openxmlformats.org/officeDocument/2006/relationships/hyperlink" Target="http://www.apexlab.ru/" TargetMode="External" Id="rId433" /><Relationship Type="http://schemas.openxmlformats.org/officeDocument/2006/relationships/hyperlink" Target="https://icatalog.expocentr.ru/ru/exhibitions/de590dc5-417d-11ee-80ce-a0d3c1fab97f" TargetMode="External" Id="rId434" /><Relationship Type="http://schemas.openxmlformats.org/officeDocument/2006/relationships/hyperlink" Target="http://www.tdl-textile.ru/" TargetMode="External" Id="rId435" /><Relationship Type="http://schemas.openxmlformats.org/officeDocument/2006/relationships/hyperlink" Target="https://icatalog.expocentr.ru/ru/exhibitions/de590dc5-417d-11ee-80ce-a0d3c1fab97f" TargetMode="External" Id="rId436" /><Relationship Type="http://schemas.openxmlformats.org/officeDocument/2006/relationships/hyperlink" Target="http://www.zmtn.ru/" TargetMode="External" Id="rId437" /><Relationship Type="http://schemas.openxmlformats.org/officeDocument/2006/relationships/hyperlink" Target="https://icatalog.expocentr.ru/ru/exhibitions/de590dc5-417d-11ee-80ce-a0d3c1fab97f" TargetMode="External" Id="rId438" /><Relationship Type="http://schemas.openxmlformats.org/officeDocument/2006/relationships/hyperlink" Target="http://www.1thermometer.ru/" TargetMode="External" Id="rId439" /><Relationship Type="http://schemas.openxmlformats.org/officeDocument/2006/relationships/hyperlink" Target="https://icatalog.expocentr.ru/ru/exhibitions/de590dc5-417d-11ee-80ce-a0d3c1fab97f" TargetMode="External" Id="rId440" /><Relationship Type="http://schemas.openxmlformats.org/officeDocument/2006/relationships/hyperlink" Target="http://www.medapparatura.ru/" TargetMode="External" Id="rId441" /><Relationship Type="http://schemas.openxmlformats.org/officeDocument/2006/relationships/hyperlink" Target="https://icatalog.expocentr.ru/ru/exhibitions/de590dc5-417d-11ee-80ce-a0d3c1fab97f" TargetMode="External" Id="rId442" /><Relationship Type="http://schemas.openxmlformats.org/officeDocument/2006/relationships/hyperlink" Target="https://medproekt.msk.ru/" TargetMode="External" Id="rId443" /><Relationship Type="http://schemas.openxmlformats.org/officeDocument/2006/relationships/hyperlink" Target="https://icatalog.expocentr.ru/ru/exhibitions/de590dc5-417d-11ee-80ce-a0d3c1fab97f" TargetMode="External" Id="rId444" /><Relationship Type="http://schemas.openxmlformats.org/officeDocument/2006/relationships/hyperlink" Target="http://www.basismed.ru/" TargetMode="External" Id="rId445" /><Relationship Type="http://schemas.openxmlformats.org/officeDocument/2006/relationships/hyperlink" Target="https://icatalog.expocentr.ru/ru/exhibitions/de590dc5-417d-11ee-80ce-a0d3c1fab97f" TargetMode="External" Id="rId446" /><Relationship Type="http://schemas.openxmlformats.org/officeDocument/2006/relationships/hyperlink" Target="http://www.endo-nt.ru/" TargetMode="External" Id="rId447" /><Relationship Type="http://schemas.openxmlformats.org/officeDocument/2006/relationships/hyperlink" Target="https://icatalog.expocentr.ru/ru/exhibitions/de590dc5-417d-11ee-80ce-a0d3c1fab97f" TargetMode="External" Id="rId448" /><Relationship Type="http://schemas.openxmlformats.org/officeDocument/2006/relationships/hyperlink" Target="https://unikhelz.su/" TargetMode="External" Id="rId449" /><Relationship Type="http://schemas.openxmlformats.org/officeDocument/2006/relationships/hyperlink" Target="https://icatalog.expocentr.ru/ru/exhibitions/de590dc5-417d-11ee-80ce-a0d3c1fab97f" TargetMode="External" Id="rId450" /><Relationship Type="http://schemas.openxmlformats.org/officeDocument/2006/relationships/hyperlink" Target="https://parmd.ru/" TargetMode="External" Id="rId451" /><Relationship Type="http://schemas.openxmlformats.org/officeDocument/2006/relationships/hyperlink" Target="https://icatalog.expocentr.ru/ru/exhibitions/de590dc5-417d-11ee-80ce-a0d3c1fab97f" TargetMode="External" Id="rId452" /><Relationship Type="http://schemas.openxmlformats.org/officeDocument/2006/relationships/hyperlink" Target="http://www.medx-ray.ru/" TargetMode="External" Id="rId453" /><Relationship Type="http://schemas.openxmlformats.org/officeDocument/2006/relationships/hyperlink" Target="https://icatalog.expocentr.ru/ru/exhibitions/de590dc5-417d-11ee-80ce-a0d3c1fab97f" TargetMode="External" Id="rId454" /><Relationship Type="http://schemas.openxmlformats.org/officeDocument/2006/relationships/hyperlink" Target="https://icatalog.expocentr.ru/ru/exhibitions/de590dc5-417d-11ee-80ce-a0d3c1fab97f" TargetMode="External" Id="rId455" /><Relationship Type="http://schemas.openxmlformats.org/officeDocument/2006/relationships/hyperlink" Target="http://www.voscopran.ru/" TargetMode="External" Id="rId456" /><Relationship Type="http://schemas.openxmlformats.org/officeDocument/2006/relationships/hyperlink" Target="https://icatalog.expocentr.ru/ru/exhibitions/de590dc5-417d-11ee-80ce-a0d3c1fab97f" TargetMode="External" Id="rId457" /><Relationship Type="http://schemas.openxmlformats.org/officeDocument/2006/relationships/hyperlink" Target="http://www.arxmed.ru/" TargetMode="External" Id="rId458" /><Relationship Type="http://schemas.openxmlformats.org/officeDocument/2006/relationships/hyperlink" Target="https://icatalog.expocentr.ru/ru/exhibitions/de590dc5-417d-11ee-80ce-a0d3c1fab97f" TargetMode="External" Id="rId459" /><Relationship Type="http://schemas.openxmlformats.org/officeDocument/2006/relationships/hyperlink" Target="https://gruppastk.ru/" TargetMode="External" Id="rId460" /><Relationship Type="http://schemas.openxmlformats.org/officeDocument/2006/relationships/hyperlink" Target="https://icatalog.expocentr.ru/ru/exhibitions/de590dc5-417d-11ee-80ce-a0d3c1fab97f" TargetMode="External" Id="rId461" /><Relationship Type="http://schemas.openxmlformats.org/officeDocument/2006/relationships/hyperlink" Target="http://www.mfsendo.com/" TargetMode="External" Id="rId462" /><Relationship Type="http://schemas.openxmlformats.org/officeDocument/2006/relationships/hyperlink" Target="https://icatalog.expocentr.ru/ru/exhibitions/de590dc5-417d-11ee-80ce-a0d3c1fab97f" TargetMode="External" Id="rId463" /><Relationship Type="http://schemas.openxmlformats.org/officeDocument/2006/relationships/hyperlink" Target="http://www.alfachem.su/" TargetMode="External" Id="rId464" /><Relationship Type="http://schemas.openxmlformats.org/officeDocument/2006/relationships/hyperlink" Target="https://icatalog.expocentr.ru/ru/exhibitions/de590dc5-417d-11ee-80ce-a0d3c1fab97f" TargetMode="External" Id="rId465" /><Relationship Type="http://schemas.openxmlformats.org/officeDocument/2006/relationships/hyperlink" Target="https://perspectiva-m.ru/" TargetMode="External" Id="rId466" /><Relationship Type="http://schemas.openxmlformats.org/officeDocument/2006/relationships/hyperlink" Target="https://icatalog.expocentr.ru/ru/exhibitions/de590dc5-417d-11ee-80ce-a0d3c1fab97f" TargetMode="External" Id="rId467" /><Relationship Type="http://schemas.openxmlformats.org/officeDocument/2006/relationships/hyperlink" Target="http://ecolat.shop/" TargetMode="External" Id="rId468" /><Relationship Type="http://schemas.openxmlformats.org/officeDocument/2006/relationships/hyperlink" Target="https://icatalog.expocentr.ru/ru/exhibitions/de590dc5-417d-11ee-80ce-a0d3c1fab97f" TargetMode="External" Id="rId469" /><Relationship Type="http://schemas.openxmlformats.org/officeDocument/2006/relationships/hyperlink" Target="http://www.ooo-mim.ru/" TargetMode="External" Id="rId470" /><Relationship Type="http://schemas.openxmlformats.org/officeDocument/2006/relationships/hyperlink" Target="https://icatalog.expocentr.ru/ru/exhibitions/de590dc5-417d-11ee-80ce-a0d3c1fab97f" TargetMode="External" Id="rId471" /><Relationship Type="http://schemas.openxmlformats.org/officeDocument/2006/relationships/hyperlink" Target="http://zmt-moscow.ru/" TargetMode="External" Id="rId472" /><Relationship Type="http://schemas.openxmlformats.org/officeDocument/2006/relationships/hyperlink" Target="https://icatalog.expocentr.ru/ru/exhibitions/de590dc5-417d-11ee-80ce-a0d3c1fab97f" TargetMode="External" Id="rId473" /><Relationship Type="http://schemas.openxmlformats.org/officeDocument/2006/relationships/hyperlink" Target="http://www.alfatory.ru/" TargetMode="External" Id="rId474" /><Relationship Type="http://schemas.openxmlformats.org/officeDocument/2006/relationships/hyperlink" Target="https://icatalog.expocentr.ru/ru/exhibitions/de590dc5-417d-11ee-80ce-a0d3c1fab97f" TargetMode="External" Id="rId475" /><Relationship Type="http://schemas.openxmlformats.org/officeDocument/2006/relationships/hyperlink" Target="http://www.unicmed.ru/" TargetMode="External" Id="rId476" /><Relationship Type="http://schemas.openxmlformats.org/officeDocument/2006/relationships/hyperlink" Target="https://icatalog.expocentr.ru/ru/exhibitions/de590dc5-417d-11ee-80ce-a0d3c1fab97f" TargetMode="External" Id="rId477" /><Relationship Type="http://schemas.openxmlformats.org/officeDocument/2006/relationships/hyperlink" Target="http://www.natana-group.ru/" TargetMode="External" Id="rId478" /><Relationship Type="http://schemas.openxmlformats.org/officeDocument/2006/relationships/hyperlink" Target="https://icatalog.expocentr.ru/ru/exhibitions/de590dc5-417d-11ee-80ce-a0d3c1fab97f" TargetMode="External" Id="rId479" /><Relationship Type="http://schemas.openxmlformats.org/officeDocument/2006/relationships/hyperlink" Target="http://www.medintorg.ru/" TargetMode="External" Id="rId480" /><Relationship Type="http://schemas.openxmlformats.org/officeDocument/2006/relationships/hyperlink" Target="https://icatalog.expocentr.ru/ru/exhibitions/de590dc5-417d-11ee-80ce-a0d3c1fab97f" TargetMode="External" Id="rId481" /><Relationship Type="http://schemas.openxmlformats.org/officeDocument/2006/relationships/hyperlink" Target="http://www.yarward.com.ru/" TargetMode="External" Id="rId482" /><Relationship Type="http://schemas.openxmlformats.org/officeDocument/2006/relationships/hyperlink" Target="https://icatalog.expocentr.ru/ru/exhibitions/de590dc5-417d-11ee-80ce-a0d3c1fab97f" TargetMode="External" Id="rId483" /><Relationship Type="http://schemas.openxmlformats.org/officeDocument/2006/relationships/hyperlink" Target="https://wegorus.ru/" TargetMode="External" Id="rId484" /><Relationship Type="http://schemas.openxmlformats.org/officeDocument/2006/relationships/hyperlink" Target="https://icatalog.expocentr.ru/ru/exhibitions/de590dc5-417d-11ee-80ce-a0d3c1fab97f" TargetMode="External" Id="rId485" /><Relationship Type="http://schemas.openxmlformats.org/officeDocument/2006/relationships/hyperlink" Target="https://icatalog.expocentr.ru/ru/exhibitions/de590dc5-417d-11ee-80ce-a0d3c1fab97f" TargetMode="External" Id="rId486" /><Relationship Type="http://schemas.openxmlformats.org/officeDocument/2006/relationships/hyperlink" Target="http://ctmt.ru/" TargetMode="External" Id="rId487" /><Relationship Type="http://schemas.openxmlformats.org/officeDocument/2006/relationships/hyperlink" Target="https://icatalog.expocentr.ru/ru/exhibitions/de590dc5-417d-11ee-80ce-a0d3c1fab97f" TargetMode="External" Id="rId488" /><Relationship Type="http://schemas.openxmlformats.org/officeDocument/2006/relationships/hyperlink" Target="http://www.geomedplus.ru/" TargetMode="External" Id="rId489" /><Relationship Type="http://schemas.openxmlformats.org/officeDocument/2006/relationships/hyperlink" Target="https://icatalog.expocentr.ru/ru/exhibitions/de590dc5-417d-11ee-80ce-a0d3c1fab97f" TargetMode="External" Id="rId490" /><Relationship Type="http://schemas.openxmlformats.org/officeDocument/2006/relationships/hyperlink" Target="https://optimelle.org/" TargetMode="External" Id="rId491" /><Relationship Type="http://schemas.openxmlformats.org/officeDocument/2006/relationships/hyperlink" Target="https://icatalog.expocentr.ru/ru/exhibitions/de590dc5-417d-11ee-80ce-a0d3c1fab97f" TargetMode="External" Id="rId492" /><Relationship Type="http://schemas.openxmlformats.org/officeDocument/2006/relationships/hyperlink" Target="http://www.vait-medical.ru/" TargetMode="External" Id="rId493" /><Relationship Type="http://schemas.openxmlformats.org/officeDocument/2006/relationships/hyperlink" Target="https://icatalog.expocentr.ru/ru/exhibitions/de590dc5-417d-11ee-80ce-a0d3c1fab97f" TargetMode="External" Id="rId494" /><Relationship Type="http://schemas.openxmlformats.org/officeDocument/2006/relationships/hyperlink" Target="http://www.medsil.ru/" TargetMode="External" Id="rId495" /><Relationship Type="http://schemas.openxmlformats.org/officeDocument/2006/relationships/hyperlink" Target="https://icatalog.expocentr.ru/ru/exhibitions/de590dc5-417d-11ee-80ce-a0d3c1fab97f" TargetMode="External" Id="rId496" /><Relationship Type="http://schemas.openxmlformats.org/officeDocument/2006/relationships/hyperlink" Target="http://mpk-elec.ru/" TargetMode="External" Id="rId497" /><Relationship Type="http://schemas.openxmlformats.org/officeDocument/2006/relationships/hyperlink" Target="https://icatalog.expocentr.ru/ru/exhibitions/de590dc5-417d-11ee-80ce-a0d3c1fab97f" TargetMode="External" Id="rId498" /><Relationship Type="http://schemas.openxmlformats.org/officeDocument/2006/relationships/hyperlink" Target="http://www.gkzdorovie.ru/" TargetMode="External" Id="rId499" /><Relationship Type="http://schemas.openxmlformats.org/officeDocument/2006/relationships/hyperlink" Target="https://icatalog.expocentr.ru/ru/exhibitions/de590dc5-417d-11ee-80ce-a0d3c1fab97f" TargetMode="External" Id="rId500" /><Relationship Type="http://schemas.openxmlformats.org/officeDocument/2006/relationships/hyperlink" Target="https://farmlik.ru/" TargetMode="External" Id="rId501" /><Relationship Type="http://schemas.openxmlformats.org/officeDocument/2006/relationships/hyperlink" Target="https://icatalog.expocentr.ru/ru/exhibitions/de590dc5-417d-11ee-80ce-a0d3c1fab97f" TargetMode="External" Id="rId502" /><Relationship Type="http://schemas.openxmlformats.org/officeDocument/2006/relationships/hyperlink" Target="http://www.maromax.ru/" TargetMode="External" Id="rId503" /><Relationship Type="http://schemas.openxmlformats.org/officeDocument/2006/relationships/hyperlink" Target="https://icatalog.expocentr.ru/ru/exhibitions/de590dc5-417d-11ee-80ce-a0d3c1fab97f" TargetMode="External" Id="rId504" /><Relationship Type="http://schemas.openxmlformats.org/officeDocument/2006/relationships/hyperlink" Target="http://www.chartpaperexpert.com/" TargetMode="External" Id="rId505" /><Relationship Type="http://schemas.openxmlformats.org/officeDocument/2006/relationships/hyperlink" Target="https://icatalog.expocentr.ru/ru/exhibitions/de590dc5-417d-11ee-80ce-a0d3c1fab97f" TargetMode="External" Id="rId506" /><Relationship Type="http://schemas.openxmlformats.org/officeDocument/2006/relationships/hyperlink" Target="http://www.medfason.ru/" TargetMode="External" Id="rId507" /><Relationship Type="http://schemas.openxmlformats.org/officeDocument/2006/relationships/hyperlink" Target="https://icatalog.expocentr.ru/ru/exhibitions/de590dc5-417d-11ee-80ce-a0d3c1fab97f" TargetMode="External" Id="rId508" /><Relationship Type="http://schemas.openxmlformats.org/officeDocument/2006/relationships/hyperlink" Target="http://www.medirama.ru/" TargetMode="External" Id="rId509" /><Relationship Type="http://schemas.openxmlformats.org/officeDocument/2006/relationships/hyperlink" Target="https://icatalog.expocentr.ru/ru/exhibitions/de590dc5-417d-11ee-80ce-a0d3c1fab97f" TargetMode="External" Id="rId510" /><Relationship Type="http://schemas.openxmlformats.org/officeDocument/2006/relationships/hyperlink" Target="http://www.nmcport.com/" TargetMode="External" Id="rId511" /><Relationship Type="http://schemas.openxmlformats.org/officeDocument/2006/relationships/hyperlink" Target="https://icatalog.expocentr.ru/ru/exhibitions/de590dc5-417d-11ee-80ce-a0d3c1fab97f" TargetMode="External" Id="rId512" /><Relationship Type="http://schemas.openxmlformats.org/officeDocument/2006/relationships/hyperlink" Target="http://berimed.ru/" TargetMode="External" Id="rId513" /><Relationship Type="http://schemas.openxmlformats.org/officeDocument/2006/relationships/hyperlink" Target="https://icatalog.expocentr.ru/ru/exhibitions/de590dc5-417d-11ee-80ce-a0d3c1fab97f" TargetMode="External" Id="rId514" /><Relationship Type="http://schemas.openxmlformats.org/officeDocument/2006/relationships/hyperlink" Target="https://icatalog.expocentr.ru/ru/exhibitions/de590dc5-417d-11ee-80ce-a0d3c1fab97f" TargetMode="External" Id="rId515" /><Relationship Type="http://schemas.openxmlformats.org/officeDocument/2006/relationships/hyperlink" Target="http://www.medmedical.ru/" TargetMode="External" Id="rId516" /><Relationship Type="http://schemas.openxmlformats.org/officeDocument/2006/relationships/hyperlink" Target="https://icatalog.expocentr.ru/ru/exhibitions/de590dc5-417d-11ee-80ce-a0d3c1fab97f" TargetMode="External" Id="rId517" /><Relationship Type="http://schemas.openxmlformats.org/officeDocument/2006/relationships/hyperlink" Target="http://imex-company.ru/" TargetMode="External" Id="rId518" /><Relationship Type="http://schemas.openxmlformats.org/officeDocument/2006/relationships/hyperlink" Target="https://icatalog.expocentr.ru/ru/exhibitions/de590dc5-417d-11ee-80ce-a0d3c1fab97f" TargetMode="External" Id="rId519" /><Relationship Type="http://schemas.openxmlformats.org/officeDocument/2006/relationships/hyperlink" Target="http://www.garant1.ru/" TargetMode="External" Id="rId520" /><Relationship Type="http://schemas.openxmlformats.org/officeDocument/2006/relationships/hyperlink" Target="https://icatalog.expocentr.ru/ru/exhibitions/de590dc5-417d-11ee-80ce-a0d3c1fab97f" TargetMode="External" Id="rId521" /><Relationship Type="http://schemas.openxmlformats.org/officeDocument/2006/relationships/hyperlink" Target="http://www.mp-simurg.ru/" TargetMode="External" Id="rId522" /><Relationship Type="http://schemas.openxmlformats.org/officeDocument/2006/relationships/hyperlink" Target="https://icatalog.expocentr.ru/ru/exhibitions/de590dc5-417d-11ee-80ce-a0d3c1fab97f" TargetMode="External" Id="rId523" /><Relationship Type="http://schemas.openxmlformats.org/officeDocument/2006/relationships/hyperlink" Target="http://www.bisans.ru/" TargetMode="External" Id="rId524" /><Relationship Type="http://schemas.openxmlformats.org/officeDocument/2006/relationships/hyperlink" Target="https://icatalog.expocentr.ru/ru/exhibitions/de590dc5-417d-11ee-80ce-a0d3c1fab97f" TargetMode="External" Id="rId525" /><Relationship Type="http://schemas.openxmlformats.org/officeDocument/2006/relationships/hyperlink" Target="http://www.akonit.ru/" TargetMode="External" Id="rId526" /><Relationship Type="http://schemas.openxmlformats.org/officeDocument/2006/relationships/hyperlink" Target="https://icatalog.expocentr.ru/ru/exhibitions/de590dc5-417d-11ee-80ce-a0d3c1fab97f" TargetMode="External" Id="rId527" /><Relationship Type="http://schemas.openxmlformats.org/officeDocument/2006/relationships/hyperlink" Target="http://www.aktimed.ru/" TargetMode="External" Id="rId528" /><Relationship Type="http://schemas.openxmlformats.org/officeDocument/2006/relationships/hyperlink" Target="https://icatalog.expocentr.ru/ru/exhibitions/de590dc5-417d-11ee-80ce-a0d3c1fab97f" TargetMode="External" Id="rId529" /><Relationship Type="http://schemas.openxmlformats.org/officeDocument/2006/relationships/hyperlink" Target="http://www.cereb.su/" TargetMode="External" Id="rId530" /><Relationship Type="http://schemas.openxmlformats.org/officeDocument/2006/relationships/hyperlink" Target="https://icatalog.expocentr.ru/ru/exhibitions/de590dc5-417d-11ee-80ce-a0d3c1fab97f" TargetMode="External" Id="rId531" /><Relationship Type="http://schemas.openxmlformats.org/officeDocument/2006/relationships/hyperlink" Target="http://www.pgmed.ru/" TargetMode="External" Id="rId532" /><Relationship Type="http://schemas.openxmlformats.org/officeDocument/2006/relationships/hyperlink" Target="https://icatalog.expocentr.ru/ru/exhibitions/de590dc5-417d-11ee-80ce-a0d3c1fab97f" TargetMode="External" Id="rId533" /><Relationship Type="http://schemas.openxmlformats.org/officeDocument/2006/relationships/hyperlink" Target="http://www.elemaar.ru/" TargetMode="External" Id="rId534" /><Relationship Type="http://schemas.openxmlformats.org/officeDocument/2006/relationships/hyperlink" Target="https://icatalog.expocentr.ru/ru/exhibitions/de590dc5-417d-11ee-80ce-a0d3c1fab97f" TargetMode="External" Id="rId535" /><Relationship Type="http://schemas.openxmlformats.org/officeDocument/2006/relationships/hyperlink" Target="https://www.skolfarma.ru/" TargetMode="External" Id="rId536" /><Relationship Type="http://schemas.openxmlformats.org/officeDocument/2006/relationships/hyperlink" Target="https://icatalog.expocentr.ru/ru/exhibitions/de590dc5-417d-11ee-80ce-a0d3c1fab97f" TargetMode="External" Id="rId537" /><Relationship Type="http://schemas.openxmlformats.org/officeDocument/2006/relationships/hyperlink" Target="https://darpix.ru/" TargetMode="External" Id="rId538" /><Relationship Type="http://schemas.openxmlformats.org/officeDocument/2006/relationships/hyperlink" Target="https://icatalog.expocentr.ru/ru/exhibitions/de590dc5-417d-11ee-80ce-a0d3c1fab97f" TargetMode="External" Id="rId539" /><Relationship Type="http://schemas.openxmlformats.org/officeDocument/2006/relationships/hyperlink" Target="http://medaim.ru/" TargetMode="External" Id="rId540" /><Relationship Type="http://schemas.openxmlformats.org/officeDocument/2006/relationships/hyperlink" Target="https://icatalog.expocentr.ru/ru/exhibitions/de590dc5-417d-11ee-80ce-a0d3c1fab97f" TargetMode="External" Id="rId541" /><Relationship Type="http://schemas.openxmlformats.org/officeDocument/2006/relationships/hyperlink" Target="http://www.shaklin.ru/" TargetMode="External" Id="rId542" /><Relationship Type="http://schemas.openxmlformats.org/officeDocument/2006/relationships/hyperlink" Target="https://icatalog.expocentr.ru/ru/exhibitions/de590dc5-417d-11ee-80ce-a0d3c1fab97f" TargetMode="External" Id="rId543" /><Relationship Type="http://schemas.openxmlformats.org/officeDocument/2006/relationships/hyperlink" Target="https://yukigroup.ru/" TargetMode="External" Id="rId544" /><Relationship Type="http://schemas.openxmlformats.org/officeDocument/2006/relationships/hyperlink" Target="https://icatalog.expocentr.ru/ru/exhibitions/de590dc5-417d-11ee-80ce-a0d3c1fab97f" TargetMode="External" Id="rId545" /><Relationship Type="http://schemas.openxmlformats.org/officeDocument/2006/relationships/hyperlink" Target="http://www.palma-med.ru/" TargetMode="External" Id="rId546" /><Relationship Type="http://schemas.openxmlformats.org/officeDocument/2006/relationships/hyperlink" Target="https://icatalog.expocentr.ru/ru/exhibitions/de590dc5-417d-11ee-80ce-a0d3c1fab97f" TargetMode="External" Id="rId547" /><Relationship Type="http://schemas.openxmlformats.org/officeDocument/2006/relationships/hyperlink" Target="http://www.willmed.ru/" TargetMode="External" Id="rId548" /><Relationship Type="http://schemas.openxmlformats.org/officeDocument/2006/relationships/hyperlink" Target="https://icatalog.expocentr.ru/ru/exhibitions/de590dc5-417d-11ee-80ce-a0d3c1fab97f" TargetMode="External" Id="rId549" /><Relationship Type="http://schemas.openxmlformats.org/officeDocument/2006/relationships/hyperlink" Target="http://heine.com.ru/" TargetMode="External" Id="rId550" /><Relationship Type="http://schemas.openxmlformats.org/officeDocument/2006/relationships/hyperlink" Target="https://icatalog.expocentr.ru/ru/exhibitions/de590dc5-417d-11ee-80ce-a0d3c1fab97f" TargetMode="External" Id="rId551" /><Relationship Type="http://schemas.openxmlformats.org/officeDocument/2006/relationships/hyperlink" Target="https://meshkipaketi.ru/" TargetMode="External" Id="rId552" /><Relationship Type="http://schemas.openxmlformats.org/officeDocument/2006/relationships/hyperlink" Target="https://icatalog.expocentr.ru/ru/exhibitions/de590dc5-417d-11ee-80ce-a0d3c1fab97f" TargetMode="External" Id="rId553" /><Relationship Type="http://schemas.openxmlformats.org/officeDocument/2006/relationships/hyperlink" Target="https://bolusmed.ru/" TargetMode="External" Id="rId554" /><Relationship Type="http://schemas.openxmlformats.org/officeDocument/2006/relationships/hyperlink" Target="https://icatalog.expocentr.ru/ru/exhibitions/de590dc5-417d-11ee-80ce-a0d3c1fab97f" TargetMode="External" Id="rId555" /><Relationship Type="http://schemas.openxmlformats.org/officeDocument/2006/relationships/hyperlink" Target="http://www.advamedics.ru/" TargetMode="External" Id="rId556" /><Relationship Type="http://schemas.openxmlformats.org/officeDocument/2006/relationships/hyperlink" Target="https://icatalog.expocentr.ru/ru/exhibitions/de590dc5-417d-11ee-80ce-a0d3c1fab97f" TargetMode="External" Id="rId557" /><Relationship Type="http://schemas.openxmlformats.org/officeDocument/2006/relationships/hyperlink" Target="http://www.mnpkavis.ru/" TargetMode="External" Id="rId558" /><Relationship Type="http://schemas.openxmlformats.org/officeDocument/2006/relationships/hyperlink" Target="https://icatalog.expocentr.ru/ru/exhibitions/de590dc5-417d-11ee-80ce-a0d3c1fab97f" TargetMode="External" Id="rId559" /><Relationship Type="http://schemas.openxmlformats.org/officeDocument/2006/relationships/hyperlink" Target="http://www.emgr.ru/" TargetMode="External" Id="rId560" /><Relationship Type="http://schemas.openxmlformats.org/officeDocument/2006/relationships/hyperlink" Target="https://icatalog.expocentr.ru/ru/exhibitions/de590dc5-417d-11ee-80ce-a0d3c1fab97f" TargetMode="External" Id="rId561" /><Relationship Type="http://schemas.openxmlformats.org/officeDocument/2006/relationships/hyperlink" Target="http://www.medin-n.ru/" TargetMode="External" Id="rId562" /><Relationship Type="http://schemas.openxmlformats.org/officeDocument/2006/relationships/hyperlink" Target="https://icatalog.expocentr.ru/ru/exhibitions/de590dc5-417d-11ee-80ce-a0d3c1fab97f" TargetMode="External" Id="rId563" /><Relationship Type="http://schemas.openxmlformats.org/officeDocument/2006/relationships/hyperlink" Target="http://bmedical.ru/" TargetMode="External" Id="rId564" /><Relationship Type="http://schemas.openxmlformats.org/officeDocument/2006/relationships/hyperlink" Target="https://icatalog.expocentr.ru/ru/exhibitions/de590dc5-417d-11ee-80ce-a0d3c1fab97f" TargetMode="External" Id="rId565" /><Relationship Type="http://schemas.openxmlformats.org/officeDocument/2006/relationships/hyperlink" Target="https://orionmed.ru/" TargetMode="External" Id="rId566" /><Relationship Type="http://schemas.openxmlformats.org/officeDocument/2006/relationships/hyperlink" Target="https://icatalog.expocentr.ru/ru/exhibitions/de590dc5-417d-11ee-80ce-a0d3c1fab97f" TargetMode="External" Id="rId567" /><Relationship Type="http://schemas.openxmlformats.org/officeDocument/2006/relationships/hyperlink" Target="https://vascularpro.ru/" TargetMode="External" Id="rId568" /><Relationship Type="http://schemas.openxmlformats.org/officeDocument/2006/relationships/hyperlink" Target="https://icatalog.expocentr.ru/ru/exhibitions/de590dc5-417d-11ee-80ce-a0d3c1fab97f" TargetMode="External" Id="rId569" /><Relationship Type="http://schemas.openxmlformats.org/officeDocument/2006/relationships/hyperlink" Target="http://www.napoly.info/" TargetMode="External" Id="rId570" /><Relationship Type="http://schemas.openxmlformats.org/officeDocument/2006/relationships/hyperlink" Target="https://icatalog.expocentr.ru/ru/exhibitions/de590dc5-417d-11ee-80ce-a0d3c1fab97f" TargetMode="External" Id="rId571" /><Relationship Type="http://schemas.openxmlformats.org/officeDocument/2006/relationships/hyperlink" Target="http://www.meditekm.ru/" TargetMode="External" Id="rId572" /><Relationship Type="http://schemas.openxmlformats.org/officeDocument/2006/relationships/hyperlink" Target="https://icatalog.expocentr.ru/ru/exhibitions/de590dc5-417d-11ee-80ce-a0d3c1fab97f" TargetMode="External" Id="rId573" /><Relationship Type="http://schemas.openxmlformats.org/officeDocument/2006/relationships/hyperlink" Target="http://www.1-touch.ru/" TargetMode="External" Id="rId574" /><Relationship Type="http://schemas.openxmlformats.org/officeDocument/2006/relationships/hyperlink" Target="https://icatalog.expocentr.ru/ru/exhibitions/de590dc5-417d-11ee-80ce-a0d3c1fab97f" TargetMode="External" Id="rId575" /><Relationship Type="http://schemas.openxmlformats.org/officeDocument/2006/relationships/hyperlink" Target="http://www.grundlage.info/" TargetMode="External" Id="rId576" /><Relationship Type="http://schemas.openxmlformats.org/officeDocument/2006/relationships/hyperlink" Target="https://icatalog.expocentr.ru/ru/exhibitions/de590dc5-417d-11ee-80ce-a0d3c1fab97f" TargetMode="External" Id="rId577" /><Relationship Type="http://schemas.openxmlformats.org/officeDocument/2006/relationships/hyperlink" Target="http://www.imsstore.ru/" TargetMode="External" Id="rId578" /><Relationship Type="http://schemas.openxmlformats.org/officeDocument/2006/relationships/hyperlink" Target="https://icatalog.expocentr.ru/ru/exhibitions/de590dc5-417d-11ee-80ce-a0d3c1fab97f" TargetMode="External" Id="rId579" /><Relationship Type="http://schemas.openxmlformats.org/officeDocument/2006/relationships/hyperlink" Target="http://lm-med.com/" TargetMode="External" Id="rId580" /><Relationship Type="http://schemas.openxmlformats.org/officeDocument/2006/relationships/hyperlink" Target="https://icatalog.expocentr.ru/ru/exhibitions/de590dc5-417d-11ee-80ce-a0d3c1fab97f" TargetMode="External" Id="rId581" /><Relationship Type="http://schemas.openxmlformats.org/officeDocument/2006/relationships/hyperlink" Target="http://www.vascularaccess.ru/" TargetMode="External" Id="rId582" /><Relationship Type="http://schemas.openxmlformats.org/officeDocument/2006/relationships/hyperlink" Target="https://icatalog.expocentr.ru/ru/exhibitions/de590dc5-417d-11ee-80ce-a0d3c1fab97f" TargetMode="External" Id="rId583" /><Relationship Type="http://schemas.openxmlformats.org/officeDocument/2006/relationships/hyperlink" Target="https://arhimed.spb.ru/" TargetMode="External" Id="rId584" /><Relationship Type="http://schemas.openxmlformats.org/officeDocument/2006/relationships/hyperlink" Target="https://icatalog.expocentr.ru/ru/exhibitions/de590dc5-417d-11ee-80ce-a0d3c1fab97f" TargetMode="External" Id="rId585" /><Relationship Type="http://schemas.openxmlformats.org/officeDocument/2006/relationships/hyperlink" Target="https://icatalog.expocentr.ru/ru/exhibitions/de590dc5-417d-11ee-80ce-a0d3c1fab97f" TargetMode="External" Id="rId586" /><Relationship Type="http://schemas.openxmlformats.org/officeDocument/2006/relationships/hyperlink" Target="https://n-vit.com/" TargetMode="External" Id="rId587" /><Relationship Type="http://schemas.openxmlformats.org/officeDocument/2006/relationships/hyperlink" Target="https://icatalog.expocentr.ru/ru/exhibitions/de590dc5-417d-11ee-80ce-a0d3c1fab97f" TargetMode="External" Id="rId588" /><Relationship Type="http://schemas.openxmlformats.org/officeDocument/2006/relationships/hyperlink" Target="https://www.techno-med.ru/" TargetMode="External" Id="rId589" /><Relationship Type="http://schemas.openxmlformats.org/officeDocument/2006/relationships/hyperlink" Target="https://icatalog.expocentr.ru/ru/exhibitions/de590dc5-417d-11ee-80ce-a0d3c1fab97f" TargetMode="External" Id="rId590" /><Relationship Type="http://schemas.openxmlformats.org/officeDocument/2006/relationships/hyperlink" Target="https://tezis-shop.ru/" TargetMode="External" Id="rId591" /><Relationship Type="http://schemas.openxmlformats.org/officeDocument/2006/relationships/hyperlink" Target="https://icatalog.expocentr.ru/ru/exhibitions/de590dc5-417d-11ee-80ce-a0d3c1fab97f" TargetMode="External" Id="rId592" /><Relationship Type="http://schemas.openxmlformats.org/officeDocument/2006/relationships/hyperlink" Target="http://www.nireda.ru/" TargetMode="External" Id="rId593" /><Relationship Type="http://schemas.openxmlformats.org/officeDocument/2006/relationships/hyperlink" Target="https://icatalog.expocentr.ru/ru/exhibitions/de590dc5-417d-11ee-80ce-a0d3c1fab97f" TargetMode="External" Id="rId594" /><Relationship Type="http://schemas.openxmlformats.org/officeDocument/2006/relationships/hyperlink" Target="http://www.tdsel.pro/" TargetMode="External" Id="rId595" /><Relationship Type="http://schemas.openxmlformats.org/officeDocument/2006/relationships/hyperlink" Target="https://icatalog.expocentr.ru/ru/exhibitions/de590dc5-417d-11ee-80ce-a0d3c1fab97f" TargetMode="External" Id="rId596" /><Relationship Type="http://schemas.openxmlformats.org/officeDocument/2006/relationships/hyperlink" Target="http://www.reanmed.ru/" TargetMode="External" Id="rId597" /><Relationship Type="http://schemas.openxmlformats.org/officeDocument/2006/relationships/hyperlink" Target="https://icatalog.expocentr.ru/ru/exhibitions/de590dc5-417d-11ee-80ce-a0d3c1fab97f" TargetMode="External" Id="rId598" /><Relationship Type="http://schemas.openxmlformats.org/officeDocument/2006/relationships/hyperlink" Target="https://farm-sfera.ru/" TargetMode="External" Id="rId599" /><Relationship Type="http://schemas.openxmlformats.org/officeDocument/2006/relationships/hyperlink" Target="https://icatalog.expocentr.ru/ru/exhibitions/de590dc5-417d-11ee-80ce-a0d3c1fab97f" TargetMode="External" Id="rId600" /><Relationship Type="http://schemas.openxmlformats.org/officeDocument/2006/relationships/hyperlink" Target="http://angioline.ru/" TargetMode="External" Id="rId601" /><Relationship Type="http://schemas.openxmlformats.org/officeDocument/2006/relationships/hyperlink" Target="https://icatalog.expocentr.ru/ru/exhibitions/de590dc5-417d-11ee-80ce-a0d3c1fab97f" TargetMode="External" Id="rId602" /><Relationship Type="http://schemas.openxmlformats.org/officeDocument/2006/relationships/hyperlink" Target="https://icatalog.expocentr.ru/ru/exhibitions/de590dc5-417d-11ee-80ce-a0d3c1fab97f" TargetMode="External" Id="rId603" /><Relationship Type="http://schemas.openxmlformats.org/officeDocument/2006/relationships/hyperlink" Target="https://rggroup-co.com/" TargetMode="External" Id="rId604" /><Relationship Type="http://schemas.openxmlformats.org/officeDocument/2006/relationships/hyperlink" Target="https://icatalog.expocentr.ru/ru/exhibitions/de590dc5-417d-11ee-80ce-a0d3c1fab97f" TargetMode="External" Id="rId605" /><Relationship Type="http://schemas.openxmlformats.org/officeDocument/2006/relationships/hyperlink" Target="http://diatix.ru/" TargetMode="External" Id="rId606" /><Relationship Type="http://schemas.openxmlformats.org/officeDocument/2006/relationships/hyperlink" Target="https://icatalog.expocentr.ru/ru/exhibitions/de590dc5-417d-11ee-80ce-a0d3c1fab97f" TargetMode="External" Id="rId607" /><Relationship Type="http://schemas.openxmlformats.org/officeDocument/2006/relationships/hyperlink" Target="http://www.interfarmservice.ru/" TargetMode="External" Id="rId608" /><Relationship Type="http://schemas.openxmlformats.org/officeDocument/2006/relationships/hyperlink" Target="https://icatalog.expocentr.ru/ru/exhibitions/de590dc5-417d-11ee-80ce-a0d3c1fab97f" TargetMode="External" Id="rId609" /><Relationship Type="http://schemas.openxmlformats.org/officeDocument/2006/relationships/hyperlink" Target="http://www.biosensoran.ru/" TargetMode="External" Id="rId610" /><Relationship Type="http://schemas.openxmlformats.org/officeDocument/2006/relationships/hyperlink" Target="https://icatalog.expocentr.ru/ru/exhibitions/de590dc5-417d-11ee-80ce-a0d3c1fab97f" TargetMode="External" Id="rId611" /><Relationship Type="http://schemas.openxmlformats.org/officeDocument/2006/relationships/hyperlink" Target="http://www.inpren.ru/" TargetMode="External" Id="rId612" /><Relationship Type="http://schemas.openxmlformats.org/officeDocument/2006/relationships/hyperlink" Target="https://icatalog.expocentr.ru/ru/exhibitions/de590dc5-417d-11ee-80ce-a0d3c1fab97f" TargetMode="External" Id="rId613" /><Relationship Type="http://schemas.openxmlformats.org/officeDocument/2006/relationships/hyperlink" Target="http://www.exmedikal.ru/" TargetMode="External" Id="rId614" /><Relationship Type="http://schemas.openxmlformats.org/officeDocument/2006/relationships/hyperlink" Target="https://icatalog.expocentr.ru/ru/exhibitions/de590dc5-417d-11ee-80ce-a0d3c1fab97f" TargetMode="External" Id="rId615" /><Relationship Type="http://schemas.openxmlformats.org/officeDocument/2006/relationships/hyperlink" Target="http://www.elema-n.ru/" TargetMode="External" Id="rId616" /><Relationship Type="http://schemas.openxmlformats.org/officeDocument/2006/relationships/hyperlink" Target="https://icatalog.expocentr.ru/ru/exhibitions/de590dc5-417d-11ee-80ce-a0d3c1fab97f" TargetMode="External" Id="rId617" /><Relationship Type="http://schemas.openxmlformats.org/officeDocument/2006/relationships/hyperlink" Target="http://www.a-dez.ru/" TargetMode="External" Id="rId618" /><Relationship Type="http://schemas.openxmlformats.org/officeDocument/2006/relationships/hyperlink" Target="https://icatalog.expocentr.ru/ru/exhibitions/de590dc5-417d-11ee-80ce-a0d3c1fab97f" TargetMode="External" Id="rId619" /><Relationship Type="http://schemas.openxmlformats.org/officeDocument/2006/relationships/hyperlink" Target="http://www.almadez.ru/" TargetMode="External" Id="rId620" /><Relationship Type="http://schemas.openxmlformats.org/officeDocument/2006/relationships/hyperlink" Target="https://icatalog.expocentr.ru/ru/exhibitions/de590dc5-417d-11ee-80ce-a0d3c1fab97f" TargetMode="External" Id="rId621" /><Relationship Type="http://schemas.openxmlformats.org/officeDocument/2006/relationships/hyperlink" Target="http://www.dezon.pro/" TargetMode="External" Id="rId622" /><Relationship Type="http://schemas.openxmlformats.org/officeDocument/2006/relationships/hyperlink" Target="https://icatalog.expocentr.ru/ru/exhibitions/de590dc5-417d-11ee-80ce-a0d3c1fab97f" TargetMode="External" Id="rId623" /><Relationship Type="http://schemas.openxmlformats.org/officeDocument/2006/relationships/hyperlink" Target="http://www.voltmetrika.ru/" TargetMode="External" Id="rId624" /><Relationship Type="http://schemas.openxmlformats.org/officeDocument/2006/relationships/hyperlink" Target="https://icatalog.expocentr.ru/ru/exhibitions/de590dc5-417d-11ee-80ce-a0d3c1fab97f" TargetMode="External" Id="rId625" /><Relationship Type="http://schemas.openxmlformats.org/officeDocument/2006/relationships/hyperlink" Target="http://www.aseptica.biz/" TargetMode="External" Id="rId626" /><Relationship Type="http://schemas.openxmlformats.org/officeDocument/2006/relationships/hyperlink" Target="https://icatalog.expocentr.ru/ru/exhibitions/de590dc5-417d-11ee-80ce-a0d3c1fab97f" TargetMode="External" Id="rId627" /><Relationship Type="http://schemas.openxmlformats.org/officeDocument/2006/relationships/hyperlink" Target="http://www.geniks.ru/" TargetMode="External" Id="rId628" /><Relationship Type="http://schemas.openxmlformats.org/officeDocument/2006/relationships/hyperlink" Target="https://icatalog.expocentr.ru/ru/exhibitions/de590dc5-417d-11ee-80ce-a0d3c1fab97f" TargetMode="External" Id="rId629" /><Relationship Type="http://schemas.openxmlformats.org/officeDocument/2006/relationships/hyperlink" Target="http://septo.net/" TargetMode="External" Id="rId630" /><Relationship Type="http://schemas.openxmlformats.org/officeDocument/2006/relationships/hyperlink" Target="https://icatalog.expocentr.ru/ru/exhibitions/de590dc5-417d-11ee-80ce-a0d3c1fab97f" TargetMode="External" Id="rId631" /><Relationship Type="http://schemas.openxmlformats.org/officeDocument/2006/relationships/hyperlink" Target="http://www.avgroupp.ru/" TargetMode="External" Id="rId632" /><Relationship Type="http://schemas.openxmlformats.org/officeDocument/2006/relationships/hyperlink" Target="https://icatalog.expocentr.ru/ru/exhibitions/de590dc5-417d-11ee-80ce-a0d3c1fab97f" TargetMode="External" Id="rId633" /><Relationship Type="http://schemas.openxmlformats.org/officeDocument/2006/relationships/hyperlink" Target="http://www.vitapool.ru/" TargetMode="External" Id="rId634" /><Relationship Type="http://schemas.openxmlformats.org/officeDocument/2006/relationships/hyperlink" Target="https://icatalog.expocentr.ru/ru/exhibitions/de590dc5-417d-11ee-80ce-a0d3c1fab97f" TargetMode="External" Id="rId635" /><Relationship Type="http://schemas.openxmlformats.org/officeDocument/2006/relationships/hyperlink" Target="http://steri-pack.ru/" TargetMode="External" Id="rId636" /><Relationship Type="http://schemas.openxmlformats.org/officeDocument/2006/relationships/hyperlink" Target="https://icatalog.expocentr.ru/ru/exhibitions/de590dc5-417d-11ee-80ce-a0d3c1fab97f" TargetMode="External" Id="rId637" /><Relationship Type="http://schemas.openxmlformats.org/officeDocument/2006/relationships/hyperlink" Target="http://www.volgamedrf.ru/" TargetMode="External" Id="rId638" /><Relationship Type="http://schemas.openxmlformats.org/officeDocument/2006/relationships/hyperlink" Target="https://icatalog.expocentr.ru/ru/exhibitions/de590dc5-417d-11ee-80ce-a0d3c1fab97f" TargetMode="External" Id="rId639" /><Relationship Type="http://schemas.openxmlformats.org/officeDocument/2006/relationships/hyperlink" Target="http://www.mediana-filter.ru/" TargetMode="External" Id="rId640" /><Relationship Type="http://schemas.openxmlformats.org/officeDocument/2006/relationships/hyperlink" Target="https://icatalog.expocentr.ru/ru/exhibitions/de590dc5-417d-11ee-80ce-a0d3c1fab97f" TargetMode="External" Id="rId641" /><Relationship Type="http://schemas.openxmlformats.org/officeDocument/2006/relationships/hyperlink" Target="http://www.bandeq.ru/" TargetMode="External" Id="rId642" /><Relationship Type="http://schemas.openxmlformats.org/officeDocument/2006/relationships/hyperlink" Target="https://icatalog.expocentr.ru/ru/exhibitions/de590dc5-417d-11ee-80ce-a0d3c1fab97f" TargetMode="External" Id="rId643" /><Relationship Type="http://schemas.openxmlformats.org/officeDocument/2006/relationships/hyperlink" Target="http://www.dmicro.ru/" TargetMode="External" Id="rId644" /><Relationship Type="http://schemas.openxmlformats.org/officeDocument/2006/relationships/hyperlink" Target="https://icatalog.expocentr.ru/ru/exhibitions/de590dc5-417d-11ee-80ce-a0d3c1fab97f" TargetMode="External" Id="rId645" /><Relationship Type="http://schemas.openxmlformats.org/officeDocument/2006/relationships/hyperlink" Target="http://www.aldez.ru/" TargetMode="External" Id="rId646" /><Relationship Type="http://schemas.openxmlformats.org/officeDocument/2006/relationships/hyperlink" Target="https://icatalog.expocentr.ru/ru/exhibitions/de590dc5-417d-11ee-80ce-a0d3c1fab97f" TargetMode="External" Id="rId647" /><Relationship Type="http://schemas.openxmlformats.org/officeDocument/2006/relationships/hyperlink" Target="https://terramed.pro/" TargetMode="External" Id="rId648" /><Relationship Type="http://schemas.openxmlformats.org/officeDocument/2006/relationships/hyperlink" Target="https://icatalog.expocentr.ru/ru/exhibitions/de590dc5-417d-11ee-80ce-a0d3c1fab97f" TargetMode="External" Id="rId649" /><Relationship Type="http://schemas.openxmlformats.org/officeDocument/2006/relationships/hyperlink" Target="http://www.ooomedikon.ru/" TargetMode="External" Id="rId650" /><Relationship Type="http://schemas.openxmlformats.org/officeDocument/2006/relationships/hyperlink" Target="https://icatalog.expocentr.ru/ru/exhibitions/de590dc5-417d-11ee-80ce-a0d3c1fab97f" TargetMode="External" Id="rId651" /><Relationship Type="http://schemas.openxmlformats.org/officeDocument/2006/relationships/hyperlink" Target="http://www.test-me.co/" TargetMode="External" Id="rId652" /><Relationship Type="http://schemas.openxmlformats.org/officeDocument/2006/relationships/hyperlink" Target="https://icatalog.expocentr.ru/ru/exhibitions/de590dc5-417d-11ee-80ce-a0d3c1fab97f" TargetMode="External" Id="rId653" /><Relationship Type="http://schemas.openxmlformats.org/officeDocument/2006/relationships/hyperlink" Target="http://airlife.ru/" TargetMode="External" Id="rId654" /><Relationship Type="http://schemas.openxmlformats.org/officeDocument/2006/relationships/hyperlink" Target="https://icatalog.expocentr.ru/ru/exhibitions/de590dc5-417d-11ee-80ce-a0d3c1fab97f" TargetMode="External" Id="rId655" /><Relationship Type="http://schemas.openxmlformats.org/officeDocument/2006/relationships/hyperlink" Target="http://steri-pro.ru/" TargetMode="External" Id="rId656" /><Relationship Type="http://schemas.openxmlformats.org/officeDocument/2006/relationships/hyperlink" Target="https://icatalog.expocentr.ru/ru/exhibitions/de590dc5-417d-11ee-80ce-a0d3c1fab97f" TargetMode="External" Id="rId657" /><Relationship Type="http://schemas.openxmlformats.org/officeDocument/2006/relationships/hyperlink" Target="http://www.kront.com/" TargetMode="External" Id="rId658" /><Relationship Type="http://schemas.openxmlformats.org/officeDocument/2006/relationships/hyperlink" Target="https://icatalog.expocentr.ru/ru/exhibitions/de590dc5-417d-11ee-80ce-a0d3c1fab97f" TargetMode="External" Id="rId659" /><Relationship Type="http://schemas.openxmlformats.org/officeDocument/2006/relationships/hyperlink" Target="http://www.eurotype.biz/" TargetMode="External" Id="rId660" /><Relationship Type="http://schemas.openxmlformats.org/officeDocument/2006/relationships/hyperlink" Target="https://icatalog.expocentr.ru/ru/exhibitions/de590dc5-417d-11ee-80ce-a0d3c1fab97f" TargetMode="External" Id="rId661" /><Relationship Type="http://schemas.openxmlformats.org/officeDocument/2006/relationships/hyperlink" Target="http://www.saraya-cis.ru/" TargetMode="External" Id="rId662" /><Relationship Type="http://schemas.openxmlformats.org/officeDocument/2006/relationships/hyperlink" Target="https://icatalog.expocentr.ru/ru/exhibitions/de590dc5-417d-11ee-80ce-a0d3c1fab97f" TargetMode="External" Id="rId663" /><Relationship Type="http://schemas.openxmlformats.org/officeDocument/2006/relationships/hyperlink" Target="http://www.sfcrus.com/" TargetMode="External" Id="rId664" /><Relationship Type="http://schemas.openxmlformats.org/officeDocument/2006/relationships/hyperlink" Target="https://icatalog.expocentr.ru/ru/exhibitions/de590dc5-417d-11ee-80ce-a0d3c1fab97f" TargetMode="External" Id="rId665" /><Relationship Type="http://schemas.openxmlformats.org/officeDocument/2006/relationships/hyperlink" Target="https://icatalog.expocentr.ru/ru/exhibitions/de590dc5-417d-11ee-80ce-a0d3c1fab97f" TargetMode="External" Id="rId666" /><Relationship Type="http://schemas.openxmlformats.org/officeDocument/2006/relationships/hyperlink" Target="http://www.mediteczt.ru/" TargetMode="External" Id="rId667" /><Relationship Type="http://schemas.openxmlformats.org/officeDocument/2006/relationships/hyperlink" Target="https://icatalog.expocentr.ru/ru/exhibitions/de590dc5-417d-11ee-80ce-a0d3c1fab97f" TargetMode="External" Id="rId668" /><Relationship Type="http://schemas.openxmlformats.org/officeDocument/2006/relationships/hyperlink" Target="https://pro.tion.ru/" TargetMode="External" Id="rId669" /><Relationship Type="http://schemas.openxmlformats.org/officeDocument/2006/relationships/hyperlink" Target="https://icatalog.expocentr.ru/ru/exhibitions/de590dc5-417d-11ee-80ce-a0d3c1fab97f" TargetMode="External" Id="rId670" /><Relationship Type="http://schemas.openxmlformats.org/officeDocument/2006/relationships/hyperlink" Target="http://www.stl-comp.ru/" TargetMode="External" Id="rId671" /><Relationship Type="http://schemas.openxmlformats.org/officeDocument/2006/relationships/hyperlink" Target="https://icatalog.expocentr.ru/ru/exhibitions/de590dc5-417d-11ee-80ce-a0d3c1fab97f" TargetMode="External" Id="rId672" /><Relationship Type="http://schemas.openxmlformats.org/officeDocument/2006/relationships/hyperlink" Target="https://deleksa.ru/" TargetMode="External" Id="rId673" /><Relationship Type="http://schemas.openxmlformats.org/officeDocument/2006/relationships/hyperlink" Target="https://icatalog.expocentr.ru/ru/exhibitions/de590dc5-417d-11ee-80ce-a0d3c1fab97f" TargetMode="External" Id="rId674" /><Relationship Type="http://schemas.openxmlformats.org/officeDocument/2006/relationships/hyperlink" Target="http://www.sterius.ru/" TargetMode="External" Id="rId675" /><Relationship Type="http://schemas.openxmlformats.org/officeDocument/2006/relationships/hyperlink" Target="https://icatalog.expocentr.ru/ru/exhibitions/de590dc5-417d-11ee-80ce-a0d3c1fab97f" TargetMode="External" Id="rId676" /><Relationship Type="http://schemas.openxmlformats.org/officeDocument/2006/relationships/hyperlink" Target="https://www.lit-uv.ru/" TargetMode="External" Id="rId677" /><Relationship Type="http://schemas.openxmlformats.org/officeDocument/2006/relationships/hyperlink" Target="https://icatalog.expocentr.ru/ru/exhibitions/de590dc5-417d-11ee-80ce-a0d3c1fab97f" TargetMode="External" Id="rId678" /><Relationship Type="http://schemas.openxmlformats.org/officeDocument/2006/relationships/hyperlink" Target="http://flexfresh.ru/" TargetMode="External" Id="rId679" /><Relationship Type="http://schemas.openxmlformats.org/officeDocument/2006/relationships/hyperlink" Target="https://icatalog.expocentr.ru/ru/exhibitions/de590dc5-417d-11ee-80ce-a0d3c1fab97f" TargetMode="External" Id="rId680" /><Relationship Type="http://schemas.openxmlformats.org/officeDocument/2006/relationships/hyperlink" Target="https://micromed-spb.ru/" TargetMode="External" Id="rId681" /><Relationship Type="http://schemas.openxmlformats.org/officeDocument/2006/relationships/hyperlink" Target="https://icatalog.expocentr.ru/ru/exhibitions/de590dc5-417d-11ee-80ce-a0d3c1fab97f" TargetMode="External" Id="rId682" /><Relationship Type="http://schemas.openxmlformats.org/officeDocument/2006/relationships/hyperlink" Target="http://www.lks.ru/" TargetMode="External" Id="rId683" /><Relationship Type="http://schemas.openxmlformats.org/officeDocument/2006/relationships/hyperlink" Target="https://icatalog.expocentr.ru/ru/exhibitions/de590dc5-417d-11ee-80ce-a0d3c1fab97f" TargetMode="External" Id="rId684" /><Relationship Type="http://schemas.openxmlformats.org/officeDocument/2006/relationships/hyperlink" Target="http://www.ams-medical.ru/" TargetMode="External" Id="rId685" /><Relationship Type="http://schemas.openxmlformats.org/officeDocument/2006/relationships/hyperlink" Target="https://icatalog.expocentr.ru/ru/exhibitions/de590dc5-417d-11ee-80ce-a0d3c1fab97f" TargetMode="External" Id="rId686" /><Relationship Type="http://schemas.openxmlformats.org/officeDocument/2006/relationships/hyperlink" Target="http://www.raster.ru/" TargetMode="External" Id="rId687" /><Relationship Type="http://schemas.openxmlformats.org/officeDocument/2006/relationships/hyperlink" Target="https://icatalog.expocentr.ru/ru/exhibitions/de590dc5-417d-11ee-80ce-a0d3c1fab97f" TargetMode="External" Id="rId688" /><Relationship Type="http://schemas.openxmlformats.org/officeDocument/2006/relationships/hyperlink" Target="http://biryuza-med.com/" TargetMode="External" Id="rId689" /><Relationship Type="http://schemas.openxmlformats.org/officeDocument/2006/relationships/hyperlink" Target="https://icatalog.expocentr.ru/ru/exhibitions/de590dc5-417d-11ee-80ce-a0d3c1fab97f" TargetMode="External" Id="rId690" /><Relationship Type="http://schemas.openxmlformats.org/officeDocument/2006/relationships/hyperlink" Target="http://vladhimprom.com/" TargetMode="External" Id="rId691" /><Relationship Type="http://schemas.openxmlformats.org/officeDocument/2006/relationships/hyperlink" Target="https://icatalog.expocentr.ru/ru/exhibitions/de590dc5-417d-11ee-80ce-a0d3c1fab97f" TargetMode="External" Id="rId692" /><Relationship Type="http://schemas.openxmlformats.org/officeDocument/2006/relationships/hyperlink" Target="http://www.smtrust.ru/" TargetMode="External" Id="rId693" /><Relationship Type="http://schemas.openxmlformats.org/officeDocument/2006/relationships/hyperlink" Target="https://icatalog.expocentr.ru/ru/exhibitions/de590dc5-417d-11ee-80ce-a0d3c1fab97f" TargetMode="External" Id="rId694" /><Relationship Type="http://schemas.openxmlformats.org/officeDocument/2006/relationships/hyperlink" Target="http://www.torimed.ru/" TargetMode="External" Id="rId695" /><Relationship Type="http://schemas.openxmlformats.org/officeDocument/2006/relationships/hyperlink" Target="https://icatalog.expocentr.ru/ru/exhibitions/de590dc5-417d-11ee-80ce-a0d3c1fab97f" TargetMode="External" Id="rId696" /><Relationship Type="http://schemas.openxmlformats.org/officeDocument/2006/relationships/hyperlink" Target="http://www.potok.com/" TargetMode="External" Id="rId697" /><Relationship Type="http://schemas.openxmlformats.org/officeDocument/2006/relationships/hyperlink" Target="https://icatalog.expocentr.ru/ru/exhibitions/de590dc5-417d-11ee-80ce-a0d3c1fab97f" TargetMode="External" Id="rId698" /><Relationship Type="http://schemas.openxmlformats.org/officeDocument/2006/relationships/hyperlink" Target="http://www.deznet.ru/" TargetMode="External" Id="rId699" /><Relationship Type="http://schemas.openxmlformats.org/officeDocument/2006/relationships/hyperlink" Target="https://icatalog.expocentr.ru/ru/exhibitions/de590dc5-417d-11ee-80ce-a0d3c1fab97f" TargetMode="External" Id="rId700" /><Relationship Type="http://schemas.openxmlformats.org/officeDocument/2006/relationships/hyperlink" Target="http://www.melius-team.ru/" TargetMode="External" Id="rId701" /><Relationship Type="http://schemas.openxmlformats.org/officeDocument/2006/relationships/hyperlink" Target="https://icatalog.expocentr.ru/ru/exhibitions/de590dc5-417d-11ee-80ce-a0d3c1fab97f" TargetMode="External" Id="rId702" /><Relationship Type="http://schemas.openxmlformats.org/officeDocument/2006/relationships/hyperlink" Target="http://zpt-medicall.ru/" TargetMode="External" Id="rId703" /><Relationship Type="http://schemas.openxmlformats.org/officeDocument/2006/relationships/hyperlink" Target="https://icatalog.expocentr.ru/ru/exhibitions/de590dc5-417d-11ee-80ce-a0d3c1fab97f" TargetMode="External" Id="rId704" /><Relationship Type="http://schemas.openxmlformats.org/officeDocument/2006/relationships/hyperlink" Target="http://www.nevohim.com/" TargetMode="External" Id="rId705" /><Relationship Type="http://schemas.openxmlformats.org/officeDocument/2006/relationships/hyperlink" Target="https://icatalog.expocentr.ru/ru/exhibitions/de590dc5-417d-11ee-80ce-a0d3c1fab97f" TargetMode="External" Id="rId706" /><Relationship Type="http://schemas.openxmlformats.org/officeDocument/2006/relationships/hyperlink" Target="http://www.ramtec.ru/" TargetMode="External" Id="rId707" /><Relationship Type="http://schemas.openxmlformats.org/officeDocument/2006/relationships/hyperlink" Target="https://icatalog.expocentr.ru/ru/exhibitions/de590dc5-417d-11ee-80ce-a0d3c1fab97f" TargetMode="External" Id="rId708" /><Relationship Type="http://schemas.openxmlformats.org/officeDocument/2006/relationships/hyperlink" Target="https://hemostar.ru/" TargetMode="External" Id="rId709" /><Relationship Type="http://schemas.openxmlformats.org/officeDocument/2006/relationships/hyperlink" Target="https://icatalog.expocentr.ru/ru/exhibitions/de590dc5-417d-11ee-80ce-a0d3c1fab97f" TargetMode="External" Id="rId710" /><Relationship Type="http://schemas.openxmlformats.org/officeDocument/2006/relationships/hyperlink" Target="http://www.eurmed.ru/" TargetMode="External" Id="rId711" /><Relationship Type="http://schemas.openxmlformats.org/officeDocument/2006/relationships/hyperlink" Target="https://icatalog.expocentr.ru/ru/exhibitions/de590dc5-417d-11ee-80ce-a0d3c1fab97f" TargetMode="External" Id="rId712" /><Relationship Type="http://schemas.openxmlformats.org/officeDocument/2006/relationships/hyperlink" Target="http://www.rumex.ru/" TargetMode="External" Id="rId713" /><Relationship Type="http://schemas.openxmlformats.org/officeDocument/2006/relationships/hyperlink" Target="https://icatalog.expocentr.ru/ru/exhibitions/de590dc5-417d-11ee-80ce-a0d3c1fab97f" TargetMode="External" Id="rId714" /><Relationship Type="http://schemas.openxmlformats.org/officeDocument/2006/relationships/hyperlink" Target="http://www.medteco.ru/" TargetMode="External" Id="rId715" /><Relationship Type="http://schemas.openxmlformats.org/officeDocument/2006/relationships/hyperlink" Target="https://icatalog.expocentr.ru/ru/exhibitions/de590dc5-417d-11ee-80ce-a0d3c1fab97f" TargetMode="External" Id="rId716" /><Relationship Type="http://schemas.openxmlformats.org/officeDocument/2006/relationships/hyperlink" Target="https://cliffmedical.com/" TargetMode="External" Id="rId717" /><Relationship Type="http://schemas.openxmlformats.org/officeDocument/2006/relationships/hyperlink" Target="https://icatalog.expocentr.ru/ru/exhibitions/de590dc5-417d-11ee-80ce-a0d3c1fab97f" TargetMode="External" Id="rId718" /><Relationship Type="http://schemas.openxmlformats.org/officeDocument/2006/relationships/hyperlink" Target="http://www.lpu.elamed.com/" TargetMode="External" Id="rId719" /><Relationship Type="http://schemas.openxmlformats.org/officeDocument/2006/relationships/hyperlink" Target="https://icatalog.expocentr.ru/ru/exhibitions/de590dc5-417d-11ee-80ce-a0d3c1fab97f" TargetMode="External" Id="rId720" /><Relationship Type="http://schemas.openxmlformats.org/officeDocument/2006/relationships/hyperlink" Target="https://anas.ru/" TargetMode="External" Id="rId721" /><Relationship Type="http://schemas.openxmlformats.org/officeDocument/2006/relationships/hyperlink" Target="https://icatalog.expocentr.ru/ru/exhibitions/de590dc5-417d-11ee-80ce-a0d3c1fab97f" TargetMode="External" Id="rId722" /><Relationship Type="http://schemas.openxmlformats.org/officeDocument/2006/relationships/hyperlink" Target="http://kossmed.ru/" TargetMode="External" Id="rId723" /><Relationship Type="http://schemas.openxmlformats.org/officeDocument/2006/relationships/hyperlink" Target="https://icatalog.expocentr.ru/ru/exhibitions/de590dc5-417d-11ee-80ce-a0d3c1fab97f" TargetMode="External" Id="rId724" /><Relationship Type="http://schemas.openxmlformats.org/officeDocument/2006/relationships/hyperlink" Target="http://www.iek.ru/" TargetMode="External" Id="rId725" /><Relationship Type="http://schemas.openxmlformats.org/officeDocument/2006/relationships/hyperlink" Target="https://icatalog.expocentr.ru/ru/exhibitions/de590dc5-417d-11ee-80ce-a0d3c1fab97f" TargetMode="External" Id="rId726" /><Relationship Type="http://schemas.openxmlformats.org/officeDocument/2006/relationships/hyperlink" Target="http://www.chemplant.farm/" TargetMode="External" Id="rId727" /><Relationship Type="http://schemas.openxmlformats.org/officeDocument/2006/relationships/hyperlink" Target="https://icatalog.expocentr.ru/ru/exhibitions/de590dc5-417d-11ee-80ce-a0d3c1fab97f" TargetMode="External" Id="rId728" /><Relationship Type="http://schemas.openxmlformats.org/officeDocument/2006/relationships/hyperlink" Target="https://allergychip.ru/" TargetMode="External" Id="rId729" /><Relationship Type="http://schemas.openxmlformats.org/officeDocument/2006/relationships/hyperlink" Target="https://icatalog.expocentr.ru/ru/exhibitions/de590dc5-417d-11ee-80ce-a0d3c1fab97f" TargetMode="External" Id="rId730" /><Relationship Type="http://schemas.openxmlformats.org/officeDocument/2006/relationships/hyperlink" Target="https://mbnso.ru/" TargetMode="External" Id="rId731" /><Relationship Type="http://schemas.openxmlformats.org/officeDocument/2006/relationships/hyperlink" Target="https://icatalog.expocentr.ru/ru/exhibitions/de590dc5-417d-11ee-80ce-a0d3c1fab97f" TargetMode="External" Id="rId732" /><Relationship Type="http://schemas.openxmlformats.org/officeDocument/2006/relationships/hyperlink" Target="http://www.orion-si.ru/" TargetMode="External" Id="rId733" /><Relationship Type="http://schemas.openxmlformats.org/officeDocument/2006/relationships/hyperlink" Target="https://icatalog.expocentr.ru/ru/exhibitions/de590dc5-417d-11ee-80ce-a0d3c1fab97f" TargetMode="External" Id="rId734" /><Relationship Type="http://schemas.openxmlformats.org/officeDocument/2006/relationships/hyperlink" Target="https://www.ferroplast.ru/" TargetMode="External" Id="rId735" /><Relationship Type="http://schemas.openxmlformats.org/officeDocument/2006/relationships/hyperlink" Target="https://icatalog.expocentr.ru/ru/exhibitions/de590dc5-417d-11ee-80ce-a0d3c1fab97f" TargetMode="External" Id="rId736" /><Relationship Type="http://schemas.openxmlformats.org/officeDocument/2006/relationships/hyperlink" Target="http://www.acearussia.com/" TargetMode="External" Id="rId737" /><Relationship Type="http://schemas.openxmlformats.org/officeDocument/2006/relationships/hyperlink" Target="https://icatalog.expocentr.ru/ru/exhibitions/de590dc5-417d-11ee-80ce-a0d3c1fab97f" TargetMode="External" Id="rId738" /><Relationship Type="http://schemas.openxmlformats.org/officeDocument/2006/relationships/hyperlink" Target="http://www.siriuschem.ru/" TargetMode="External" Id="rId739" /><Relationship Type="http://schemas.openxmlformats.org/officeDocument/2006/relationships/hyperlink" Target="https://icatalog.expocentr.ru/ru/exhibitions/de590dc5-417d-11ee-80ce-a0d3c1fab97f" TargetMode="External" Id="rId740" /><Relationship Type="http://schemas.openxmlformats.org/officeDocument/2006/relationships/hyperlink" Target="https://bioveritas.ru/" TargetMode="External" Id="rId741" /><Relationship Type="http://schemas.openxmlformats.org/officeDocument/2006/relationships/hyperlink" Target="https://icatalog.expocentr.ru/ru/exhibitions/de590dc5-417d-11ee-80ce-a0d3c1fab97f" TargetMode="External" Id="rId742" /><Relationship Type="http://schemas.openxmlformats.org/officeDocument/2006/relationships/hyperlink" Target="http://www.adiabatica.ru/" TargetMode="External" Id="rId743" /><Relationship Type="http://schemas.openxmlformats.org/officeDocument/2006/relationships/hyperlink" Target="https://icatalog.expocentr.ru/ru/exhibitions/de590dc5-417d-11ee-80ce-a0d3c1fab97f" TargetMode="External" Id="rId744" /><Relationship Type="http://schemas.openxmlformats.org/officeDocument/2006/relationships/hyperlink" Target="http://www.medtechnics.ru/" TargetMode="External" Id="rId745" /><Relationship Type="http://schemas.openxmlformats.org/officeDocument/2006/relationships/hyperlink" Target="https://icatalog.expocentr.ru/ru/exhibitions/de590dc5-417d-11ee-80ce-a0d3c1fab97f" TargetMode="External" Id="rId746" /><Relationship Type="http://schemas.openxmlformats.org/officeDocument/2006/relationships/hyperlink" Target="http://sterimedplus.ru/" TargetMode="External" Id="rId747" /><Relationship Type="http://schemas.openxmlformats.org/officeDocument/2006/relationships/hyperlink" Target="https://icatalog.expocentr.ru/ru/exhibitions/de590dc5-417d-11ee-80ce-a0d3c1fab97f" TargetMode="External" Id="rId748" /><Relationship Type="http://schemas.openxmlformats.org/officeDocument/2006/relationships/hyperlink" Target="https://export-rt.ru/" TargetMode="External" Id="rId749" /><Relationship Type="http://schemas.openxmlformats.org/officeDocument/2006/relationships/hyperlink" Target="https://icatalog.expocentr.ru/ru/exhibitions/de590dc5-417d-11ee-80ce-a0d3c1fab97f" TargetMode="External" Id="rId750" /><Relationship Type="http://schemas.openxmlformats.org/officeDocument/2006/relationships/hyperlink" Target="https://unimedlab.ru/" TargetMode="External" Id="rId751" /><Relationship Type="http://schemas.openxmlformats.org/officeDocument/2006/relationships/hyperlink" Target="https://icatalog.expocentr.ru/ru/exhibitions/de590dc5-417d-11ee-80ce-a0d3c1fab97f" TargetMode="External" Id="rId752" /><Relationship Type="http://schemas.openxmlformats.org/officeDocument/2006/relationships/hyperlink" Target="http://www.melitta-uv.ru/" TargetMode="External" Id="rId753" /><Relationship Type="http://schemas.openxmlformats.org/officeDocument/2006/relationships/hyperlink" Target="https://icatalog.expocentr.ru/ru/exhibitions/de590dc5-417d-11ee-80ce-a0d3c1fab97f" TargetMode="External" Id="rId754" /><Relationship Type="http://schemas.openxmlformats.org/officeDocument/2006/relationships/hyperlink" Target="http://www.renmedprom.ru/" TargetMode="External" Id="rId755" /><Relationship Type="http://schemas.openxmlformats.org/officeDocument/2006/relationships/hyperlink" Target="https://icatalog.expocentr.ru/ru/exhibitions/de590dc5-417d-11ee-80ce-a0d3c1fab97f" TargetMode="External" Id="rId756" /><Relationship Type="http://schemas.openxmlformats.org/officeDocument/2006/relationships/hyperlink" Target="http://www.diakon-ds.ru/" TargetMode="External" Id="rId757" /><Relationship Type="http://schemas.openxmlformats.org/officeDocument/2006/relationships/hyperlink" Target="https://icatalog.expocentr.ru/ru/exhibitions/de590dc5-417d-11ee-80ce-a0d3c1fab97f" TargetMode="External" Id="rId758" /><Relationship Type="http://schemas.openxmlformats.org/officeDocument/2006/relationships/hyperlink" Target="https://tianoks.ru/" TargetMode="External" Id="rId759" /><Relationship Type="http://schemas.openxmlformats.org/officeDocument/2006/relationships/hyperlink" Target="https://icatalog.expocentr.ru/ru/exhibitions/de590dc5-417d-11ee-80ce-a0d3c1fab97f" TargetMode="External" Id="rId760" /><Relationship Type="http://schemas.openxmlformats.org/officeDocument/2006/relationships/hyperlink" Target="https://umetex.com/ru/" TargetMode="External" Id="rId761" /><Relationship Type="http://schemas.openxmlformats.org/officeDocument/2006/relationships/hyperlink" Target="https://icatalog.expocentr.ru/ru/exhibitions/de590dc5-417d-11ee-80ce-a0d3c1fab97f" TargetMode="External" Id="rId762" /><Relationship Type="http://schemas.openxmlformats.org/officeDocument/2006/relationships/hyperlink" Target="http://vk.com/rus63com" TargetMode="External" Id="rId763" /><Relationship Type="http://schemas.openxmlformats.org/officeDocument/2006/relationships/hyperlink" Target="https://icatalog.expocentr.ru/ru/exhibitions/de590dc5-417d-11ee-80ce-a0d3c1fab97f" TargetMode="External" Id="rId764" /><Relationship Type="http://schemas.openxmlformats.org/officeDocument/2006/relationships/hyperlink" Target="http://www.tekomax.com/" TargetMode="External" Id="rId765" /><Relationship Type="http://schemas.openxmlformats.org/officeDocument/2006/relationships/hyperlink" Target="https://icatalog.expocentr.ru/ru/exhibitions/de590dc5-417d-11ee-80ce-a0d3c1fab97f" TargetMode="External" Id="rId766" /><Relationship Type="http://schemas.openxmlformats.org/officeDocument/2006/relationships/hyperlink" Target="http://www.ugasept.ru/" TargetMode="External" Id="rId767" /><Relationship Type="http://schemas.openxmlformats.org/officeDocument/2006/relationships/hyperlink" Target="https://icatalog.expocentr.ru/ru/exhibitions/de590dc5-417d-11ee-80ce-a0d3c1fab97f" TargetMode="External" Id="rId768" /><Relationship Type="http://schemas.openxmlformats.org/officeDocument/2006/relationships/hyperlink" Target="http://www.rivierabiotech.com/" TargetMode="External" Id="rId769" /><Relationship Type="http://schemas.openxmlformats.org/officeDocument/2006/relationships/hyperlink" Target="https://icatalog.expocentr.ru/ru/exhibitions/de590dc5-417d-11ee-80ce-a0d3c1fab97f" TargetMode="External" Id="rId770" /><Relationship Type="http://schemas.openxmlformats.org/officeDocument/2006/relationships/hyperlink" Target="https://www.dr-linden.ru/" TargetMode="External" Id="rId771" /><Relationship Type="http://schemas.openxmlformats.org/officeDocument/2006/relationships/hyperlink" Target="https://icatalog.expocentr.ru/ru/exhibitions/de590dc5-417d-11ee-80ce-a0d3c1fab97f" TargetMode="External" Id="rId772" /><Relationship Type="http://schemas.openxmlformats.org/officeDocument/2006/relationships/hyperlink" Target="https://fitstyle.ru/anapskaya-kosmetika" TargetMode="External" Id="rId773" /><Relationship Type="http://schemas.openxmlformats.org/officeDocument/2006/relationships/hyperlink" Target="https://icatalog.expocentr.ru/ru/exhibitions/de590dc5-417d-11ee-80ce-a0d3c1fab97f" TargetMode="External" Id="rId774" /><Relationship Type="http://schemas.openxmlformats.org/officeDocument/2006/relationships/hyperlink" Target="https://sk.ru/" TargetMode="External" Id="rId775" /><Relationship Type="http://schemas.openxmlformats.org/officeDocument/2006/relationships/hyperlink" Target="https://icatalog.expocentr.ru/ru/exhibitions/de590dc5-417d-11ee-80ce-a0d3c1fab97f" TargetMode="External" Id="rId776" /><Relationship Type="http://schemas.openxmlformats.org/officeDocument/2006/relationships/hyperlink" Target="http://papillon.health/" TargetMode="External" Id="rId777" /><Relationship Type="http://schemas.openxmlformats.org/officeDocument/2006/relationships/hyperlink" Target="https://icatalog.expocentr.ru/ru/exhibitions/de590dc5-417d-11ee-80ce-a0d3c1fab97f" TargetMode="External" Id="rId778" /><Relationship Type="http://schemas.openxmlformats.org/officeDocument/2006/relationships/hyperlink" Target="https://sensorehab.com/ru" TargetMode="External" Id="rId779" /><Relationship Type="http://schemas.openxmlformats.org/officeDocument/2006/relationships/hyperlink" Target="https://icatalog.expocentr.ru/ru/exhibitions/de590dc5-417d-11ee-80ce-a0d3c1fab97f" TargetMode="External" Id="rId780" /><Relationship Type="http://schemas.openxmlformats.org/officeDocument/2006/relationships/hyperlink" Target="https://scientific-compliance.ru/" TargetMode="External" Id="rId781" /><Relationship Type="http://schemas.openxmlformats.org/officeDocument/2006/relationships/hyperlink" Target="https://icatalog.expocentr.ru/ru/exhibitions/de590dc5-417d-11ee-80ce-a0d3c1fab97f" TargetMode="External" Id="rId782" /><Relationship Type="http://schemas.openxmlformats.org/officeDocument/2006/relationships/hyperlink" Target="https://npotpz.ru/" TargetMode="External" Id="rId783" /><Relationship Type="http://schemas.openxmlformats.org/officeDocument/2006/relationships/hyperlink" Target="https://icatalog.expocentr.ru/ru/exhibitions/de590dc5-417d-11ee-80ce-a0d3c1fab97f" TargetMode="External" Id="rId784" /><Relationship Type="http://schemas.openxmlformats.org/officeDocument/2006/relationships/hyperlink" Target="https://fitofarm.ru/" TargetMode="External" Id="rId785" /><Relationship Type="http://schemas.openxmlformats.org/officeDocument/2006/relationships/hyperlink" Target="https://icatalog.expocentr.ru/ru/exhibitions/de590dc5-417d-11ee-80ce-a0d3c1fab97f" TargetMode="External" Id="rId786" /><Relationship Type="http://schemas.openxmlformats.org/officeDocument/2006/relationships/hyperlink" Target="https://chimavtomatika.ru/" TargetMode="External" Id="rId787" /><Relationship Type="http://schemas.openxmlformats.org/officeDocument/2006/relationships/hyperlink" Target="https://icatalog.expocentr.ru/ru/exhibitions/de590dc5-417d-11ee-80ce-a0d3c1fab97f" TargetMode="External" Id="rId788" /><Relationship Type="http://schemas.openxmlformats.org/officeDocument/2006/relationships/hyperlink" Target="https://www.engineering.tomsk.ru/about/" TargetMode="External" Id="rId789" /><Relationship Type="http://schemas.openxmlformats.org/officeDocument/2006/relationships/hyperlink" Target="https://icatalog.expocentr.ru/ru/exhibitions/de590dc5-417d-11ee-80ce-a0d3c1fab97f" TargetMode="External" Id="rId790" /><Relationship Type="http://schemas.openxmlformats.org/officeDocument/2006/relationships/hyperlink" Target="https://prokhim.ru/" TargetMode="External" Id="rId791" /><Relationship Type="http://schemas.openxmlformats.org/officeDocument/2006/relationships/hyperlink" Target="https://icatalog.expocentr.ru/ru/exhibitions/de590dc5-417d-11ee-80ce-a0d3c1fab97f" TargetMode="External" Id="rId792" /><Relationship Type="http://schemas.openxmlformats.org/officeDocument/2006/relationships/hyperlink" Target="https://alsariya.com/" TargetMode="External" Id="rId793" /><Relationship Type="http://schemas.openxmlformats.org/officeDocument/2006/relationships/hyperlink" Target="https://icatalog.expocentr.ru/ru/exhibitions/de590dc5-417d-11ee-80ce-a0d3c1fab97f" TargetMode="External" Id="rId794" /><Relationship Type="http://schemas.openxmlformats.org/officeDocument/2006/relationships/hyperlink" Target="http://i.moscow/" TargetMode="External" Id="rId795" /><Relationship Type="http://schemas.openxmlformats.org/officeDocument/2006/relationships/hyperlink" Target="https://icatalog.expocentr.ru/ru/exhibitions/de590dc5-417d-11ee-80ce-a0d3c1fab97f" TargetMode="External" Id="rId796" /><Relationship Type="http://schemas.openxmlformats.org/officeDocument/2006/relationships/hyperlink" Target="http://www.smartmedical.tech/" TargetMode="External" Id="rId797" /><Relationship Type="http://schemas.openxmlformats.org/officeDocument/2006/relationships/hyperlink" Target="https://icatalog.expocentr.ru/ru/exhibitions/de590dc5-417d-11ee-80ce-a0d3c1fab97f" TargetMode="External" Id="rId798" /><Relationship Type="http://schemas.openxmlformats.org/officeDocument/2006/relationships/hyperlink" Target="https://medlex.ru/" TargetMode="External" Id="rId799" /><Relationship Type="http://schemas.openxmlformats.org/officeDocument/2006/relationships/hyperlink" Target="https://icatalog.expocentr.ru/ru/exhibitions/de590dc5-417d-11ee-80ce-a0d3c1fab97f" TargetMode="External" Id="rId800" /><Relationship Type="http://schemas.openxmlformats.org/officeDocument/2006/relationships/hyperlink" Target="http://www.ldplast.ru/" TargetMode="External" Id="rId801" /><Relationship Type="http://schemas.openxmlformats.org/officeDocument/2006/relationships/hyperlink" Target="https://icatalog.expocentr.ru/ru/exhibitions/de590dc5-417d-11ee-80ce-a0d3c1fab97f" TargetMode="External" Id="rId802" /><Relationship Type="http://schemas.openxmlformats.org/officeDocument/2006/relationships/hyperlink" Target="http://pupro.ru/" TargetMode="External" Id="rId803" /><Relationship Type="http://schemas.openxmlformats.org/officeDocument/2006/relationships/hyperlink" Target="https://icatalog.expocentr.ru/ru/exhibitions/de590dc5-417d-11ee-80ce-a0d3c1fab97f" TargetMode="External" Id="rId804" /><Relationship Type="http://schemas.openxmlformats.org/officeDocument/2006/relationships/hyperlink" Target="http://visionero.ru/" TargetMode="External" Id="rId805" /><Relationship Type="http://schemas.openxmlformats.org/officeDocument/2006/relationships/hyperlink" Target="https://icatalog.expocentr.ru/ru/exhibitions/de590dc5-417d-11ee-80ce-a0d3c1fab97f" TargetMode="External" Id="rId806" /><Relationship Type="http://schemas.openxmlformats.org/officeDocument/2006/relationships/hyperlink" Target="http://www.cryotone.ru/" TargetMode="External" Id="rId807" /><Relationship Type="http://schemas.openxmlformats.org/officeDocument/2006/relationships/hyperlink" Target="https://icatalog.expocentr.ru/ru/exhibitions/9daad3de-f999-11ef-80ce-a0d3c1fab97f" TargetMode="External" Id="rId808" /><Relationship Type="http://schemas.openxmlformats.org/officeDocument/2006/relationships/hyperlink" Target="http://www.biomera.ru/" TargetMode="External" Id="rId809" /><Relationship Type="http://schemas.openxmlformats.org/officeDocument/2006/relationships/hyperlink" Target="https://icatalog.expocentr.ru/ru/exhibitions/9daad3de-f999-11ef-80ce-a0d3c1fab97f" TargetMode="External" Id="rId810" /><Relationship Type="http://schemas.openxmlformats.org/officeDocument/2006/relationships/hyperlink" Target="http://www.sovprof.ru/" TargetMode="External" Id="rId811" /><Relationship Type="http://schemas.openxmlformats.org/officeDocument/2006/relationships/hyperlink" Target="https://icatalog.expocentr.ru/ru/exhibitions/9daad3de-f999-11ef-80ce-a0d3c1fab97f" TargetMode="External" Id="rId812" /><Relationship Type="http://schemas.openxmlformats.org/officeDocument/2006/relationships/hyperlink" Target="https://deep.online/ru" TargetMode="External" Id="rId813" /><Relationship Type="http://schemas.openxmlformats.org/officeDocument/2006/relationships/hyperlink" Target="https://icatalog.expocentr.ru/ru/exhibitions/9daad3de-f999-11ef-80ce-a0d3c1fab97f" TargetMode="External" Id="rId814" /><Relationship Type="http://schemas.openxmlformats.org/officeDocument/2006/relationships/hyperlink" Target="https://frontmed.ru/" TargetMode="External" Id="rId815" /><Relationship Type="http://schemas.openxmlformats.org/officeDocument/2006/relationships/hyperlink" Target="https://icatalog.expocentr.ru/ru/exhibitions/9daad3de-f999-11ef-80ce-a0d3c1fab97f" TargetMode="External" Id="rId816" /><Relationship Type="http://schemas.openxmlformats.org/officeDocument/2006/relationships/hyperlink" Target="http://beautylinergroup.ru/" TargetMode="External" Id="rId817" /><Relationship Type="http://schemas.openxmlformats.org/officeDocument/2006/relationships/hyperlink" Target="https://icatalog.expocentr.ru/ru/exhibitions/9daad3de-f999-11ef-80ce-a0d3c1fab97f" TargetMode="External" Id="rId818" /><Relationship Type="http://schemas.openxmlformats.org/officeDocument/2006/relationships/hyperlink" Target="http://vacuvit.com/" TargetMode="External" Id="rId819" /><Relationship Type="http://schemas.openxmlformats.org/officeDocument/2006/relationships/hyperlink" Target="https://icatalog.expocentr.ru/ru/exhibitions/9daad3de-f999-11ef-80ce-a0d3c1fab97f" TargetMode="External" Id="rId820" /><Relationship Type="http://schemas.openxmlformats.org/officeDocument/2006/relationships/hyperlink" Target="http://www.alpenpharma.ru/" TargetMode="External" Id="rId821" /><Relationship Type="http://schemas.openxmlformats.org/officeDocument/2006/relationships/hyperlink" Target="https://icatalog.expocentr.ru/ru/exhibitions/9daad3de-f999-11ef-80ce-a0d3c1fab97f" TargetMode="External" Id="rId822" /><Relationship Type="http://schemas.openxmlformats.org/officeDocument/2006/relationships/hyperlink" Target="https://dentdealer.ru/" TargetMode="External" Id="rId823" /><Relationship Type="http://schemas.openxmlformats.org/officeDocument/2006/relationships/hyperlink" Target="https://icatalog.expocentr.ru/ru/exhibitions/9daad3de-f999-11ef-80ce-a0d3c1fab97f" TargetMode="External" Id="rId824" /><Relationship Type="http://schemas.openxmlformats.org/officeDocument/2006/relationships/hyperlink" Target="https://agroturg.ru/" TargetMode="External" Id="rId825" /><Relationship Type="http://schemas.openxmlformats.org/officeDocument/2006/relationships/hyperlink" Target="https://icatalog.expocentr.ru/ru/exhibitions/9daad3de-f999-11ef-80ce-a0d3c1fab97f" TargetMode="External" Id="rId826" /><Relationship Type="http://schemas.openxmlformats.org/officeDocument/2006/relationships/hyperlink" Target="https://roimax.ru/" TargetMode="External" Id="rId827" /><Relationship Type="http://schemas.openxmlformats.org/officeDocument/2006/relationships/hyperlink" Target="https://icatalog.expocentr.ru/ru/exhibitions/9daad3de-f999-11ef-80ce-a0d3c1fab97f" TargetMode="External" Id="rId828" /><Relationship Type="http://schemas.openxmlformats.org/officeDocument/2006/relationships/hyperlink" Target="http://www.vt66.ru/" TargetMode="External" Id="rId829" /><Relationship Type="http://schemas.openxmlformats.org/officeDocument/2006/relationships/hyperlink" Target="https://icatalog.expocentr.ru/ru/exhibitions/9daad3de-f999-11ef-80ce-a0d3c1fab97f" TargetMode="External" Id="rId830" /><Relationship Type="http://schemas.openxmlformats.org/officeDocument/2006/relationships/hyperlink" Target="http://www.mriyaresort.com/" TargetMode="External" Id="rId831" /></Relationships>
</file>

<file path=xl/worksheets/sheet1.xml><?xml version="1.0" encoding="utf-8"?>
<worksheet xmlns="http://schemas.openxmlformats.org/spreadsheetml/2006/main">
  <sheetPr filterMode="1">
    <outlinePr summaryBelow="1" summaryRight="1"/>
    <pageSetUpPr/>
  </sheetPr>
  <dimension ref="A1:O1000"/>
  <sheetViews>
    <sheetView workbookViewId="0">
      <pane ySplit="1" topLeftCell="A2" activePane="bottomLeft" state="frozen"/>
      <selection pane="bottomLeft" activeCell="C1" sqref="C1"/>
    </sheetView>
  </sheetViews>
  <sheetFormatPr baseColWidth="10" defaultColWidth="10.140625" defaultRowHeight="15" customHeight="1"/>
  <cols>
    <col width="58" customWidth="1" min="1" max="1"/>
    <col width="13.140625" customWidth="1" min="2" max="2"/>
    <col width="18.85546875" customWidth="1" min="3" max="3"/>
    <col width="14.85546875" customWidth="1" min="4" max="4"/>
    <col width="62" customWidth="1" min="5" max="5"/>
    <col width="38.140625" customWidth="1" min="6" max="6"/>
    <col width="25.28515625" customWidth="1" min="7" max="7"/>
    <col width="61.42578125" customWidth="1" min="8" max="8"/>
    <col width="61" customWidth="1" min="9" max="9"/>
    <col width="16.5703125" customWidth="1" min="10" max="10"/>
    <col width="9.42578125" customWidth="1" min="11" max="11"/>
    <col width="59.5703125" customWidth="1" min="12" max="12"/>
    <col width="26.7109375" customWidth="1" min="13" max="13"/>
    <col width="21.42578125" customWidth="1" min="14" max="14"/>
    <col width="9.42578125" customWidth="1" min="15" max="26"/>
  </cols>
  <sheetData>
    <row r="1" ht="15.75" customHeight="1">
      <c r="A1" s="1" t="inlineStr">
        <is>
          <t>Компания</t>
        </is>
      </c>
      <c r="B1" s="1" t="inlineStr">
        <is>
          <t>Стенд</t>
        </is>
      </c>
      <c r="C1" s="1" t="inlineStr">
        <is>
          <t>Страна</t>
        </is>
      </c>
      <c r="D1" s="1" t="inlineStr">
        <is>
          <t>Город</t>
        </is>
      </c>
      <c r="E1" s="1" t="inlineStr">
        <is>
          <t>Адрес</t>
        </is>
      </c>
      <c r="F1" s="1" t="inlineStr">
        <is>
          <t>Сайт</t>
        </is>
      </c>
      <c r="G1" s="1" t="inlineStr">
        <is>
          <t>E-mail</t>
        </is>
      </c>
      <c r="H1" s="2" t="inlineStr">
        <is>
          <t>Описание</t>
        </is>
      </c>
      <c r="I1" s="2" t="inlineStr">
        <is>
          <t>Рубрики</t>
        </is>
      </c>
      <c r="J1" s="3" t="inlineStr">
        <is>
          <t>Производитель / Поставщик Услуг</t>
        </is>
      </c>
      <c r="K1" s="4" t="inlineStr">
        <is>
          <t>Проверка</t>
        </is>
      </c>
      <c r="L1" s="4" t="inlineStr">
        <is>
          <t>Продукция</t>
        </is>
      </c>
      <c r="M1" s="5" t="inlineStr">
        <is>
          <t>Конференция</t>
        </is>
      </c>
      <c r="N1" s="5" t="inlineStr">
        <is>
          <t>Конференция вебсайт</t>
        </is>
      </c>
      <c r="O1" s="6" t="inlineStr">
        <is>
          <t>Компания (сокращенно)</t>
        </is>
      </c>
    </row>
    <row r="2" ht="15.75" customHeight="1">
      <c r="A2" s="1" t="inlineStr">
        <is>
          <t>249cloud</t>
        </is>
      </c>
      <c r="B2" s="1" t="inlineStr">
        <is>
          <t>11A096</t>
        </is>
      </c>
      <c r="C2" s="1" t="inlineStr">
        <is>
          <t>Россия</t>
        </is>
      </c>
      <c r="D2" s="1" t="inlineStr">
        <is>
          <t>Владимир</t>
        </is>
      </c>
      <c r="E2" s="1" t="inlineStr">
        <is>
          <t>Россия, 600005, г. Владимир, ул. Мира, д. 34, оф. 204А</t>
        </is>
      </c>
      <c r="F2" s="1" t="inlineStr">
        <is>
          <t>https://www.249cloud.ru</t>
        </is>
      </c>
      <c r="G2" s="1" t="inlineStr">
        <is>
          <t>ragnarz@mail.ru</t>
        </is>
      </c>
      <c r="H2" s="2" t="inlineStr">
        <is>
          <t>249 Cloud — агентство комплексного маркетинга для компаний фармацевтической и медицинской отрасли. Аналитика бренда и каналов продвижения, разработка нейминга, упаковки, CLM-материалов, digital-проектов, организация внутренних и внешних мероприятий, выставок, цикловых конференций.</t>
        </is>
      </c>
      <c r="I2" s="2" t="inlineStr">
        <is>
          <t>Аналитика рынка, консалтинг; Информационные системы администрирования / программное обеспечение; Коммуникационные системы</t>
        </is>
      </c>
      <c r="J2" s="1">
        <f>IFERROR(__xludf.DUMMYFUNCTION("AI(Prompt!$B$6, H2:I2)"),"Поставщик услуг")</f>
        <v/>
      </c>
      <c r="K2" s="1">
        <f>IFERROR(__xludf.DUMMYFUNCTION("AI(Prompt!$B$12, H2:J2)"),"OK")</f>
        <v/>
      </c>
      <c r="L2" s="1">
        <f>IFERROR(__xludf.DUMMYFUNCTION("AI(Prompt!$B$17, H2:I2)"),"упаковки, материалы и программное обеспечение")</f>
        <v/>
      </c>
      <c r="M2" s="5" t="inlineStr">
        <is>
          <t>ЗДОРОВЫЙ ОБРАЗ ЖИЗНИ-2025</t>
        </is>
      </c>
      <c r="N2" s="7" t="inlineStr">
        <is>
          <t>https://www.zdravo-expo.ru/</t>
        </is>
      </c>
      <c r="O2" s="1">
        <f>IFERROR(__xludf.DUMMYFUNCTION("AI(Prompt!$B$21,A2)"),"249cloud")</f>
        <v/>
      </c>
    </row>
    <row r="3" ht="15.75" customHeight="1">
      <c r="A3" s="1" t="inlineStr">
        <is>
          <t>4Clinic</t>
        </is>
      </c>
      <c r="B3" s="1" t="inlineStr">
        <is>
          <t>11D065</t>
        </is>
      </c>
      <c r="C3" s="1" t="inlineStr">
        <is>
          <t>Россия</t>
        </is>
      </c>
      <c r="D3" s="1" t="inlineStr">
        <is>
          <t>Москва</t>
        </is>
      </c>
      <c r="E3" s="1" t="inlineStr">
        <is>
          <t>Россия, 109559, г. Москва, ул. Верхние Поля, д. 45, корп. 4</t>
        </is>
      </c>
      <c r="F3" s="1" t="inlineStr">
        <is>
          <t>http://4Clinic.ru</t>
        </is>
      </c>
      <c r="G3" s="1" t="inlineStr">
        <is>
          <t>info@4clinic.ru</t>
        </is>
      </c>
      <c r="H3" s="2" t="inlineStr">
        <is>
          <t>4Clinic — международная компания с офисами в России и СНГ, поставляющая диагностическое и реабилитационное оборудование. Собственный учебный центр; организация международных конгрессов для специалистов.</t>
        </is>
      </c>
      <c r="I3" s="2" t="inlineStr">
        <is>
          <t>Ультразвуковые сканеры и диагностические системы; Оборудование для ударно-волновой терапии; Оборудование для магнитотерапии; Оборудование для лазерной терапии; Оборудование для криотерапии; Учебные пособия</t>
        </is>
      </c>
      <c r="J3" s="1">
        <f>IFERROR(__xludf.DUMMYFUNCTION("AI(Prompt!$B$6, H3:I3)"),"Дилер")</f>
        <v/>
      </c>
      <c r="K3" s="1">
        <f>IFERROR(__xludf.DUMMYFUNCTION("AI(Prompt!$B$12, H3:J3)"),"OK")</f>
        <v/>
      </c>
      <c r="L3" s="1">
        <f>IFERROR(__xludf.DUMMYFUNCTION("AI(Prompt!$B$17, H3:I3)"),"оборудование, сканеры и пособия")</f>
        <v/>
      </c>
      <c r="M3" s="5" t="inlineStr">
        <is>
          <t>ЗДОРОВЫЙ ОБРАЗ ЖИЗНИ-2025</t>
        </is>
      </c>
      <c r="N3" s="7" t="inlineStr">
        <is>
          <t>https://www.zdravo-expo.ru/</t>
        </is>
      </c>
      <c r="O3" s="1">
        <f>IFERROR(__xludf.DUMMYFUNCTION("AI(Prompt!$B$21,A3)"),"4Clinic")</f>
        <v/>
      </c>
    </row>
    <row r="4" ht="15.75" customHeight="1">
      <c r="A4" s="1" t="inlineStr">
        <is>
          <t>ACCUNIQ</t>
        </is>
      </c>
      <c r="B4" s="1" t="inlineStr">
        <is>
          <t>11F020</t>
        </is>
      </c>
      <c r="C4" s="1" t="inlineStr">
        <is>
          <t>Россия</t>
        </is>
      </c>
      <c r="D4" s="1" t="inlineStr">
        <is>
          <t>Москва</t>
        </is>
      </c>
      <c r="E4" s="1" t="inlineStr">
        <is>
          <t>Россия, 123290, г. Москва, 1-й Магистральный тупик, д. 5а, БЦ «Магистраль Плаза», д. 10, стр. 1, оф. 802</t>
        </is>
      </c>
      <c r="F4" s="1" t="inlineStr">
        <is>
          <t>https://www.accuniq.ru</t>
        </is>
      </c>
      <c r="G4" s="1" t="inlineStr">
        <is>
          <t>info@accuniq.ru</t>
        </is>
      </c>
      <c r="H4" s="2" t="inlineStr">
        <is>
          <t>ACCUNIQ — международный производитель биоимпедансных анализаторов. Безлучевая безопасная диагностика за 1 минуту с высокой точностью для врачей и центров здоровья.</t>
        </is>
      </c>
      <c r="I4" s="2" t="inlineStr">
        <is>
          <t>Прочие диагностические устройства; Терапевтическое оборудование; Профилактическая медицина, увеличение продолжительности жизни</t>
        </is>
      </c>
      <c r="J4" s="1">
        <f>IFERROR(__xludf.DUMMYFUNCTION("AI(Prompt!$B$6, H4:I4)"),"Производитель")</f>
        <v/>
      </c>
      <c r="K4" s="1">
        <f>IFERROR(__xludf.DUMMYFUNCTION("AI(Prompt!$B$12, H4:J4)"),"OK")</f>
        <v/>
      </c>
      <c r="L4" s="1">
        <f>IFERROR(__xludf.DUMMYFUNCTION("AI(Prompt!$B$17, H4:I4)"),"анализаторы, диагностические устройства и терапевтическое оборудование")</f>
        <v/>
      </c>
      <c r="M4" s="5" t="inlineStr">
        <is>
          <t>ЗДОРОВЫЙ ОБРАЗ ЖИЗНИ-2025</t>
        </is>
      </c>
      <c r="N4" s="7" t="inlineStr">
        <is>
          <t>https://www.zdravo-expo.ru/</t>
        </is>
      </c>
      <c r="O4" s="1">
        <f>IFERROR(__xludf.DUMMYFUNCTION("AI(Prompt!$B$21,A4)"),"Accuniq")</f>
        <v/>
      </c>
    </row>
    <row r="5" ht="15.75" customHeight="1">
      <c r="A5" s="1" t="inlineStr">
        <is>
          <t>AMERICAN MOTION FITNESS</t>
        </is>
      </c>
      <c r="B5" s="1" t="inlineStr">
        <is>
          <t>11C094</t>
        </is>
      </c>
      <c r="C5" s="1" t="inlineStr">
        <is>
          <t>Россия</t>
        </is>
      </c>
      <c r="D5" s="1" t="inlineStr">
        <is>
          <t>Санкт-Петербург</t>
        </is>
      </c>
      <c r="E5" s="1" t="inlineStr">
        <is>
          <t>Россия, 192289, г. Санкт-Петербург, ул. Софийская, д. 66, литера B, пом. 128</t>
        </is>
      </c>
      <c r="F5" s="1" t="inlineStr">
        <is>
          <t>http://amfp.ru</t>
        </is>
      </c>
      <c r="G5" s="1" t="inlineStr">
        <is>
          <t>emfitness@mail.ru</t>
        </is>
      </c>
      <c r="H5" s="2" t="inlineStr">
        <is>
          <t>Поставка и реализация спортивного и реабилитационного оборудования.</t>
        </is>
      </c>
      <c r="I5" s="2" t="inlineStr">
        <is>
          <t>Реабилитационное оборудование; Тренажеры; Фитнес и спорт; Спортивные тренажеры и оборудование; Средства для спорта, отдыха, досуга</t>
        </is>
      </c>
      <c r="J5" s="1">
        <f>IFERROR(__xludf.DUMMYFUNCTION("AI(Prompt!$B$6, H5:I5)"),"Дилер")</f>
        <v/>
      </c>
      <c r="K5" s="1">
        <f>IFERROR(__xludf.DUMMYFUNCTION("AI(Prompt!$B$12, H5:J5)"),"OK")</f>
        <v/>
      </c>
      <c r="L5" s="2">
        <f>IFERROR(__xludf.DUMMYFUNCTION("AI(Prompt!$B$17, H5:I5)"),"реабилитационное оборудование и тренажеры")</f>
        <v/>
      </c>
      <c r="M5" s="5" t="inlineStr">
        <is>
          <t>ЗДОРОВЫЙ ОБРАЗ ЖИЗНИ-2025</t>
        </is>
      </c>
      <c r="N5" s="7" t="inlineStr">
        <is>
          <t>https://www.zdravo-expo.ru/</t>
        </is>
      </c>
      <c r="O5" s="1">
        <f>IFERROR(__xludf.DUMMYFUNCTION("AI(Prompt!$B$21,A5)"),"American Motion Fitness")</f>
        <v/>
      </c>
    </row>
    <row r="6" ht="15.75" customHeight="1">
      <c r="A6" s="1" t="inlineStr">
        <is>
          <t>B.PHYSIOTHERAPY</t>
        </is>
      </c>
      <c r="B6" s="1" t="inlineStr">
        <is>
          <t>11F074</t>
        </is>
      </c>
      <c r="C6" s="1" t="inlineStr">
        <is>
          <t>Россия</t>
        </is>
      </c>
      <c r="D6" s="1" t="inlineStr">
        <is>
          <t>Ростов-на-Дону</t>
        </is>
      </c>
      <c r="E6" s="1" t="inlineStr">
        <is>
          <t>Россия, 344000, г. Ростов-на-Дону</t>
        </is>
      </c>
      <c r="F6" s="1" t="inlineStr">
        <is>
          <t>https://docbasyr.ru</t>
        </is>
      </c>
      <c r="H6" s="2" t="inlineStr">
        <is>
          <t>B.PHYSIOTHERAPY специализируется на продаже высококачественного современного оборудования для физиотерапии, массажа и реабилитации.</t>
        </is>
      </c>
      <c r="I6" s="2" t="inlineStr">
        <is>
          <t>Физиотерапия и реабилитация; Оборудование для ударно-волновой терапии; Оборудование для магнитотерапии; Оборудование для вакуум-терапии; Оборудование для лазерной терапии; Реабилитационное оборудование</t>
        </is>
      </c>
      <c r="J6" s="1">
        <f>IFERROR(__xludf.DUMMYFUNCTION("AI(Prompt!$B$6, H6:I6)"),"Дилер")</f>
        <v/>
      </c>
      <c r="K6" s="1">
        <f>IFERROR(__xludf.DUMMYFUNCTION("AI(Prompt!$B$12, H6:J6)"),"OK")</f>
        <v/>
      </c>
      <c r="L6" s="2">
        <f>IFERROR(__xludf.DUMMYFUNCTION("AI(Prompt!$B$17, H6:I6)"),"оборудование для физиотерапии, массажа и реабилитации")</f>
        <v/>
      </c>
      <c r="M6" s="5" t="inlineStr">
        <is>
          <t>ЗДОРОВЫЙ ОБРАЗ ЖИЗНИ-2025</t>
        </is>
      </c>
      <c r="N6" s="7" t="inlineStr">
        <is>
          <t>https://www.zdravo-expo.ru/</t>
        </is>
      </c>
      <c r="O6" s="1">
        <f>IFERROR(__xludf.DUMMYFUNCTION("AI(Prompt!$B$21,A6)"),"B.Physiotherapy")</f>
        <v/>
      </c>
    </row>
    <row r="7" ht="15.75" customHeight="1">
      <c r="A7" s="1" t="inlineStr">
        <is>
          <t>CERAGEM</t>
        </is>
      </c>
      <c r="B7" s="8" t="n">
        <v>1.1e+76</v>
      </c>
      <c r="C7" s="1" t="inlineStr">
        <is>
          <t>Россия</t>
        </is>
      </c>
      <c r="D7" s="1" t="inlineStr">
        <is>
          <t>Москва</t>
        </is>
      </c>
      <c r="E7" s="1" t="inlineStr">
        <is>
          <t>Россия, 129110, г. Москва, просп. Мира, д. 68, пом. 5/1</t>
        </is>
      </c>
      <c r="F7" s="1" t="inlineStr">
        <is>
          <t>http://www.center-ceragem.ru</t>
        </is>
      </c>
      <c r="G7" s="1" t="inlineStr">
        <is>
          <t>ptovkach@mail.ru</t>
        </is>
      </c>
      <c r="H7" s="2" t="inlineStr">
        <is>
          <t>Производство и продажа бытовой медицинской техники. Предоставление медицинских услуг.</t>
        </is>
      </c>
      <c r="I7" s="2" t="inlineStr">
        <is>
          <t>Оборудование для термотерапии; Оборудование для вибротерапии и массажа; Бальнеологическое оборудование; Оборудование для компрессионной терапии; Акупунктура; Ортопедическое оборудование и инструменты</t>
        </is>
      </c>
      <c r="J7" s="1">
        <f>IFERROR(__xludf.DUMMYFUNCTION("AI(Prompt!$B$6, H7:I7)"),"Производитель")</f>
        <v/>
      </c>
      <c r="K7" s="1">
        <f>IFERROR(__xludf.DUMMYFUNCTION("AI(Prompt!$B$12, H7:J7)"),"OK")</f>
        <v/>
      </c>
      <c r="L7" s="2">
        <f>IFERROR(__xludf.DUMMYFUNCTION("AI(Prompt!$B$17, H7:I7)"),"бытовая медицинская техника, бальнеологическое и ортопедическое оборудование")</f>
        <v/>
      </c>
      <c r="M7" s="5" t="inlineStr">
        <is>
          <t>ЗДОРОВЫЙ ОБРАЗ ЖИЗНИ-2025</t>
        </is>
      </c>
      <c r="N7" s="7" t="inlineStr">
        <is>
          <t>https://www.zdravo-expo.ru/</t>
        </is>
      </c>
      <c r="O7" s="1">
        <f>IFERROR(__xludf.DUMMYFUNCTION("AI(Prompt!$B$21,A7)"),"Ceragem")</f>
        <v/>
      </c>
    </row>
    <row r="8" ht="15.75" customHeight="1">
      <c r="A8" s="1" t="inlineStr">
        <is>
          <t>ELMEDLIFE</t>
        </is>
      </c>
      <c r="B8" s="1" t="inlineStr">
        <is>
          <t>11F222</t>
        </is>
      </c>
      <c r="C8" s="1" t="inlineStr">
        <is>
          <t>Россия</t>
        </is>
      </c>
      <c r="D8" s="1" t="inlineStr">
        <is>
          <t>Нижний Новгород</t>
        </is>
      </c>
      <c r="E8" s="1" t="inlineStr">
        <is>
          <t>Россия, 603136, г. Нижний Новгород, ул. Ванеева, д. 229, пом. П7, комн. 6</t>
        </is>
      </c>
      <c r="F8" s="1" t="inlineStr">
        <is>
          <t>http://www.elmed.life</t>
        </is>
      </c>
      <c r="G8" s="1" t="inlineStr">
        <is>
          <t>gdl@elmed.life</t>
        </is>
      </c>
      <c r="H8" s="2" t="inlineStr">
        <is>
          <t>ООО «ЭЛТОРГ» — разработчик и производитель серии медицинских фототерапевтических аппаратов ELMEDLIFE. РУ РЗН 2022/17036. Входит в стандарт оснащения по Приказу 668Н. Имеет сертификат «Сделано в России».</t>
        </is>
      </c>
      <c r="I8" s="2" t="inlineStr">
        <is>
          <t>Физиотерапия и реабилитация; Оборудование для фототерапии; Реабилитационное оборудование; Фитнес и спорт; Профилактическая медицина, увеличение продолжительности жизни; Медицинские изделия для домашнего применения</t>
        </is>
      </c>
      <c r="J8" s="1">
        <f>IFERROR(__xludf.DUMMYFUNCTION("AI(Prompt!$B$6, H8:I8)"),"Производитель")</f>
        <v/>
      </c>
      <c r="K8" s="1">
        <f>IFERROR(__xludf.DUMMYFUNCTION("AI(Prompt!$B$12, H8:J8)"),"OK")</f>
        <v/>
      </c>
      <c r="L8" s="2">
        <f>IFERROR(__xludf.DUMMYFUNCTION("AI(Prompt!$B$17, H8:I8)"),"медицинские аппараты, реабилитационное и фототерапевтическое оборудование")</f>
        <v/>
      </c>
      <c r="M8" s="5" t="inlineStr">
        <is>
          <t>ЗДОРОВЫЙ ОБРАЗ ЖИЗНИ-2025</t>
        </is>
      </c>
      <c r="N8" s="7" t="inlineStr">
        <is>
          <t>https://www.zdravo-expo.ru/</t>
        </is>
      </c>
      <c r="O8" s="1">
        <f>IFERROR(__xludf.DUMMYFUNCTION("AI(Prompt!$B$21,A8)"),"Elmedlife")</f>
        <v/>
      </c>
    </row>
    <row r="9" ht="15.75" customHeight="1">
      <c r="A9" s="1" t="inlineStr">
        <is>
          <t>HASTTINGS</t>
        </is>
      </c>
      <c r="B9" s="1" t="inlineStr">
        <is>
          <t>11A150</t>
        </is>
      </c>
      <c r="C9" s="1" t="inlineStr">
        <is>
          <t>Россия</t>
        </is>
      </c>
      <c r="D9" s="1" t="inlineStr">
        <is>
          <t>Москва</t>
        </is>
      </c>
      <c r="E9" s="1" t="inlineStr">
        <is>
          <t>Россия, 117587, г. Москва, ул. Кировоградская, д. 11, корп. 1, пом. 9</t>
        </is>
      </c>
      <c r="F9" s="1" t="inlineStr">
        <is>
          <t>http://hasttings.ru/catalog/rehabilitation/models/</t>
        </is>
      </c>
      <c r="G9" s="1" t="inlineStr">
        <is>
          <t>rehab@hasttings.ru</t>
        </is>
      </c>
      <c r="H9" s="2" t="inlineStr">
        <is>
          <t>Поставщик тренажеров для физической реабилитации и фитнеса от мировых брендов Spirit и Dayco. Наши шоурум, офис и склад расположены в Москве. Сотрудничая с нами, партнеры растут и привлекают более лояльных клиентов.</t>
        </is>
      </c>
      <c r="I9" s="2" t="inlineStr">
        <is>
          <t>Физиотерапия и реабилитация; Реабилитационное оборудование; Тренажеры; Фитнес и спорт; Спортивные тренажеры и оборудование; Принадлежности для фитнеса</t>
        </is>
      </c>
      <c r="J9" s="1">
        <f>IFERROR(__xludf.DUMMYFUNCTION("AI(Prompt!$B$6, H9:I9)"),"Дилер")</f>
        <v/>
      </c>
      <c r="K9" s="1">
        <f>IFERROR(__xludf.DUMMYFUNCTION("AI(Prompt!$B$12, H9:J9)"),"OK")</f>
        <v/>
      </c>
      <c r="L9" s="2">
        <f>IFERROR(__xludf.DUMMYFUNCTION("AI(Prompt!$B$17, H9:I9)"),"тренажеры, реабилитационное оборудование и принадлежности для фитнеса")</f>
        <v/>
      </c>
      <c r="M9" s="5" t="inlineStr">
        <is>
          <t>ЗДОРОВЫЙ ОБРАЗ ЖИЗНИ-2025</t>
        </is>
      </c>
      <c r="N9" s="7" t="inlineStr">
        <is>
          <t>https://www.zdravo-expo.ru/</t>
        </is>
      </c>
      <c r="O9" s="1">
        <f>IFERROR(__xludf.DUMMYFUNCTION("AI(Prompt!$B$21,A9)"),"Hasttings")</f>
        <v/>
      </c>
    </row>
    <row r="10" ht="15.75" customHeight="1">
      <c r="A10" s="1" t="inlineStr">
        <is>
          <t>HYDROGENIUM</t>
        </is>
      </c>
      <c r="B10" s="1" t="inlineStr">
        <is>
          <t>11D070</t>
        </is>
      </c>
      <c r="C10" s="1" t="inlineStr">
        <is>
          <t>Россия</t>
        </is>
      </c>
      <c r="D10" s="1" t="inlineStr">
        <is>
          <t>Москва</t>
        </is>
      </c>
      <c r="E10" s="1" t="inlineStr">
        <is>
          <t>Россия, г. Москва, Алтуфьевское ш., д. 27, оф. 201</t>
        </is>
      </c>
      <c r="F10" s="1" t="inlineStr">
        <is>
          <t>https://h2genium.ru</t>
        </is>
      </c>
      <c r="G10" s="1" t="inlineStr">
        <is>
          <t>info@h2genium.ru</t>
        </is>
      </c>
      <c r="H10" s="2" t="inlineStr">
        <is>
          <t>Ведущий российский разработчик и производитель аппаратных решений для водородных интервенций, специализирующийся на эффективном применении молекулярного водорода в медицине и косметологии.</t>
        </is>
      </c>
      <c r="I10" s="2" t="inlineStr">
        <is>
          <t>Производство медицинских изделий; Дерматология; Физиотерапия и реабилитация; Реабилитационное оборудование; Фитнес и спорт; Эстетическая медицина и косметология</t>
        </is>
      </c>
      <c r="J10" s="1">
        <f>IFERROR(__xludf.DUMMYFUNCTION("AI(Prompt!$B$6, H10:I10)"),"Производитель")</f>
        <v/>
      </c>
      <c r="K10" s="1">
        <f>IFERROR(__xludf.DUMMYFUNCTION("AI(Prompt!$B$12, H10:J10)"),"OK")</f>
        <v/>
      </c>
      <c r="L10" s="2">
        <f>IFERROR(__xludf.DUMMYFUNCTION("AI(Prompt!$B$17, H10:I10)"),"аппаратные решения, медицинские изделия и оборудование")</f>
        <v/>
      </c>
      <c r="M10" s="5" t="inlineStr">
        <is>
          <t>ЗДОРОВЫЙ ОБРАЗ ЖИЗНИ-2025</t>
        </is>
      </c>
      <c r="N10" s="7" t="inlineStr">
        <is>
          <t>https://www.zdravo-expo.ru/</t>
        </is>
      </c>
      <c r="O10" s="1">
        <f>IFERROR(__xludf.DUMMYFUNCTION("AI(Prompt!$B$21,A10)"),"Hydrogenium")</f>
        <v/>
      </c>
    </row>
    <row r="11" hidden="1" ht="15.75" customHeight="1">
      <c r="A11" s="1" t="inlineStr">
        <is>
          <t>ILKELAS TEKSTIL SAN. VE DIS. TIC. LTD. STI.</t>
        </is>
      </c>
      <c r="B11" s="1" t="inlineStr">
        <is>
          <t>11C010</t>
        </is>
      </c>
      <c r="C11" s="1" t="inlineStr">
        <is>
          <t>Турция</t>
        </is>
      </c>
      <c r="E11" s="1" t="inlineStr">
        <is>
          <t>Турция</t>
        </is>
      </c>
      <c r="F11" s="1" t="inlineStr">
        <is>
          <t>https://www.variteks.com</t>
        </is>
      </c>
      <c r="G11" s="1" t="inlineStr">
        <is>
          <t>info@variteks.com</t>
        </is>
      </c>
      <c r="H11" s="1" t="inlineStr">
        <is>
          <t>Первый турецкий производитель ортопедических и компрессионных изделий. Продукция сертифицирована и представлена в 85 странах мира, теперь и в России. Официальный дистрибьютор в РФ — Fortis Orto.</t>
        </is>
      </c>
      <c r="I11" s="1" t="inlineStr">
        <is>
          <t>Ортопедическое оборудование и инструменты</t>
        </is>
      </c>
      <c r="J11" s="1">
        <f>IFERROR(__xludf.DUMMYFUNCTION("AI(Prompt!$B$6, H11:I11)"),"Производитель")</f>
        <v/>
      </c>
      <c r="K11" s="1">
        <f>IFERROR(__xludf.DUMMYFUNCTION("AI(Prompt!$B$12, H11:J11)"),"OK")</f>
        <v/>
      </c>
      <c r="L11" s="2">
        <f>IFERROR(__xludf.DUMMYFUNCTION("AI(Prompt!$B$17, H11:I11)"),"ортопедические и компрессионные изделия, оборудование, инструменты")</f>
        <v/>
      </c>
      <c r="M11" s="5" t="inlineStr">
        <is>
          <t>ЗДОРОВЫЙ ОБРАЗ ЖИЗНИ-2025</t>
        </is>
      </c>
      <c r="N11" s="7" t="inlineStr">
        <is>
          <t>https://www.zdravo-expo.ru/</t>
        </is>
      </c>
      <c r="O11" s="1">
        <f>IFERROR(__xludf.DUMMYFUNCTION("AI(Prompt!$B$21,A11)"),"Ilkelas Tekstil")</f>
        <v/>
      </c>
    </row>
    <row r="12" ht="15.75" customHeight="1">
      <c r="A12" s="1" t="inlineStr">
        <is>
          <t>IMPULSE DEVICE</t>
        </is>
      </c>
      <c r="B12" s="1" t="inlineStr">
        <is>
          <t>11F022</t>
        </is>
      </c>
      <c r="C12" s="1" t="inlineStr">
        <is>
          <t>Россия</t>
        </is>
      </c>
      <c r="D12" s="1" t="inlineStr">
        <is>
          <t>Москва</t>
        </is>
      </c>
      <c r="E12" s="1" t="inlineStr">
        <is>
          <t>Россия, 115280, г. Москва, ул. Ленинская Слобода, д. 19, стр. 5, этаж 3</t>
        </is>
      </c>
      <c r="F12" s="1" t="inlineStr">
        <is>
          <t>https://impulse-device.ru</t>
        </is>
      </c>
      <c r="G12" s="1" t="inlineStr">
        <is>
          <t>hello@impulse-device.ru</t>
        </is>
      </c>
      <c r="H12" s="2" t="inlineStr">
        <is>
          <t>Impulse Device — пространство, где технологии сочетаются с эстетикой и заботой о теле. Мы создаем не просто устройства, а инструменты для нового образа жизни — эффективные, безопасные и стильные.</t>
        </is>
      </c>
      <c r="I12" s="2" t="inlineStr">
        <is>
          <t>Дерматология; Физиотерапия и реабилитация; Фитнес и спорт; Эстетическая медицина и косметология; Средства гигиены полости рта; Ортопедия и травматология</t>
        </is>
      </c>
      <c r="J12" s="1">
        <f>IFERROR(__xludf.DUMMYFUNCTION("AI(Prompt!$B$6, H12:I12)"),"Производитель")</f>
        <v/>
      </c>
      <c r="K12" s="1">
        <f>IFERROR(__xludf.DUMMYFUNCTION("AI(Prompt!$B$12, H12:J12)"),"OK")</f>
        <v/>
      </c>
      <c r="L12" s="2">
        <f>IFERROR(__xludf.DUMMYFUNCTION("AI(Prompt!$B$17, H12:I12)"),"устройства и инструменты")</f>
        <v/>
      </c>
      <c r="M12" s="5" t="inlineStr">
        <is>
          <t>ЗДОРОВЫЙ ОБРАЗ ЖИЗНИ-2025</t>
        </is>
      </c>
      <c r="N12" s="7" t="inlineStr">
        <is>
          <t>https://www.zdravo-expo.ru/</t>
        </is>
      </c>
      <c r="O12" s="1">
        <f>IFERROR(__xludf.DUMMYFUNCTION("AI(Prompt!$B$21,A12)"),"Impulse Device")</f>
        <v/>
      </c>
    </row>
    <row r="13" hidden="1" ht="15.75" customHeight="1">
      <c r="A13" s="1" t="inlineStr">
        <is>
          <t>INTRAROS CO. LTD</t>
        </is>
      </c>
      <c r="B13" s="1" t="inlineStr">
        <is>
          <t>11D030</t>
        </is>
      </c>
      <c r="C13" s="1" t="inlineStr">
        <is>
          <t>Республика Корея</t>
        </is>
      </c>
      <c r="E13" s="1" t="inlineStr">
        <is>
          <t>Россия, г. Москва, ул. Вавилова, д. 81, корп. 1, офис 22Office 22, Bldg. 1, 81, Vavilova Str., Moscow RussiaTEL +7 (495) 505-6776E-mail: valentina@intraros.comInternet: https://intraros.ru</t>
        </is>
      </c>
      <c r="H13" s="1" t="inlineStr">
        <is>
          <t>Компания INTRAROS – ведущий поставщик медицинских изделий и товаров для красоты и здоровья, а также современного оборудования и сырья для производства изделий медицинского назначения.</t>
        </is>
      </c>
      <c r="I13" s="1" t="inlineStr">
        <is>
          <t>Одноразовые медицинские изделия прочие; Ортопедическое оборудование и инструменты; Ортезы</t>
        </is>
      </c>
      <c r="J13" s="1">
        <f>IFERROR(__xludf.DUMMYFUNCTION("AI(Prompt!$B$6, H13:I13)"),"Дилер")</f>
        <v/>
      </c>
      <c r="K13" s="1">
        <f>IFERROR(__xludf.DUMMYFUNCTION("AI(Prompt!$B$12, H13:J13)"),"OK")</f>
        <v/>
      </c>
      <c r="L13" s="2">
        <f>IFERROR(__xludf.DUMMYFUNCTION("AI(Prompt!$B$17, H13:I13)"),"медицинские изделия, товары для красоты и здоровья, оборудование и сырье")</f>
        <v/>
      </c>
      <c r="M13" s="5" t="inlineStr">
        <is>
          <t>ЗДОРОВЫЙ ОБРАЗ ЖИЗНИ-2025</t>
        </is>
      </c>
      <c r="N13" s="7" t="inlineStr">
        <is>
          <t>https://www.zdravo-expo.ru/</t>
        </is>
      </c>
      <c r="O13" s="1">
        <f>IFERROR(__xludf.DUMMYFUNCTION("AI(Prompt!$B$21,A13)"),"Intraros")</f>
        <v/>
      </c>
    </row>
    <row r="14" ht="15.75" customHeight="1">
      <c r="A14" s="1" t="inlineStr">
        <is>
          <t>LUDAO.RU (ZHANG BAO IE)</t>
        </is>
      </c>
      <c r="B14" s="1" t="inlineStr">
        <is>
          <t>11G150</t>
        </is>
      </c>
      <c r="C14" s="1" t="inlineStr">
        <is>
          <t>Россия</t>
        </is>
      </c>
      <c r="D14" s="1" t="inlineStr">
        <is>
          <t>Москва</t>
        </is>
      </c>
      <c r="E14" s="1" t="inlineStr">
        <is>
          <t>Россия, г. Москва, Ленинский просп., д. 60/2</t>
        </is>
      </c>
      <c r="F14" s="1" t="inlineStr">
        <is>
          <t>http://ludao.ru</t>
        </is>
      </c>
      <c r="G14" s="1" t="inlineStr">
        <is>
          <t>info@ludao.ru</t>
        </is>
      </c>
      <c r="H14" s="2" t="inlineStr">
        <is>
          <t>Компания LUDAO.RU (ИП «Чжан Бао») является официальным дистрибьютором компании HUAN QIU на территории Российской Федерации. Акупунктурные иглы и другие аксессуары для специалистов в области китайской медицины.</t>
        </is>
      </c>
      <c r="I14" s="2" t="inlineStr">
        <is>
          <t>Одноразовые медицинские изделия прочие; Акупунктура</t>
        </is>
      </c>
      <c r="J14" s="1">
        <f>IFERROR(__xludf.DUMMYFUNCTION("AI(Prompt!$B$6, H14:I14)"),"Дилер")</f>
        <v/>
      </c>
      <c r="K14" s="1">
        <f>IFERROR(__xludf.DUMMYFUNCTION("AI(Prompt!$B$12, H14:J14)"),"OK")</f>
        <v/>
      </c>
      <c r="L14" s="2">
        <f>IFERROR(__xludf.DUMMYFUNCTION("AI(Prompt!$B$17, H14:I14)"),"иглы, медицинские изделия и аксессуары")</f>
        <v/>
      </c>
      <c r="M14" s="5" t="inlineStr">
        <is>
          <t>ЗДОРОВЫЙ ОБРАЗ ЖИЗНИ-2025</t>
        </is>
      </c>
      <c r="N14" s="7" t="inlineStr">
        <is>
          <t>https://www.zdravo-expo.ru/</t>
        </is>
      </c>
      <c r="O14" s="1">
        <f>IFERROR(__xludf.DUMMYFUNCTION("AI(Prompt!$B$21,A14)"),"Lu Dao")</f>
        <v/>
      </c>
    </row>
    <row r="15" ht="15.75" customHeight="1">
      <c r="A15" s="1" t="inlineStr">
        <is>
          <t>MAX MASSAGE</t>
        </is>
      </c>
      <c r="B15" s="1" t="inlineStr">
        <is>
          <t>11C090</t>
        </is>
      </c>
      <c r="C15" s="1" t="inlineStr">
        <is>
          <t>Россия</t>
        </is>
      </c>
      <c r="E15" s="1" t="inlineStr">
        <is>
          <t>Россия, 188663, Ленинградская обл., Всеволожский р-н, Кузьмоловский массив, ул. Школьная, д. 2/4, кв. 152</t>
        </is>
      </c>
      <c r="F15" s="1" t="inlineStr">
        <is>
          <t>https://www.maxmassage.ru</t>
        </is>
      </c>
      <c r="G15" s="1" t="inlineStr">
        <is>
          <t>info@maxmassage.ru</t>
        </is>
      </c>
      <c r="H15" s="2" t="inlineStr">
        <is>
          <t>Компания «Макс Массаж» с 2012 года занимается продажей аппаратов прессотерапии для медучреждений. Цель компании – предотвращение развития многих заболеваний: профилактика варикоза, снятие отечности.</t>
        </is>
      </c>
      <c r="I15" s="2" t="inlineStr">
        <is>
          <t>Оборудование для вибротерапии и массажа; Оборудование для комбинированной физиотерапии; Реабилитационное оборудование; Средства, облегчающие передвижения; Оборудование для компрессионной терапии</t>
        </is>
      </c>
      <c r="J15" s="1">
        <f>IFERROR(__xludf.DUMMYFUNCTION("AI(Prompt!$B$6, H15:I15)"),"Дилер")</f>
        <v/>
      </c>
      <c r="K15" s="1">
        <f>IFERROR(__xludf.DUMMYFUNCTION("AI(Prompt!$B$12, H15:J15)"),"OK")</f>
        <v/>
      </c>
      <c r="L15" s="2">
        <f>IFERROR(__xludf.DUMMYFUNCTION("AI(Prompt!$B$17, H15:I15)"),"аппараты прессотерапии, реабилитационное и компрессионное оборудование")</f>
        <v/>
      </c>
      <c r="M15" s="5" t="inlineStr">
        <is>
          <t>ЗДОРОВЫЙ ОБРАЗ ЖИЗНИ-2025</t>
        </is>
      </c>
      <c r="N15" s="7" t="inlineStr">
        <is>
          <t>https://www.zdravo-expo.ru/</t>
        </is>
      </c>
      <c r="O15" s="1">
        <f>IFERROR(__xludf.DUMMYFUNCTION("AI(Prompt!$B$21,A15)"),"Max Massage")</f>
        <v/>
      </c>
    </row>
    <row r="16" ht="15.75" customHeight="1">
      <c r="A16" s="1" t="inlineStr">
        <is>
          <t>MAXLER</t>
        </is>
      </c>
      <c r="B16" s="1" t="inlineStr">
        <is>
          <t>11F082</t>
        </is>
      </c>
      <c r="C16" s="1" t="inlineStr">
        <is>
          <t>Россия</t>
        </is>
      </c>
      <c r="D16" s="1" t="inlineStr">
        <is>
          <t>Москва</t>
        </is>
      </c>
      <c r="E16" s="1" t="inlineStr">
        <is>
          <t>Россия, 125167, г. Москва, ул. Викторенко, д. 5, стр. 1</t>
        </is>
      </c>
      <c r="F16" s="1" t="inlineStr">
        <is>
          <t>http://www.maxler.ru</t>
        </is>
      </c>
      <c r="G16" s="1" t="inlineStr">
        <is>
          <t>greensportllc@gmail.com</t>
        </is>
      </c>
      <c r="H16" s="2" t="inlineStr">
        <is>
          <t>MAXLER — международный бренд с производством в Германии и США. С 2004 года производит качественные витамины, спортивное питание и пищевые добавки для людей, ведущих здоровый и активный образ жизни.</t>
        </is>
      </c>
      <c r="I16" s="2" t="inlineStr">
        <is>
          <t>Спортивное питание; Витаминно-минеральные комплексы, антиоксиданты; Биологически активные добавки к пище</t>
        </is>
      </c>
      <c r="J16" s="1">
        <f>IFERROR(__xludf.DUMMYFUNCTION("AI(Prompt!$B$6, H16:I16)"),"Производитель")</f>
        <v/>
      </c>
      <c r="K16" s="1">
        <f>IFERROR(__xludf.DUMMYFUNCTION("AI(Prompt!$B$12, H16:J16)"),"OK")</f>
        <v/>
      </c>
      <c r="L16" s="2">
        <f>IFERROR(__xludf.DUMMYFUNCTION("AI(Prompt!$B$17, H16:I16)"),"витамины, спортивное питание и добавки")</f>
        <v/>
      </c>
      <c r="M16" s="5" t="inlineStr">
        <is>
          <t>ЗДОРОВЫЙ ОБРАЗ ЖИЗНИ-2025</t>
        </is>
      </c>
      <c r="N16" s="7" t="inlineStr">
        <is>
          <t>https://www.zdravo-expo.ru/</t>
        </is>
      </c>
      <c r="O16" s="1">
        <f>IFERROR(__xludf.DUMMYFUNCTION("AI(Prompt!$B$21,A16)"),"Maxler")</f>
        <v/>
      </c>
    </row>
    <row r="17" ht="15.75" customHeight="1">
      <c r="A17" s="1" t="inlineStr">
        <is>
          <t>MDCPlanet</t>
        </is>
      </c>
      <c r="B17" s="1" t="inlineStr">
        <is>
          <t>11D115</t>
        </is>
      </c>
      <c r="C17" s="1" t="inlineStr">
        <is>
          <t>Россия</t>
        </is>
      </c>
      <c r="E17" s="1" t="inlineStr">
        <is>
          <t>Россия, 630559, Новосибирская обл., Новосибирский р-н, р. п. Кольцово</t>
        </is>
      </c>
      <c r="F17" s="1" t="inlineStr">
        <is>
          <t>http://mdcplanet.com</t>
        </is>
      </c>
      <c r="G17" s="1" t="inlineStr">
        <is>
          <t>mdcplanet@gmail.com</t>
        </is>
      </c>
      <c r="H17" s="2" t="inlineStr">
        <is>
          <t>MDCPlanet — экосистема, где человек не остается один: интернет-магазин ТСР, термопластик для ортезов, реацентр и платформа — сервис, который объединит участников реабилитации и создаст ТВОЙ маршрут.</t>
        </is>
      </c>
      <c r="I17" s="2" t="inlineStr">
        <is>
          <t>Производство медицинских изделий; Реабилитационное оборудование; Средства, облегчающие передвижения; Тренажеры; Социальные инвестиционные проекты, направленные на повышения уровня и качества жизни населения; Ортезы</t>
        </is>
      </c>
      <c r="J17" s="1">
        <f>IFERROR(__xludf.DUMMYFUNCTION("AI(Prompt!$B$6, H17:I17)"),"Производитель")</f>
        <v/>
      </c>
      <c r="K17" s="1">
        <f>IFERROR(__xludf.DUMMYFUNCTION("AI(Prompt!$B$12, H17:J17)"),"OK")</f>
        <v/>
      </c>
      <c r="L17" s="2">
        <f>IFERROR(__xludf.DUMMYFUNCTION("AI(Prompt!$B$17, H17:I17)"),"медицинские изделия, реабилитационное оборудование, ортезы и тренажеры")</f>
        <v/>
      </c>
      <c r="M17" s="5" t="inlineStr">
        <is>
          <t>ЗДОРОВЫЙ ОБРАЗ ЖИЗНИ-2025</t>
        </is>
      </c>
      <c r="N17" s="7" t="inlineStr">
        <is>
          <t>https://www.zdravo-expo.ru/</t>
        </is>
      </c>
      <c r="O17" s="1">
        <f>IFERROR(__xludf.DUMMYFUNCTION("AI(Prompt!$B$21,A17)"),"Mdcplanet")</f>
        <v/>
      </c>
    </row>
    <row r="18" ht="15.75" customHeight="1">
      <c r="A18" s="1" t="inlineStr">
        <is>
          <t>Ozon Банк</t>
        </is>
      </c>
      <c r="B18" s="1" t="inlineStr">
        <is>
          <t>11F094</t>
        </is>
      </c>
      <c r="C18" s="1" t="inlineStr">
        <is>
          <t>Россия</t>
        </is>
      </c>
      <c r="E18" s="1" t="inlineStr">
        <is>
          <t>Россия</t>
        </is>
      </c>
      <c r="F18" s="1" t="inlineStr">
        <is>
          <t>https://finance.ozon.ru/business</t>
        </is>
      </c>
      <c r="G18" s="1" t="inlineStr">
        <is>
          <t>business@finance.ozon.ru</t>
        </is>
      </c>
      <c r="H18" s="2" t="inlineStr">
        <is>
          <t>Ozon Банк – российский банк с лицензией ЦБ, который развивает финансовые и платежные сервисы для физических и юридических лиц: Ozon карту, накопительные счета и вклады, daily banking, факторинговые и кредитные продукты, РКО, эквайринг, онлайн-бухгалтерию и др. У банка более 34 млн активных клиентов.</t>
        </is>
      </c>
      <c r="I18" s="2" t="inlineStr">
        <is>
          <t>Приборы и аппараты для офтальмодиагностики; Стоматологическое оборудование и инструменты; Дерматология; Физиотерапия и реабилитация; Оборудование и средства для лапароскопии; Хирургическое оборудование</t>
        </is>
      </c>
      <c r="J18" s="1">
        <f>IFERROR(__xludf.DUMMYFUNCTION("AI(Prompt!$B$6, H18:I18)"),"Поставщик услуг")</f>
        <v/>
      </c>
      <c r="K18" s="1">
        <f>IFERROR(__xludf.DUMMYFUNCTION("AI(Prompt!$B$12, H18:J18)"),"OK")</f>
        <v/>
      </c>
      <c r="L18" s="2">
        <f>IFERROR(__xludf.DUMMYFUNCTION("AI(Prompt!$B$17, H18:I18)"),"оборудование, приборы, инструменты и средства")</f>
        <v/>
      </c>
      <c r="M18" s="5" t="inlineStr">
        <is>
          <t>ЗДОРОВЫЙ ОБРАЗ ЖИЗНИ-2025</t>
        </is>
      </c>
      <c r="N18" s="7" t="inlineStr">
        <is>
          <t>https://www.zdravo-expo.ru/</t>
        </is>
      </c>
      <c r="O18" s="1">
        <f>IFERROR(__xludf.DUMMYFUNCTION("AI(Prompt!$B$21,A18)"),"Ozon Банк")</f>
        <v/>
      </c>
    </row>
    <row r="19" ht="15.75" customHeight="1">
      <c r="A19" s="1" t="inlineStr">
        <is>
          <t>REVYLINE</t>
        </is>
      </c>
      <c r="B19" s="1" t="inlineStr">
        <is>
          <t>11D182</t>
        </is>
      </c>
      <c r="C19" s="1" t="inlineStr">
        <is>
          <t>Россия</t>
        </is>
      </c>
      <c r="D19" s="1" t="inlineStr">
        <is>
          <t>Москва</t>
        </is>
      </c>
      <c r="E19" s="1" t="inlineStr">
        <is>
          <t>Россия, 105122, г. Москва, Щёлковское ш., д. 3, стр. 1, оф. 613</t>
        </is>
      </c>
      <c r="F19" s="1" t="inlineStr">
        <is>
          <t>http://revyline.ru</t>
        </is>
      </c>
      <c r="G19" s="1" t="inlineStr">
        <is>
          <t>sale@revyline.ru</t>
        </is>
      </c>
      <c r="H19" s="2" t="inlineStr">
        <is>
          <t>Revyline — международная компания, основанная в 2013 году врачом-стоматологом и специализирующаяся на производстве средств для гигиены полости рта.</t>
        </is>
      </c>
      <c r="I19" s="2" t="inlineStr">
        <is>
          <t>Средства личной гигиены; Средства гигиены полости рта</t>
        </is>
      </c>
      <c r="J19" s="1">
        <f>IFERROR(__xludf.DUMMYFUNCTION("AI(Prompt!$B$6, H19:I19)"),"Производитель")</f>
        <v/>
      </c>
      <c r="K19" s="1">
        <f>IFERROR(__xludf.DUMMYFUNCTION("AI(Prompt!$B$12, H19:J19)"),"OK")</f>
        <v/>
      </c>
      <c r="L19" s="2">
        <f>IFERROR(__xludf.DUMMYFUNCTION("AI(Prompt!$B$17, H19:I19)"),"средства гигиены полости рта")</f>
        <v/>
      </c>
      <c r="M19" s="5" t="inlineStr">
        <is>
          <t>ЗДОРОВЫЙ ОБРАЗ ЖИЗНИ-2025</t>
        </is>
      </c>
      <c r="N19" s="7" t="inlineStr">
        <is>
          <t>https://www.zdravo-expo.ru/</t>
        </is>
      </c>
      <c r="O19" s="1">
        <f>IFERROR(__xludf.DUMMYFUNCTION("AI(Prompt!$B$21,A19)"),"Revyline")</f>
        <v/>
      </c>
    </row>
    <row r="20" ht="15.75" customHeight="1">
      <c r="A20" s="1" t="inlineStr">
        <is>
          <t>ROOTFOOT</t>
        </is>
      </c>
      <c r="B20" s="1" t="inlineStr">
        <is>
          <t>11F060</t>
        </is>
      </c>
      <c r="C20" s="1" t="inlineStr">
        <is>
          <t>Россия</t>
        </is>
      </c>
      <c r="D20" s="1" t="inlineStr">
        <is>
          <t>Москва</t>
        </is>
      </c>
      <c r="E20" s="1" t="inlineStr">
        <is>
          <t>Россия, г. Москва, Зубарев пер., д. 15, корп. 1</t>
        </is>
      </c>
      <c r="F20" s="1" t="inlineStr">
        <is>
          <t>https://lprootfoot.ru</t>
        </is>
      </c>
      <c r="G20" s="1" t="inlineStr">
        <is>
          <t>asm@rootfoot.ru</t>
        </is>
      </c>
      <c r="H20" s="2" t="inlineStr">
        <is>
          <t>ROOTFOOT – компания, которая занимается производством и изготовлением индивидуальных ортопедических стелек. Российское производство. Более 600 партнеров по всей России уже присоединились к нам!</t>
        </is>
      </c>
      <c r="I20" s="2" t="inlineStr">
        <is>
          <t>Реабилитационное оборудование; Ортопедические средства для ног, стельки и др.; Ортопедия и травматология; Ортопедическое оборудование и инструменты</t>
        </is>
      </c>
      <c r="J20" s="1">
        <f>IFERROR(__xludf.DUMMYFUNCTION("AI(Prompt!$B$6, H20:I20)"),"Производитель")</f>
        <v/>
      </c>
      <c r="K20" s="1">
        <f>IFERROR(__xludf.DUMMYFUNCTION("AI(Prompt!$B$12, H20:J20)"),"OK")</f>
        <v/>
      </c>
      <c r="L20" s="2">
        <f>IFERROR(__xludf.DUMMYFUNCTION("AI(Prompt!$B$17, H20:I20)"),"ортопедические стельки, реабилитационное оборудование и инструменты")</f>
        <v/>
      </c>
      <c r="M20" s="5" t="inlineStr">
        <is>
          <t>ЗДОРОВЫЙ ОБРАЗ ЖИЗНИ-2025</t>
        </is>
      </c>
      <c r="N20" s="7" t="inlineStr">
        <is>
          <t>https://www.zdravo-expo.ru/</t>
        </is>
      </c>
      <c r="O20" s="1">
        <f>IFERROR(__xludf.DUMMYFUNCTION("AI(Prompt!$B$21,A20)"),"Rootfoot")</f>
        <v/>
      </c>
    </row>
    <row r="21" ht="15.75" customHeight="1">
      <c r="A21" s="1" t="inlineStr">
        <is>
          <t>SOLME TM (BARANOVA IRINA IE)</t>
        </is>
      </c>
      <c r="B21" s="1" t="inlineStr">
        <is>
          <t>11C020</t>
        </is>
      </c>
      <c r="C21" s="1" t="inlineStr">
        <is>
          <t>Россия</t>
        </is>
      </c>
      <c r="D21" s="1" t="inlineStr">
        <is>
          <t>Барнаул</t>
        </is>
      </c>
      <c r="E21" s="1" t="inlineStr">
        <is>
          <t>Россия, 656031, Алтайский край, г. Барнаул, просп. Строителей, д. 135, стр. 2Н, оф. 1</t>
        </is>
      </c>
      <c r="F21" s="1" t="inlineStr">
        <is>
          <t>https://solme.pro</t>
        </is>
      </c>
      <c r="G21" s="1" t="inlineStr">
        <is>
          <t>Saltsib@mail.ru</t>
        </is>
      </c>
      <c r="H21" s="2" t="inlineStr">
        <is>
          <t>SOLME. Создаем уникальные решения для велнес-индустрии на основе фитоминеральных комплексов. Лечебные соли, глины, травы Алтая. Продукция для санаториев, курортов и спа-индустрии. Наш стенд № 11C020.</t>
        </is>
      </c>
      <c r="I21" s="2" t="inlineStr">
        <is>
          <t>Лечебная косметика; Фито- и ароматерапия</t>
        </is>
      </c>
      <c r="J21" s="1">
        <f>IFERROR(__xludf.DUMMYFUNCTION("AI(Prompt!$B$6, H21:I21)"),"Производитель")</f>
        <v/>
      </c>
      <c r="K21" s="1">
        <f>IFERROR(__xludf.DUMMYFUNCTION("AI(Prompt!$B$12, H21:J21)"),"OK")</f>
        <v/>
      </c>
      <c r="L21" s="2">
        <f>IFERROR(__xludf.DUMMYFUNCTION("AI(Prompt!$B$17, H21:I21)"),"соли, глины, травы и косметика")</f>
        <v/>
      </c>
      <c r="M21" s="5" t="inlineStr">
        <is>
          <t>ЗДОРОВЫЙ ОБРАЗ ЖИЗНИ-2025</t>
        </is>
      </c>
      <c r="N21" s="7" t="inlineStr">
        <is>
          <t>https://www.zdravo-expo.ru/</t>
        </is>
      </c>
      <c r="O21" s="1">
        <f>IFERROR(__xludf.DUMMYFUNCTION("AI(Prompt!$B$21,A21)"),"Solme")</f>
        <v/>
      </c>
    </row>
    <row r="22" ht="15.75" customHeight="1">
      <c r="A22" s="1" t="inlineStr">
        <is>
          <t>YAMAGUCHI</t>
        </is>
      </c>
      <c r="B22" s="1" t="inlineStr">
        <is>
          <t>11D040</t>
        </is>
      </c>
      <c r="C22" s="1" t="inlineStr">
        <is>
          <t>Россия</t>
        </is>
      </c>
      <c r="D22" s="1" t="inlineStr">
        <is>
          <t>Москва</t>
        </is>
      </c>
      <c r="E22" s="1" t="inlineStr">
        <is>
          <t>Россия, 105082, г. Москва, Переведеновский пер., д. 13, стр. 18, пом. 21Н/3</t>
        </is>
      </c>
      <c r="F22" s="1" t="inlineStr">
        <is>
          <t>https://www.yamaguchi.ru</t>
        </is>
      </c>
      <c r="G22" s="1" t="inlineStr">
        <is>
          <t>info@yamaguchi.ru</t>
        </is>
      </c>
      <c r="H22" s="2" t="inlineStr">
        <is>
          <t>Yamaguchi — эксперт в области массажного и фитнес-оборудования. Оборудование Yamaguchi — это воплощение последних разработок в индустрии здорового образа жизни, фитнеса и массажа.</t>
        </is>
      </c>
      <c r="I22" s="2" t="inlineStr">
        <is>
          <t>Оборудование для вибротерапии и массажа; Тренажеры; Оборудование для компрессионной терапии; Фитнес и спорт; Косметические препараты; Ортопедическое оборудование и инструменты</t>
        </is>
      </c>
      <c r="J22" s="1">
        <f>IFERROR(__xludf.DUMMYFUNCTION("AI(Prompt!$B$6, H22:I22)"),"Производитель")</f>
        <v/>
      </c>
      <c r="K22" s="1">
        <f>IFERROR(__xludf.DUMMYFUNCTION("AI(Prompt!$B$12, H22:J22)"),"OK")</f>
        <v/>
      </c>
      <c r="L22" s="2">
        <f>IFERROR(__xludf.DUMMYFUNCTION("AI(Prompt!$B$17, H22:I22)"),"массажное оборудование, тренажеры и косметические препараты")</f>
        <v/>
      </c>
      <c r="M22" s="5" t="inlineStr">
        <is>
          <t>ЗДОРОВЫЙ ОБРАЗ ЖИЗНИ-2025</t>
        </is>
      </c>
      <c r="N22" s="7" t="inlineStr">
        <is>
          <t>https://www.zdravo-expo.ru/</t>
        </is>
      </c>
      <c r="O22" s="1">
        <f>IFERROR(__xludf.DUMMYFUNCTION("AI(Prompt!$B$21,A22)"),"Yamaguchi")</f>
        <v/>
      </c>
    </row>
    <row r="23" ht="15.75" customHeight="1">
      <c r="A23" s="1" t="inlineStr">
        <is>
          <t>АВАЛОН ГРУПП, ООО</t>
        </is>
      </c>
      <c r="B23" s="1" t="inlineStr">
        <is>
          <t>11D105</t>
        </is>
      </c>
      <c r="C23" s="1" t="inlineStr">
        <is>
          <t>Россия</t>
        </is>
      </c>
      <c r="D23" s="1" t="inlineStr">
        <is>
          <t>Санкт-Петербург</t>
        </is>
      </c>
      <c r="E23" s="1" t="inlineStr">
        <is>
          <t>Россия, 199155, г. Санкт-Петербург, ул. Уральская, д. 17, корп. 1, литера Д, пом. 1Н/5</t>
        </is>
      </c>
      <c r="G23" s="1" t="inlineStr">
        <is>
          <t>avalon2385@mail.ru</t>
        </is>
      </c>
      <c r="H23" s="2" t="inlineStr">
        <is>
          <t>Поставляем в страны ЕАЭС медицинскую технику — биороботы производства Hanmed Co. Ltd (Южная Корея) — kinetrac knx-7000, 8000, 9900 DaVinci для лечения спины и 3D Newton для гравитационной терапии.</t>
        </is>
      </c>
      <c r="I23" s="2" t="inlineStr">
        <is>
          <t>Оборудование для комбинированной физиотерапии; Тренажеры; Спортивные тренажеры и оборудование; Ортопедическое оборудование и инструменты; Ортопедическое оборудование и инструменты</t>
        </is>
      </c>
      <c r="J23" s="1">
        <f>IFERROR(__xludf.DUMMYFUNCTION("AI(Prompt!$B$6, H23:I23)"),"Дилер")</f>
        <v/>
      </c>
      <c r="K23" s="1">
        <f>IFERROR(__xludf.DUMMYFUNCTION("AI(Prompt!$B$12, H23:J23)"),"OK")</f>
        <v/>
      </c>
      <c r="L23" s="2">
        <f>IFERROR(__xludf.DUMMYFUNCTION("AI(Prompt!$B$17, H23:I23)"),"медицинская техника, биороботы, тренажеры и оборудование")</f>
        <v/>
      </c>
      <c r="M23" s="5" t="inlineStr">
        <is>
          <t>ЗДОРОВЫЙ ОБРАЗ ЖИЗНИ-2025</t>
        </is>
      </c>
      <c r="N23" s="7" t="inlineStr">
        <is>
          <t>https://www.zdravo-expo.ru/</t>
        </is>
      </c>
      <c r="O23" s="1">
        <f>IFERROR(__xludf.DUMMYFUNCTION("AI(Prompt!$B$21,A23)"),"Авалон Групп")</f>
        <v/>
      </c>
    </row>
    <row r="24" ht="15.75" customHeight="1">
      <c r="A24" s="1" t="inlineStr">
        <is>
          <t>АДАПТО</t>
        </is>
      </c>
      <c r="B24" s="1" t="inlineStr">
        <is>
          <t>11D112</t>
        </is>
      </c>
      <c r="C24" s="1" t="inlineStr">
        <is>
          <t>Россия</t>
        </is>
      </c>
      <c r="D24" s="1" t="inlineStr">
        <is>
          <t>Новосибирск</t>
        </is>
      </c>
      <c r="E24" s="1" t="inlineStr">
        <is>
          <t>Россия, 630055, г. Новосибирск, ул. Пасечная, д. 1, пом. 20</t>
        </is>
      </c>
      <c r="F24" s="1" t="inlineStr">
        <is>
          <t>http://Гипоксикатор-адапто.рф</t>
        </is>
      </c>
      <c r="G24" s="1" t="inlineStr">
        <is>
          <t>adapto-moscow@mail.ru</t>
        </is>
      </c>
      <c r="H24" s="2" t="inlineStr">
        <is>
          <t>Гипоксическое оборудование (дыхательные тренажеры). Продажа, аренда, консультации по тренировкам.</t>
        </is>
      </c>
      <c r="I24" s="2" t="inlineStr">
        <is>
          <t>Тренажеры; Оборудование для кислородной терапии; Спортивные тренажеры и оборудование; Методы и способы усиления иммунитета, повышения защитных функций организма; Специализированная литература; Учебные пособия</t>
        </is>
      </c>
      <c r="J24" s="1">
        <f>IFERROR(__xludf.DUMMYFUNCTION("AI(Prompt!$B$6, H24:I24)"),"Дилер")</f>
        <v/>
      </c>
      <c r="K24" s="1">
        <f>IFERROR(__xludf.DUMMYFUNCTION("AI(Prompt!$B$12, H24:J24)"),"OK")</f>
        <v/>
      </c>
      <c r="L24" s="2">
        <f>IFERROR(__xludf.DUMMYFUNCTION("AI(Prompt!$B$17, H24:I24)"),"тренажеры, оборудование, литература и пособия")</f>
        <v/>
      </c>
      <c r="M24" s="5" t="inlineStr">
        <is>
          <t>ЗДОРОВЫЙ ОБРАЗ ЖИЗНИ-2025</t>
        </is>
      </c>
      <c r="N24" s="7" t="inlineStr">
        <is>
          <t>https://www.zdravo-expo.ru/</t>
        </is>
      </c>
      <c r="O24" s="1">
        <f>IFERROR(__xludf.DUMMYFUNCTION("AI(Prompt!$B$21,A24)"),"Адапто")</f>
        <v/>
      </c>
    </row>
    <row r="25" ht="15.75" customHeight="1">
      <c r="A25" s="1" t="inlineStr">
        <is>
          <t>АЛТАЙ СИЛА, ООО</t>
        </is>
      </c>
      <c r="B25" s="1" t="inlineStr">
        <is>
          <t>11C020</t>
        </is>
      </c>
      <c r="C25" s="1" t="inlineStr">
        <is>
          <t>Россия</t>
        </is>
      </c>
      <c r="D25" s="1" t="inlineStr">
        <is>
          <t>Барнаул</t>
        </is>
      </c>
      <c r="E25" s="1" t="inlineStr">
        <is>
          <t>Россия, 656056, Алтайский край, г. Барнаул, ул. Анатолия, д. 3</t>
        </is>
      </c>
      <c r="F25" s="1" t="inlineStr">
        <is>
          <t>http://altaipower.ru</t>
        </is>
      </c>
      <c r="G25" s="1" t="inlineStr">
        <is>
          <t>opt@altaipower.com</t>
        </is>
      </c>
      <c r="H25" s="2" t="inlineStr">
        <is>
          <t>Наша компания занимается производством безалкогольных бальзамов на основе дикорастущих трав. Производим по технологии водно-глицериновой экстракции, это дает нам ряд существенных преимуществ.</t>
        </is>
      </c>
      <c r="I25" s="2" t="inlineStr">
        <is>
          <t>Спортивное питание; Фито- и ароматерапия; Диетические продукты; Органические, натуральные продукты питания; Лекарственные средства; Биологически активные добавки к пище</t>
        </is>
      </c>
      <c r="J25" s="1">
        <f>IFERROR(__xludf.DUMMYFUNCTION("AI(Prompt!$B$6, H25:I25)"),"Производитель")</f>
        <v/>
      </c>
      <c r="K25" s="1">
        <f>IFERROR(__xludf.DUMMYFUNCTION("AI(Prompt!$B$12, H25:J25)"),"OK")</f>
        <v/>
      </c>
      <c r="L25" s="2">
        <f>IFERROR(__xludf.DUMMYFUNCTION("AI(Prompt!$B$17, H25:I25)"),"бальзамы")</f>
        <v/>
      </c>
      <c r="M25" s="5" t="inlineStr">
        <is>
          <t>ЗДОРОВЫЙ ОБРАЗ ЖИЗНИ-2025</t>
        </is>
      </c>
      <c r="N25" s="7" t="inlineStr">
        <is>
          <t>https://www.zdravo-expo.ru/</t>
        </is>
      </c>
      <c r="O25" s="1">
        <f>IFERROR(__xludf.DUMMYFUNCTION("AI(Prompt!$B$21,A25)"),"Алтай Сила")</f>
        <v/>
      </c>
    </row>
    <row r="26" ht="15.75" customHeight="1">
      <c r="A26" s="1" t="inlineStr">
        <is>
          <t>АЛТАЙСКИЙ ЦЕНТР ГОСУДАРСТВЕННО-ЧАСТНОГО ПАРТНЕРСТВА И ПРИВЛЕЧЕНИЯ ИНВЕСТИЦИЙ, КАУ</t>
        </is>
      </c>
      <c r="B26" s="1" t="inlineStr">
        <is>
          <t>11C020</t>
        </is>
      </c>
      <c r="C26" s="1" t="inlineStr">
        <is>
          <t>Россия</t>
        </is>
      </c>
      <c r="D26" s="1" t="inlineStr">
        <is>
          <t>Барнаул</t>
        </is>
      </c>
      <c r="E26" s="1" t="inlineStr">
        <is>
          <t>Россия, 656038, Алтайский край, г. Барнаул, Комсомольский просп., д. 118</t>
        </is>
      </c>
      <c r="F26" s="1" t="inlineStr">
        <is>
          <t>http://invest.alregn.ru</t>
        </is>
      </c>
      <c r="G26" s="1" t="inlineStr">
        <is>
          <t>kau_invest@mail.ru</t>
        </is>
      </c>
      <c r="H26" s="2" t="inlineStr">
        <is>
          <t>Формирование комфортной бизнес-среды для привлечения инвестиций. Сопровождение инвестиционных проектов и предоставление инициаторам необходимой информации по всем аспектам реализации проекта.</t>
        </is>
      </c>
      <c r="I26" s="2" t="inlineStr">
        <is>
          <t>Спортивное питание; Средства личной гигиены; Органические, натуральные продукты питания; Минеральные воды; Биологически активные добавки к пище; Анатомические и ортопедические подушки и матрасы</t>
        </is>
      </c>
      <c r="J26" s="1">
        <f>IFERROR(__xludf.DUMMYFUNCTION("AI(Prompt!$B$6, H26:I26)"),"Поставщик услуг")</f>
        <v/>
      </c>
      <c r="K26" s="1">
        <f>IFERROR(__xludf.DUMMYFUNCTION("AI(Prompt!$B$12, H26:J26)"),"OK")</f>
        <v/>
      </c>
      <c r="L26" s="2">
        <f>IFERROR(__xludf.DUMMYFUNCTION("AI(Prompt!$B$17, H26:I26)"),"спортивное питание, средства гигиены, продукты питания, минеральные воды и подушки, матрасы")</f>
        <v/>
      </c>
      <c r="M26" s="5" t="inlineStr">
        <is>
          <t>ЗДОРОВЫЙ ОБРАЗ ЖИЗНИ-2025</t>
        </is>
      </c>
      <c r="N26" s="7" t="inlineStr">
        <is>
          <t>https://www.zdravo-expo.ru/</t>
        </is>
      </c>
      <c r="O26" s="1">
        <f>IFERROR(__xludf.DUMMYFUNCTION("AI(Prompt!$B$21,A26)"),"Алтайский Центр")</f>
        <v/>
      </c>
    </row>
    <row r="27" ht="15.75" customHeight="1">
      <c r="A27" s="1" t="inlineStr">
        <is>
          <t>АМАРА, ООО</t>
        </is>
      </c>
      <c r="B27" s="1" t="inlineStr">
        <is>
          <t>11C020</t>
        </is>
      </c>
      <c r="C27" s="1" t="inlineStr">
        <is>
          <t>Россия</t>
        </is>
      </c>
      <c r="D27" s="1" t="inlineStr">
        <is>
          <t>Барнаул</t>
        </is>
      </c>
      <c r="E27" s="1" t="inlineStr">
        <is>
          <t>Россия, Алтайский край, г. Барнаул, ул. Балтийская, д. 105</t>
        </is>
      </c>
      <c r="F27" s="1" t="inlineStr">
        <is>
          <t>http://amara-prov.ru</t>
        </is>
      </c>
      <c r="G27" s="1" t="inlineStr">
        <is>
          <t>amara8502@mail.ru</t>
        </is>
      </c>
      <c r="H27" s="2" t="inlineStr">
        <is>
          <t>Компания занимается полным циклом переработки амаранта. Выпускает масло, муку, сладости, сок, чаи, пасту, живые каши из амаранта. «АМАРА» использует в производстве только свои разработки и патенты.</t>
        </is>
      </c>
      <c r="I27" s="2" t="inlineStr">
        <is>
          <t>Технологии и продукты для здорового питания</t>
        </is>
      </c>
      <c r="J27" s="1">
        <f>IFERROR(__xludf.DUMMYFUNCTION("AI(Prompt!$B$6, H27:I27)"),"Производитель")</f>
        <v/>
      </c>
      <c r="K27" s="1">
        <f>IFERROR(__xludf.DUMMYFUNCTION("AI(Prompt!$B$12, H27:J27)"),"OK")</f>
        <v/>
      </c>
      <c r="L27" s="2">
        <f>IFERROR(__xludf.DUMMYFUNCTION("AI(Prompt!$B$17, H27:I27)"),"масло, мука, сладости, напитки и каши")</f>
        <v/>
      </c>
      <c r="M27" s="5" t="inlineStr">
        <is>
          <t>ЗДОРОВЫЙ ОБРАЗ ЖИЗНИ-2025</t>
        </is>
      </c>
      <c r="N27" s="7" t="inlineStr">
        <is>
          <t>https://www.zdravo-expo.ru/</t>
        </is>
      </c>
      <c r="O27" s="1">
        <f>IFERROR(__xludf.DUMMYFUNCTION("AI(Prompt!$B$21,A27)"),"Амара")</f>
        <v/>
      </c>
    </row>
    <row r="28" ht="15.75" customHeight="1">
      <c r="A28" s="1" t="inlineStr">
        <is>
          <t>АМБЛИОКОР, ООО</t>
        </is>
      </c>
      <c r="B28" s="8" t="n">
        <v>1.1e+101</v>
      </c>
      <c r="C28" s="1" t="inlineStr">
        <is>
          <t>Россия</t>
        </is>
      </c>
      <c r="D28" s="1" t="inlineStr">
        <is>
          <t>Санкт-Петербург</t>
        </is>
      </c>
      <c r="E28" s="1" t="inlineStr">
        <is>
          <t>Россия, 196084, г. Санкт-Петербург, ул. Заозерная, д. 8, корп. 2, литера А, пом. 1-Н</t>
        </is>
      </c>
      <c r="F28" s="1" t="inlineStr">
        <is>
          <t>http://amblyocor.ru</t>
        </is>
      </c>
      <c r="G28" s="1" t="inlineStr">
        <is>
          <t>fesenko@amblyocor.ru</t>
        </is>
      </c>
      <c r="H28" s="2" t="inlineStr">
        <is>
          <t>Производство медицинской аппаратуры лечебного назначения по технологии биологической обратной связи (БОС). Комплексы серии «Амблиокор™» эффективны, надежны и просты в эксплуатации.</t>
        </is>
      </c>
      <c r="I28" s="2" t="inlineStr">
        <is>
          <t>Производство медицинских изделий; Реабилитационное оборудование</t>
        </is>
      </c>
      <c r="J28" s="1">
        <f>IFERROR(__xludf.DUMMYFUNCTION("AI(Prompt!$B$6, H28:I28)"),"Производитель")</f>
        <v/>
      </c>
      <c r="K28" s="1">
        <f>IFERROR(__xludf.DUMMYFUNCTION("AI(Prompt!$B$12, H28:J28)"),"OK")</f>
        <v/>
      </c>
      <c r="L28" s="2">
        <f>IFERROR(__xludf.DUMMYFUNCTION("AI(Prompt!$B$17, H28:I28)"),"медицинская аппаратура и реабилитационное оборудование")</f>
        <v/>
      </c>
      <c r="M28" s="5" t="inlineStr">
        <is>
          <t>ЗДОРОВЫЙ ОБРАЗ ЖИЗНИ-2025</t>
        </is>
      </c>
      <c r="N28" s="7" t="inlineStr">
        <is>
          <t>https://www.zdravo-expo.ru/</t>
        </is>
      </c>
      <c r="O28" s="1">
        <f>IFERROR(__xludf.DUMMYFUNCTION("AI(Prompt!$B$21,A28)"),"Амблиокор")</f>
        <v/>
      </c>
    </row>
    <row r="29" ht="15.75" customHeight="1">
      <c r="A29" s="1" t="inlineStr">
        <is>
          <t>АСТРЕЯ ИМПЭКС, ООО</t>
        </is>
      </c>
      <c r="B29" s="1" t="inlineStr">
        <is>
          <t>11F072</t>
        </is>
      </c>
      <c r="C29" s="1" t="inlineStr">
        <is>
          <t>Россия</t>
        </is>
      </c>
      <c r="D29" s="1" t="inlineStr">
        <is>
          <t>Москва</t>
        </is>
      </c>
      <c r="E29" s="1" t="inlineStr">
        <is>
          <t>Россия, 125252, г. Москва, пр-д Берёзовой Рощи, д. 8, пом. II, комн. 9/10</t>
        </is>
      </c>
      <c r="F29" s="1" t="inlineStr">
        <is>
          <t>http://www.eva-rf.ru</t>
        </is>
      </c>
      <c r="G29" s="1" t="inlineStr">
        <is>
          <t>daria.efremova@eva-rf.ru</t>
        </is>
      </c>
      <c r="H29" s="2" t="inlineStr">
        <is>
          <t>Эксклюзивный дистрибьютор аппарата EVA (Италия) в России. Оборудование официально зарегистрировано для применения в гинекологии. Лечение, реабилитация и профилактика урогинекологических заболеваний.</t>
        </is>
      </c>
      <c r="I29" s="2" t="inlineStr">
        <is>
          <t>Инструменты гинекологические; Инструменты урологические; Оборудование для радиоволновой и ультразвуковой терапии; Оборудование для эстетической медицины; Технологии, оборудование и расходные материалы для спа и велнес</t>
        </is>
      </c>
      <c r="J29" s="1">
        <f>IFERROR(__xludf.DUMMYFUNCTION("AI(Prompt!$B$6, H29:I29)"),"Дилер")</f>
        <v/>
      </c>
      <c r="K29" s="1">
        <f>IFERROR(__xludf.DUMMYFUNCTION("AI(Prompt!$B$12, H29:J29)"),"OK")</f>
        <v/>
      </c>
      <c r="L29" s="2">
        <f>IFERROR(__xludf.DUMMYFUNCTION("AI(Prompt!$B$17, H29:I29)"),"инструменты, оборудование и расходные материалы")</f>
        <v/>
      </c>
      <c r="M29" s="5" t="inlineStr">
        <is>
          <t>ЗДОРОВЫЙ ОБРАЗ ЖИЗНИ-2025</t>
        </is>
      </c>
      <c r="N29" s="7" t="inlineStr">
        <is>
          <t>https://www.zdravo-expo.ru/</t>
        </is>
      </c>
      <c r="O29" s="1">
        <f>IFERROR(__xludf.DUMMYFUNCTION("AI(Prompt!$B$21,A29)"),"Астрея Импэкс")</f>
        <v/>
      </c>
    </row>
    <row r="30" ht="15.75" customHeight="1">
      <c r="A30" s="1" t="inlineStr">
        <is>
          <t>АтисМед, ООО</t>
        </is>
      </c>
      <c r="B30" s="1" t="inlineStr">
        <is>
          <t>11D015</t>
        </is>
      </c>
      <c r="C30" s="1" t="inlineStr">
        <is>
          <t>Россия</t>
        </is>
      </c>
      <c r="D30" s="1" t="inlineStr">
        <is>
          <t>Москва</t>
        </is>
      </c>
      <c r="E30" s="1" t="inlineStr">
        <is>
          <t>Россия, г. Москва, Нагатинский б-р, д. 6а</t>
        </is>
      </c>
      <c r="F30" s="1" t="inlineStr">
        <is>
          <t>http://atismed.ru</t>
        </is>
      </c>
      <c r="G30" s="1" t="inlineStr">
        <is>
          <t>info@atismed.ru</t>
        </is>
      </c>
      <c r="H30" s="2" t="inlineStr">
        <is>
          <t>«АтисМед» — российский производитель косметологического оборудования, на рынке уже 10 лет. Ключевая инновация — аппарат SKINHALE, мощный аэродинамический комплекс, запускающий регенерацию кожи на клеточном уровне.</t>
        </is>
      </c>
      <c r="I30" s="2" t="inlineStr">
        <is>
          <t>Производство медицинских изделий; Эстетическая медицина и косметология; Косметические препараты</t>
        </is>
      </c>
      <c r="J30" s="1">
        <f>IFERROR(__xludf.DUMMYFUNCTION("AI(Prompt!$B$6, H30:I30)"),"Производитель")</f>
        <v/>
      </c>
      <c r="K30" s="1">
        <f>IFERROR(__xludf.DUMMYFUNCTION("AI(Prompt!$B$12, H30:J30)"),"OK")</f>
        <v/>
      </c>
      <c r="L30" s="2">
        <f>IFERROR(__xludf.DUMMYFUNCTION("AI(Prompt!$B$17, H30:I30)"),"косметологическое оборудование и косметические препараты")</f>
        <v/>
      </c>
      <c r="M30" s="5" t="inlineStr">
        <is>
          <t>ЗДОРОВЫЙ ОБРАЗ ЖИЗНИ-2025</t>
        </is>
      </c>
      <c r="N30" s="7" t="inlineStr">
        <is>
          <t>https://www.zdravo-expo.ru/</t>
        </is>
      </c>
      <c r="O30" s="1">
        <f>IFERROR(__xludf.DUMMYFUNCTION("AI(Prompt!$B$21,A30)"),"АтисМед")</f>
        <v/>
      </c>
    </row>
    <row r="31" ht="15.75" customHeight="1">
      <c r="A31" s="1" t="inlineStr">
        <is>
          <t>БАЙКАЛЬСКАЯ ЛЕГЕНДА</t>
        </is>
      </c>
      <c r="B31" s="1" t="inlineStr">
        <is>
          <t>11G160</t>
        </is>
      </c>
      <c r="C31" s="1" t="inlineStr">
        <is>
          <t>Россия</t>
        </is>
      </c>
      <c r="D31" s="1" t="inlineStr">
        <is>
          <t>Иркутск</t>
        </is>
      </c>
      <c r="E31" s="1" t="inlineStr">
        <is>
          <t>Россия, 664047, г. Иркутск, ул. Трилиссера, д. 87, оф. 201</t>
        </is>
      </c>
      <c r="F31" s="1" t="inlineStr">
        <is>
          <t>https://baikal-legend.ru</t>
        </is>
      </c>
      <c r="G31" s="1" t="inlineStr">
        <is>
          <t>moiseev@baikal-legend.ru</t>
        </is>
      </c>
      <c r="H31" s="2" t="inlineStr">
        <is>
          <t>ТМ «Байкальская Легенда» создает БАДы по авторской технологии. Природные биохакеры против болезней цивилизации и старения. «БиоЧага», «БиоДигидрокверцетин», «Амелан» — 100 % натурально, эффективно и безопасно.</t>
        </is>
      </c>
      <c r="I31" s="2" t="inlineStr">
        <is>
          <t>Методы и способы усиления иммунитета, повышения защитных функций организма; Органические, натуральные продукты питания; Витаминно-минеральные комплексы, антиоксиданты; Фармацевтические средства и БАД; Биологически активные добавки к пище; Средства народной медицины</t>
        </is>
      </c>
      <c r="J31" s="1">
        <f>IFERROR(__xludf.DUMMYFUNCTION("AI(Prompt!$B$6, H31:I31)"),"Производитель")</f>
        <v/>
      </c>
      <c r="K31" s="1">
        <f>IFERROR(__xludf.DUMMYFUNCTION("AI(Prompt!$B$12, H31:J31)"),"OK")</f>
        <v/>
      </c>
      <c r="L31" s="2">
        <f>IFERROR(__xludf.DUMMYFUNCTION("AI(Prompt!$B$17, H31:I31)"),"биологически активные добавки")</f>
        <v/>
      </c>
      <c r="M31" s="5" t="inlineStr">
        <is>
          <t>ЗДОРОВЫЙ ОБРАЗ ЖИЗНИ-2025</t>
        </is>
      </c>
      <c r="N31" s="7" t="inlineStr">
        <is>
          <t>https://www.zdravo-expo.ru/</t>
        </is>
      </c>
      <c r="O31" s="1">
        <f>IFERROR(__xludf.DUMMYFUNCTION("AI(Prompt!$B$21,A31)"),"Байкальская Легенда")</f>
        <v/>
      </c>
    </row>
    <row r="32" ht="15.75" customHeight="1">
      <c r="A32" s="1" t="inlineStr">
        <is>
          <t>БЕЙБИ-ОРТО, ООО</t>
        </is>
      </c>
      <c r="B32" s="1" t="inlineStr">
        <is>
          <t>11C104</t>
        </is>
      </c>
      <c r="C32" s="1" t="inlineStr">
        <is>
          <t>Россия</t>
        </is>
      </c>
      <c r="D32" s="1" t="inlineStr">
        <is>
          <t>Искитим</t>
        </is>
      </c>
      <c r="E32" s="1" t="inlineStr">
        <is>
          <t>Россия, 633209, Новосибирская обл., г. Искитим, Базарная пл., д. 10</t>
        </is>
      </c>
      <c r="F32" s="1" t="inlineStr">
        <is>
          <t>http://www.babyortho.ru</t>
        </is>
      </c>
      <c r="G32" s="1" t="inlineStr">
        <is>
          <t>kas_babyortho@mail.ru</t>
        </is>
      </c>
      <c r="H32" s="2" t="inlineStr">
        <is>
          <t>Производитель детской и взрослой ортопедической обуви из натуральных материалов! Более 350 моделей на все сезоны (торговые марки Baby-Ortho, SIB_ORTHO). Полуфабрикаты ортопедической обуви.</t>
        </is>
      </c>
      <c r="I32" s="2" t="inlineStr">
        <is>
          <t>Ортопедические изделия; Ортопедические средства для ног, стельки и др.; Средства для спорта, отдыха, досуга; Ортезы; Ортопедическая и спортивная обувь</t>
        </is>
      </c>
      <c r="J32" s="1">
        <f>IFERROR(__xludf.DUMMYFUNCTION("AI(Prompt!$B$6, H32:I32)"),"Производитель")</f>
        <v/>
      </c>
      <c r="K32" s="1">
        <f>IFERROR(__xludf.DUMMYFUNCTION("AI(Prompt!$B$12, H32:J32)"),"OK")</f>
        <v/>
      </c>
      <c r="L32" s="2">
        <f>IFERROR(__xludf.DUMMYFUNCTION("AI(Prompt!$B$17, H32:I32)"),"обувь, ортопедические изделия, средства для ног и ортезы")</f>
        <v/>
      </c>
      <c r="M32" s="5" t="inlineStr">
        <is>
          <t>ЗДОРОВЫЙ ОБРАЗ ЖИЗНИ-2025</t>
        </is>
      </c>
      <c r="N32" s="7" t="inlineStr">
        <is>
          <t>https://www.zdravo-expo.ru/</t>
        </is>
      </c>
      <c r="O32" s="1">
        <f>IFERROR(__xludf.DUMMYFUNCTION("AI(Prompt!$B$21,A32)"),"Бейби-Орто")</f>
        <v/>
      </c>
    </row>
    <row r="33" hidden="1" ht="15.75" customHeight="1">
      <c r="A33" s="1" t="inlineStr">
        <is>
          <t>БЕЛОРУССКИЙ ПРОТЕЗНО-ОРТОПЕДИЧЕСКИЙ ВОССТАНОВИТЕЛЬНЫЙ ЦЕНТР, РУП</t>
        </is>
      </c>
      <c r="B33" s="1" t="inlineStr">
        <is>
          <t>11F026</t>
        </is>
      </c>
      <c r="C33" s="1" t="inlineStr">
        <is>
          <t>Республика Беларусь</t>
        </is>
      </c>
      <c r="D33" s="1" t="inlineStr">
        <is>
          <t>Минск</t>
        </is>
      </c>
      <c r="E33" s="1" t="inlineStr">
        <is>
          <t>Республика Беларусь, 220073, г. Минск</t>
        </is>
      </c>
      <c r="F33" s="1" t="inlineStr">
        <is>
          <t>http://www.bpovc.by</t>
        </is>
      </c>
      <c r="G33" s="1" t="inlineStr">
        <is>
          <t>market@bpovc.by</t>
        </is>
      </c>
      <c r="H33" s="1" t="inlineStr">
        <is>
          <t>Производство широкого спектра товаров для социальной реабилитации для взрослых и детей, оказание реабилитационных услуг.</t>
        </is>
      </c>
      <c r="I33" s="1" t="inlineStr">
        <is>
          <t>Производство медицинских изделий; Ортопедическое оборудование и инструменты</t>
        </is>
      </c>
      <c r="J33" s="1">
        <f>IFERROR(__xludf.DUMMYFUNCTION("AI(Prompt!$B$6, H33:I33)"),"Производитель")</f>
        <v/>
      </c>
      <c r="K33" s="1">
        <f>IFERROR(__xludf.DUMMYFUNCTION("AI(Prompt!$B$12, H33:J33)"),"OK")</f>
        <v/>
      </c>
      <c r="L33" s="2">
        <f>IFERROR(__xludf.DUMMYFUNCTION("AI(Prompt!$B$17, H33:I33)"),"медицинские изделия, товары для реабилитации и ортопедическое оборудование")</f>
        <v/>
      </c>
      <c r="M33" s="5" t="inlineStr">
        <is>
          <t>ЗДОРОВЫЙ ОБРАЗ ЖИЗНИ-2025</t>
        </is>
      </c>
      <c r="N33" s="7" t="inlineStr">
        <is>
          <t>https://www.zdravo-expo.ru/</t>
        </is>
      </c>
      <c r="O33" s="1">
        <f>IFERROR(__xludf.DUMMYFUNCTION("AI(Prompt!$B$21,A33)"),"Белорусский Протезно-ортопедический")</f>
        <v/>
      </c>
    </row>
    <row r="34" hidden="1" ht="15.75" customHeight="1">
      <c r="A34" s="1" t="inlineStr">
        <is>
          <t>БЕЛФАРМПРОМ, УПРАВЛЯЮЩАЯ КОМПАНИЯ ХОЛДИНГА, РЕСПУБЛИКАНСКОЕ УНИТАРНОЕ ПРЕДПРИЯТИЕ</t>
        </is>
      </c>
      <c r="B34" s="1" t="inlineStr">
        <is>
          <t>11D085</t>
        </is>
      </c>
      <c r="C34" s="1" t="inlineStr">
        <is>
          <t>Республика Беларусь</t>
        </is>
      </c>
      <c r="D34" s="1" t="inlineStr">
        <is>
          <t>Минск</t>
        </is>
      </c>
      <c r="E34" s="1" t="inlineStr">
        <is>
          <t>Республика Беларусь, 220005, г. Минск, просп. Машерова, д. 10</t>
        </is>
      </c>
      <c r="F34" s="1" t="inlineStr">
        <is>
          <t>https://belpharmprom.by</t>
        </is>
      </c>
      <c r="G34" s="1" t="inlineStr">
        <is>
          <t>office@belpharmprom.by</t>
        </is>
      </c>
      <c r="H34" s="1" t="inlineStr">
        <is>
          <t>Республиканское унитарное предприятие «Управляющая компания холдинга «Белфармпром» – организация, основным видом деятельности которой является производство фармацевтической продукции.</t>
        </is>
      </c>
      <c r="I34" s="1" t="inlineStr">
        <is>
          <t>Витаминно-минеральные комплексы, антиоксиданты; Лекарственные средства; Биологически активные добавки к пище</t>
        </is>
      </c>
      <c r="J34" s="1">
        <f>IFERROR(__xludf.DUMMYFUNCTION("AI(Prompt!$B$6, H34:I34)"),"Производитель")</f>
        <v/>
      </c>
      <c r="K34" s="1">
        <f>IFERROR(__xludf.DUMMYFUNCTION("AI(Prompt!$B$12, H34:J34)"),"OK")</f>
        <v/>
      </c>
      <c r="L34" s="2">
        <f>IFERROR(__xludf.DUMMYFUNCTION("AI(Prompt!$B$17, H34:I34)"),"комплексы, антиоксиданты, лекарственные средства и добавки")</f>
        <v/>
      </c>
      <c r="M34" s="5" t="inlineStr">
        <is>
          <t>ЗДОРОВЫЙ ОБРАЗ ЖИЗНИ-2025</t>
        </is>
      </c>
      <c r="N34" s="7" t="inlineStr">
        <is>
          <t>https://www.zdravo-expo.ru/</t>
        </is>
      </c>
      <c r="O34" s="1">
        <f>IFERROR(__xludf.DUMMYFUNCTION("AI(Prompt!$B$21,A34)"),"Белфармпром")</f>
        <v/>
      </c>
    </row>
    <row r="35" ht="15.75" customHeight="1">
      <c r="A35" s="1" t="inlineStr">
        <is>
          <t>БИНОМ, ООО</t>
        </is>
      </c>
      <c r="B35" s="1" t="inlineStr">
        <is>
          <t>11D100</t>
        </is>
      </c>
      <c r="C35" s="1" t="inlineStr">
        <is>
          <t>Россия</t>
        </is>
      </c>
      <c r="D35" s="1" t="inlineStr">
        <is>
          <t>Калуга</t>
        </is>
      </c>
      <c r="E35" s="1" t="inlineStr">
        <is>
          <t>Россия, 248000, г. Калуга, ул. Подвойского, д. 33</t>
        </is>
      </c>
      <c r="F35" s="1" t="inlineStr">
        <is>
          <t>http://www.binom.kaluga.ru</t>
        </is>
      </c>
      <c r="G35" s="1" t="inlineStr">
        <is>
          <t>binom-kaluga@mail.ru</t>
        </is>
      </c>
      <c r="H35" s="2" t="inlineStr">
        <is>
          <t>Разработка и производство косметологического, физиотерапевтического и измерительного оборудования.</t>
        </is>
      </c>
      <c r="I35" s="2" t="inlineStr">
        <is>
          <t>Производство медицинских изделий; Терапевтическое оборудование; Оборудование для вакуум-терапии; Оборудование для лазерной терапии; Оборудование для комбинированной физиотерапии; Оборудование для эстетической медицины</t>
        </is>
      </c>
      <c r="J35" s="1">
        <f>IFERROR(__xludf.DUMMYFUNCTION("AI(Prompt!$B$6, H35:I35)"),"Производитель")</f>
        <v/>
      </c>
      <c r="K35" s="1">
        <f>IFERROR(__xludf.DUMMYFUNCTION("AI(Prompt!$B$12, H35:J35)"),"OK")</f>
        <v/>
      </c>
      <c r="L35" s="2">
        <f>IFERROR(__xludf.DUMMYFUNCTION("AI(Prompt!$B$17, H35:I35)"),"медицинские изделия, терапевтическое оборудование и измерительное оборудование")</f>
        <v/>
      </c>
      <c r="M35" s="5" t="inlineStr">
        <is>
          <t>ЗДОРОВЫЙ ОБРАЗ ЖИЗНИ-2025</t>
        </is>
      </c>
      <c r="N35" s="7" t="inlineStr">
        <is>
          <t>https://www.zdravo-expo.ru/</t>
        </is>
      </c>
      <c r="O35" s="1">
        <f>IFERROR(__xludf.DUMMYFUNCTION("AI(Prompt!$B$21,A35)"),"Бином")</f>
        <v/>
      </c>
    </row>
    <row r="36" ht="15.75" customHeight="1">
      <c r="A36" s="1" t="inlineStr">
        <is>
          <t>БОЛЕАР, ООО</t>
        </is>
      </c>
      <c r="B36" s="1" t="inlineStr">
        <is>
          <t>11G020</t>
        </is>
      </c>
      <c r="C36" s="1" t="inlineStr">
        <is>
          <t>Россия</t>
        </is>
      </c>
      <c r="D36" s="1" t="inlineStr">
        <is>
          <t>Москва</t>
        </is>
      </c>
      <c r="E36" s="1" t="inlineStr">
        <is>
          <t>Россия, 115597, г. Москва, Гурьевский пр-д, д. 27, корп. 2, пом. 1/1</t>
        </is>
      </c>
      <c r="F36" s="1" t="inlineStr">
        <is>
          <t>http://bolear.ru</t>
        </is>
      </c>
      <c r="G36" s="1" t="inlineStr">
        <is>
          <t>info@bolear.ru</t>
        </is>
      </c>
      <c r="H36" s="2" t="inlineStr">
        <is>
          <t>«БОЛЕАР» — это компания — производитель и дистрибьютор изделий медицинского назначения, товаров для спорта, красоты и здоровья. «БОЛЕАР» — больше, чем просто дистрибьютор!</t>
        </is>
      </c>
      <c r="I36" s="2" t="inlineStr">
        <is>
          <t>Перевязочные средства; Средства личной гигиены; Средства гигиены полости рта; Термометры; Экспресс-тесты; Биологически активные добавки к пище</t>
        </is>
      </c>
      <c r="J36" s="1">
        <f>IFERROR(__xludf.DUMMYFUNCTION("AI(Prompt!$B$6, H36:I36)"),"Производитель")</f>
        <v/>
      </c>
      <c r="K36" s="1">
        <f>IFERROR(__xludf.DUMMYFUNCTION("AI(Prompt!$B$12, H36:J36)"),"OK")</f>
        <v/>
      </c>
      <c r="L36" s="2">
        <f>IFERROR(__xludf.DUMMYFUNCTION("AI(Prompt!$B$17, H36:I36)"),"изделия медицинского назначения, товары для спорта, средства гигиены и добавки к пище")</f>
        <v/>
      </c>
      <c r="M36" s="5" t="inlineStr">
        <is>
          <t>ЗДОРОВЫЙ ОБРАЗ ЖИЗНИ-2025</t>
        </is>
      </c>
      <c r="N36" s="7" t="inlineStr">
        <is>
          <t>https://www.zdravo-expo.ru/</t>
        </is>
      </c>
      <c r="O36" s="1">
        <f>IFERROR(__xludf.DUMMYFUNCTION("AI(Prompt!$B$21,A36)"),"Болеар")</f>
        <v/>
      </c>
    </row>
    <row r="37" ht="15.75" customHeight="1">
      <c r="A37" s="1" t="inlineStr">
        <is>
          <t>ВЕГАС, ООО</t>
        </is>
      </c>
      <c r="B37" s="1" t="inlineStr">
        <is>
          <t>11F005</t>
        </is>
      </c>
      <c r="C37" s="1" t="inlineStr">
        <is>
          <t>Россия</t>
        </is>
      </c>
      <c r="D37" s="1" t="inlineStr">
        <is>
          <t>Санкт-Петербург</t>
        </is>
      </c>
      <c r="E37" s="1" t="inlineStr">
        <is>
          <t>Россия, 196006, г. Санкт-Петербург, Московский просп., д. 91, литера А, пом. 26Н, оф. 700Б</t>
        </is>
      </c>
      <c r="F37" s="1" t="inlineStr">
        <is>
          <t>http://www.vgsgroup.ru</t>
        </is>
      </c>
      <c r="G37" s="1" t="inlineStr">
        <is>
          <t>sales@vgsgroup.ru</t>
        </is>
      </c>
      <c r="H37" s="2" t="inlineStr">
        <is>
          <t>VGSGroup — дистрибьютор медицинского компрессионного лимфодренажного оборудования бренда LymphaNorm и LymphaPress, которое подойдет для использования в медицинских учреждениях и дома.</t>
        </is>
      </c>
      <c r="I37" s="2" t="inlineStr">
        <is>
          <t>Физиотерапия и реабилитация; Оборудование для вибротерапии и массажа; Оборудование для компрессионной терапии</t>
        </is>
      </c>
      <c r="J37" s="1">
        <f>IFERROR(__xludf.DUMMYFUNCTION("AI(Prompt!$B$6, H37:I37)"),"Дилер")</f>
        <v/>
      </c>
      <c r="K37" s="1">
        <f>IFERROR(__xludf.DUMMYFUNCTION("AI(Prompt!$B$12, H37:J37)"),"OK")</f>
        <v/>
      </c>
      <c r="L37" s="2">
        <f>IFERROR(__xludf.DUMMYFUNCTION("AI(Prompt!$B$17, H37:I37)"),"оборудование для компрессионной терапии, оборудование для вибротерапии и массажа")</f>
        <v/>
      </c>
      <c r="M37" s="5" t="inlineStr">
        <is>
          <t>ЗДОРОВЫЙ ОБРАЗ ЖИЗНИ-2025</t>
        </is>
      </c>
      <c r="N37" s="7" t="inlineStr">
        <is>
          <t>https://www.zdravo-expo.ru/</t>
        </is>
      </c>
      <c r="O37" s="1">
        <f>IFERROR(__xludf.DUMMYFUNCTION("AI(Prompt!$B$21,A37)"),"Вегас")</f>
        <v/>
      </c>
    </row>
    <row r="38" ht="15.75" customHeight="1">
      <c r="A38" s="1" t="inlineStr">
        <is>
          <t>ВЕНДЛАЙТ, ТД, ООО</t>
        </is>
      </c>
      <c r="B38" s="1" t="inlineStr">
        <is>
          <t>11A120</t>
        </is>
      </c>
      <c r="C38" s="1" t="inlineStr">
        <is>
          <t>Россия</t>
        </is>
      </c>
      <c r="D38" s="1" t="inlineStr">
        <is>
          <t>Киров</t>
        </is>
      </c>
      <c r="E38" s="1" t="inlineStr">
        <is>
          <t>Россия, 610033, г. Киров, ул. Солнечная, д. 5а, оф. 304</t>
        </is>
      </c>
      <c r="F38" s="1" t="inlineStr">
        <is>
          <t>http://oxymini.ru</t>
        </is>
      </c>
      <c r="G38" s="1" t="inlineStr">
        <is>
          <t>oxymini@oxymini.ru</t>
        </is>
      </c>
      <c r="H38" s="2" t="inlineStr">
        <is>
          <t>Производство оборудования для создания кислородного коктейля.</t>
        </is>
      </c>
      <c r="I38" s="2" t="inlineStr">
        <is>
          <t>Терапевтическое оборудование; Оборудование для кислородной терапии; Спортивные клубы, ассоциации, федерации; Оборудование для эстетической медицины; Фито- и ароматерапия; Средства для спорта, отдыха, досуга</t>
        </is>
      </c>
      <c r="J38" s="1">
        <f>IFERROR(__xludf.DUMMYFUNCTION("AI(Prompt!$B$6, H38:I38)"),"Производитель")</f>
        <v/>
      </c>
      <c r="K38" s="1">
        <f>IFERROR(__xludf.DUMMYFUNCTION("AI(Prompt!$B$12, H38:J38)"),"OK")</f>
        <v/>
      </c>
      <c r="L38" s="2">
        <f>IFERROR(__xludf.DUMMYFUNCTION("AI(Prompt!$B$17, H38:I38)"),"оборудование, средства для спорта и отдыха")</f>
        <v/>
      </c>
      <c r="M38" s="5" t="inlineStr">
        <is>
          <t>ЗДОРОВЫЙ ОБРАЗ ЖИЗНИ-2025</t>
        </is>
      </c>
      <c r="N38" s="7" t="inlineStr">
        <is>
          <t>https://www.zdravo-expo.ru/</t>
        </is>
      </c>
      <c r="O38" s="1">
        <f>IFERROR(__xludf.DUMMYFUNCTION("AI(Prompt!$B$21,A38)"),"Вендлайт")</f>
        <v/>
      </c>
    </row>
    <row r="39" ht="15.75" customHeight="1">
      <c r="A39" s="5" t="inlineStr">
        <is>
          <t>ВЕНО+, ООО</t>
        </is>
      </c>
      <c r="B39" s="1" t="inlineStr">
        <is>
          <t>11F040</t>
        </is>
      </c>
      <c r="C39" s="1" t="inlineStr">
        <is>
          <t>Россия</t>
        </is>
      </c>
      <c r="D39" s="1" t="inlineStr">
        <is>
          <t>Москва</t>
        </is>
      </c>
      <c r="E39" s="1" t="inlineStr">
        <is>
          <t>Россия, 115114, г. Москва, ул. Кожевническая, д. 7, стр. 1, этаж 1</t>
        </is>
      </c>
      <c r="F39" s="1" t="inlineStr">
        <is>
          <t>https://venoplus.ru</t>
        </is>
      </c>
      <c r="G39" s="1" t="inlineStr">
        <is>
          <t>venoplus@venoplus.ru</t>
        </is>
      </c>
      <c r="H39" s="2" t="inlineStr">
        <is>
          <t>Оптовая продажа медицинских изделий: компрессионного трикотажа SIGVARIS (Швейцария), электростимуляторов VEINOPLUS (Франция), трансиллюминатора VEINLITELEDEX (США).</t>
        </is>
      </c>
      <c r="I39" s="2" t="inlineStr">
        <is>
          <t>Оборудование для электротерапии; Реабилитационное оборудование; Средства, облегчающие передвижения; Компрессионный трикотаж; Ортезы; Ортопедические бандажи и корсеты</t>
        </is>
      </c>
      <c r="J39" s="1">
        <f>IFERROR(__xludf.DUMMYFUNCTION("AI(Prompt!$B$6, H39:I39)"),"Дилер")</f>
        <v/>
      </c>
      <c r="K39" s="1">
        <f>IFERROR(__xludf.DUMMYFUNCTION("AI(Prompt!$B$12, H39:J39)"),"OK")</f>
        <v/>
      </c>
      <c r="L39" s="2">
        <f>IFERROR(__xludf.DUMMYFUNCTION("AI(Prompt!$B$17, H39:I39)"),"медицинские изделия, компрессионный трикотаж, ортезы и бандажи")</f>
        <v/>
      </c>
      <c r="M39" s="5" t="inlineStr">
        <is>
          <t>ЗДОРОВЫЙ ОБРАЗ ЖИЗНИ-2025</t>
        </is>
      </c>
      <c r="N39" s="7" t="inlineStr">
        <is>
          <t>https://www.zdravo-expo.ru/</t>
        </is>
      </c>
      <c r="O39" s="1">
        <f>IFERROR(__xludf.DUMMYFUNCTION("AI(Prompt!$B$21,A39)"),"Вено")</f>
        <v/>
      </c>
    </row>
    <row r="40" ht="15.75" customHeight="1">
      <c r="A40" s="1" t="inlineStr">
        <is>
          <t>ВИЛОВИТ, ООО</t>
        </is>
      </c>
      <c r="B40" s="1" t="inlineStr">
        <is>
          <t>11C092</t>
        </is>
      </c>
      <c r="C40" s="1" t="inlineStr">
        <is>
          <t>Россия</t>
        </is>
      </c>
      <c r="D40" s="1" t="inlineStr">
        <is>
          <t>Москва</t>
        </is>
      </c>
      <c r="E40" s="1" t="inlineStr">
        <is>
          <t>Россия, 109316, г. Москва, Волгоградский просп., д. 47, оф. 401</t>
        </is>
      </c>
      <c r="F40" s="1" t="inlineStr">
        <is>
          <t>https://vilovit.ru</t>
        </is>
      </c>
      <c r="G40" s="1" t="inlineStr">
        <is>
          <t>str@vilovit.ru</t>
        </is>
      </c>
      <c r="H40" s="2" t="inlineStr">
        <is>
          <t>ООО «ВИЛОВИТ» работает в сфере водородной терапии с 2013 года. Мы предлагаем комплексное решение по оснащению коммерческих водородных кабинетов самыми современными и высокопроизводительными технологиями.</t>
        </is>
      </c>
      <c r="I40" s="2" t="inlineStr">
        <is>
          <t>Бальнеологическое оборудование; Оборудование для кислородной терапии; Небулайзеры (ингаляторы); Биологически активные добавки к пище</t>
        </is>
      </c>
      <c r="J40" s="1">
        <f>IFERROR(__xludf.DUMMYFUNCTION("AI(Prompt!$B$6, H40:I40)"),"Дилер")</f>
        <v/>
      </c>
      <c r="K40" s="1">
        <f>IFERROR(__xludf.DUMMYFUNCTION("AI(Prompt!$B$12, H40:J40)"),"OK")</f>
        <v/>
      </c>
      <c r="L40" s="2">
        <f>IFERROR(__xludf.DUMMYFUNCTION("AI(Prompt!$B$17, H40:I40)"),"оборудование, небулайзеры и добавки")</f>
        <v/>
      </c>
      <c r="M40" s="5" t="inlineStr">
        <is>
          <t>ЗДОРОВЫЙ ОБРАЗ ЖИЗНИ-2025</t>
        </is>
      </c>
      <c r="N40" s="7" t="inlineStr">
        <is>
          <t>https://www.zdravo-expo.ru/</t>
        </is>
      </c>
      <c r="O40" s="1">
        <f>IFERROR(__xludf.DUMMYFUNCTION("AI(Prompt!$B$21,A40)"),"Виловит")</f>
        <v/>
      </c>
    </row>
    <row r="41" ht="15.75" customHeight="1">
      <c r="A41" s="1" t="inlineStr">
        <is>
          <t>ВИСТЕРРА, ООО</t>
        </is>
      </c>
      <c r="B41" s="1" t="inlineStr">
        <is>
          <t>11C020</t>
        </is>
      </c>
      <c r="C41" s="1" t="inlineStr">
        <is>
          <t>Россия</t>
        </is>
      </c>
      <c r="E41" s="1" t="inlineStr">
        <is>
          <t>Россия, 659653, Алтайский край, село Алтайское, ул. Заозерная, д. 2</t>
        </is>
      </c>
      <c r="F41" s="1" t="inlineStr">
        <is>
          <t>http://Visterra.ru</t>
        </is>
      </c>
      <c r="G41" s="1" t="inlineStr">
        <is>
          <t>ved@visterra.ru</t>
        </is>
      </c>
      <c r="H41" s="2" t="inlineStr">
        <is>
          <t>«Вистерра» (Vis terra) по-латыни – сила земли. Предприятие занимается глубокой переработкой разных видов природного сырья с производством густых и сухих экстрактов и оздоровительной продукции на их основе.</t>
        </is>
      </c>
      <c r="I41" s="2" t="inlineStr">
        <is>
          <t>Органические, натуральные продукты питания; Витаминно-минеральные комплексы, антиоксиданты; Биологически активные добавки к пище</t>
        </is>
      </c>
      <c r="J41" s="1">
        <f>IFERROR(__xludf.DUMMYFUNCTION("AI(Prompt!$B$6, H41:I41)"),"Производитель")</f>
        <v/>
      </c>
      <c r="K41" s="1">
        <f>IFERROR(__xludf.DUMMYFUNCTION("AI(Prompt!$B$12, H41:J41)"),"OK")</f>
        <v/>
      </c>
      <c r="L41" s="2">
        <f>IFERROR(__xludf.DUMMYFUNCTION("AI(Prompt!$B$17, H41:I41)"),"экстракты, продукты питания и добавки")</f>
        <v/>
      </c>
      <c r="M41" s="5" t="inlineStr">
        <is>
          <t>ЗДОРОВЫЙ ОБРАЗ ЖИЗНИ-2025</t>
        </is>
      </c>
      <c r="N41" s="7" t="inlineStr">
        <is>
          <t>https://www.zdravo-expo.ru/</t>
        </is>
      </c>
      <c r="O41" s="1">
        <f>IFERROR(__xludf.DUMMYFUNCTION("AI(Prompt!$B$21,A41)"),"Вистерра")</f>
        <v/>
      </c>
    </row>
    <row r="42" ht="15.75" customHeight="1">
      <c r="A42" s="1" t="inlineStr">
        <is>
          <t>ВОЛГОГРАДСКАЯ ОБЛАСТЬ</t>
        </is>
      </c>
      <c r="B42" s="1" t="inlineStr">
        <is>
          <t>11G130</t>
        </is>
      </c>
      <c r="C42" s="1" t="inlineStr">
        <is>
          <t>Россия</t>
        </is>
      </c>
      <c r="D42" s="1" t="inlineStr">
        <is>
          <t>Волгоград</t>
        </is>
      </c>
      <c r="E42" s="1" t="inlineStr">
        <is>
          <t>Россия, 400012, г. Волгоград, просп. им Маршала Советского Союза Г.К. Жукова, д. 3, оф. 108</t>
        </is>
      </c>
      <c r="F42" s="1" t="inlineStr">
        <is>
          <t>http://www.mspvolga.ru</t>
        </is>
      </c>
      <c r="G42" s="1" t="inlineStr">
        <is>
          <t>ciss34@volganet.ru</t>
        </is>
      </c>
      <c r="H42" s="2" t="inlineStr">
        <is>
          <t>Трости, костыли с опорой. Инновационное оборудования. Оздоровительные масла, натуральная косметика, травяные сборы. Вязаные изделия из козьего пуха.</t>
        </is>
      </c>
      <c r="I42" s="2" t="inlineStr">
        <is>
          <t>Биологически активные добавки к пище; Средства для обучения и развития</t>
        </is>
      </c>
      <c r="J42" s="1">
        <f>IFERROR(__xludf.DUMMYFUNCTION("AI(Prompt!$B$6, H42:I42)"),"Производитель")</f>
        <v/>
      </c>
      <c r="K42" s="1">
        <f>IFERROR(__xludf.DUMMYFUNCTION("AI(Prompt!$B$12, H42:J42)"),"OK")</f>
        <v/>
      </c>
      <c r="L42" s="2">
        <f>IFERROR(__xludf.DUMMYFUNCTION("AI(Prompt!$B$17, H42:I42)"),"трости, костыли, инновационное оборудование, оздоровительные масла, и натуральная косметика")</f>
        <v/>
      </c>
      <c r="M42" s="5" t="inlineStr">
        <is>
          <t>ЗДОРОВЫЙ ОБРАЗ ЖИЗНИ-2025</t>
        </is>
      </c>
      <c r="N42" s="7" t="inlineStr">
        <is>
          <t>https://www.zdravo-expo.ru/</t>
        </is>
      </c>
      <c r="O42" s="1">
        <f>IFERROR(__xludf.DUMMYFUNCTION("AI(Prompt!$B$21,A42)"),"Волгоградская Область")</f>
        <v/>
      </c>
    </row>
    <row r="43" ht="15.75" customHeight="1">
      <c r="A43" s="1" t="inlineStr">
        <is>
          <t>ГИДРИАТИКА, НПП, ООО</t>
        </is>
      </c>
      <c r="B43" s="1" t="inlineStr">
        <is>
          <t>11D004</t>
        </is>
      </c>
      <c r="C43" s="1" t="inlineStr">
        <is>
          <t>Россия</t>
        </is>
      </c>
      <c r="D43" s="1" t="inlineStr">
        <is>
          <t>Пенза</t>
        </is>
      </c>
      <c r="E43" s="1" t="inlineStr">
        <is>
          <t>Россия, 440052, г. Пенза, ул. Тамбовская, д. 1, пом. 5</t>
        </is>
      </c>
      <c r="F43" s="1" t="inlineStr">
        <is>
          <t>https://dushalexeeva.com</t>
        </is>
      </c>
      <c r="G43" s="1" t="inlineStr">
        <is>
          <t>info@dushalexeeva.com</t>
        </is>
      </c>
      <c r="H43" s="2" t="inlineStr">
        <is>
          <t>ООО "НПП «Гидриатика» производит и реализует тиксотренажер «Душ Алексеева». «Душ Алексеева» – струйно-капельный кавитационный тиксотренажер для оздоровления соединительной ткани.</t>
        </is>
      </c>
      <c r="I43" s="2" t="inlineStr">
        <is>
          <t>Оборудование для ударно-волновой терапии; Тренажеры</t>
        </is>
      </c>
      <c r="J43" s="1">
        <f>IFERROR(__xludf.DUMMYFUNCTION("AI(Prompt!$B$6, H43:I43)"),"Производитель")</f>
        <v/>
      </c>
      <c r="K43" s="1">
        <f>IFERROR(__xludf.DUMMYFUNCTION("AI(Prompt!$B$12, H43:J43)"),"OK")</f>
        <v/>
      </c>
      <c r="L43" s="2">
        <f>IFERROR(__xludf.DUMMYFUNCTION("AI(Prompt!$B$17, H43:I43)"),"тренажеры и оборудование")</f>
        <v/>
      </c>
      <c r="M43" s="5" t="inlineStr">
        <is>
          <t>ЗДОРОВЫЙ ОБРАЗ ЖИЗНИ-2025</t>
        </is>
      </c>
      <c r="N43" s="7" t="inlineStr">
        <is>
          <t>https://www.zdravo-expo.ru/</t>
        </is>
      </c>
      <c r="O43" s="1">
        <f>IFERROR(__xludf.DUMMYFUNCTION("AI(Prompt!$B$21,A43)"),"Гидриатика")</f>
        <v/>
      </c>
    </row>
    <row r="44" ht="15.75" customHeight="1">
      <c r="A44" s="1" t="inlineStr">
        <is>
          <t>ДЕТОКС ЦЕНТР В. А. МАТКЕВИЧА</t>
        </is>
      </c>
      <c r="B44" s="1" t="inlineStr">
        <is>
          <t>11F080</t>
        </is>
      </c>
      <c r="C44" s="1" t="inlineStr">
        <is>
          <t>Россия</t>
        </is>
      </c>
      <c r="D44" s="1" t="inlineStr">
        <is>
          <t>Москва</t>
        </is>
      </c>
      <c r="E44" s="1" t="inlineStr">
        <is>
          <t>Россия, 109147, г. Москва, ул. Таганская, д. 1/2, стр. 2, оф. 9</t>
        </is>
      </c>
      <c r="F44" s="1" t="inlineStr">
        <is>
          <t>https://detoxmatkevich.ru</t>
        </is>
      </c>
      <c r="G44" s="1" t="inlineStr">
        <is>
          <t>detox-matkevich@yandex.ru</t>
        </is>
      </c>
      <c r="H44" s="2" t="inlineStr">
        <is>
          <t>«Детокс Центр» популяризирует методику «Лаваж Маткевича», ее эффективность и безопасность изучалась в клинических условиях и апробировалась в ведущих медицинских учреждениях. Запатентована в РФ, США, Индии.</t>
        </is>
      </c>
      <c r="I44" s="2" t="inlineStr">
        <is>
          <t>Профилактическая медицина, увеличение продолжительности жизни; Методы и способы усиления иммунитета, повышения защитных функций организма; Технологии и продукты для здорового питания; Пропаганда здорового образа жизни; Средства и методы борьбы с наркоманией, алкоголизмом и табакокурением; Фармацевтические средства и БАД</t>
        </is>
      </c>
      <c r="J44" s="1">
        <f>IFERROR(__xludf.DUMMYFUNCTION("AI(Prompt!$B$6, H44:I44)"),"Поставщик услуг")</f>
        <v/>
      </c>
      <c r="K44" s="1">
        <f>IFERROR(__xludf.DUMMYFUNCTION("AI(Prompt!$B$12, H44:J44)"),"OK")</f>
        <v/>
      </c>
      <c r="L44" s="2">
        <f>IFERROR(__xludf.DUMMYFUNCTION("AI(Prompt!$B$17, H44:I44)"),"фармацевтические средства, БАД и продукты питания")</f>
        <v/>
      </c>
      <c r="M44" s="5" t="inlineStr">
        <is>
          <t>ЗДОРОВЫЙ ОБРАЗ ЖИЗНИ-2025</t>
        </is>
      </c>
      <c r="N44" s="7" t="inlineStr">
        <is>
          <t>https://www.zdravo-expo.ru/</t>
        </is>
      </c>
      <c r="O44" s="1">
        <f>IFERROR(__xludf.DUMMYFUNCTION("AI(Prompt!$B$21,A44)"),"Детокс Центр")</f>
        <v/>
      </c>
    </row>
    <row r="45" ht="15.75" customHeight="1">
      <c r="A45" s="1" t="inlineStr">
        <is>
          <t>ДИНАМИКА — ОРТОПЕДИЧЕСКИЕ ТЕХНОЛОГИИ, ООО</t>
        </is>
      </c>
      <c r="B45" s="1" t="inlineStr">
        <is>
          <t>11A090</t>
        </is>
      </c>
      <c r="C45" s="1" t="inlineStr">
        <is>
          <t>Россия</t>
        </is>
      </c>
      <c r="D45" s="1" t="inlineStr">
        <is>
          <t>Москва</t>
        </is>
      </c>
      <c r="E45" s="1" t="inlineStr">
        <is>
          <t>Россия, 119071, г. Москва, 2-й Донской пр-д, д. 4</t>
        </is>
      </c>
      <c r="F45" s="1" t="inlineStr">
        <is>
          <t>https://dynamics-orto.ru/o-nas</t>
        </is>
      </c>
      <c r="G45" s="1" t="inlineStr">
        <is>
          <t>info@dynamics-orto.ru</t>
        </is>
      </c>
      <c r="H45" s="2" t="inlineStr">
        <is>
          <t>«Динамика» — современный центр протезирования и реабилитации, осуществляющий бесплатное протезирование и реабилитацию граждан по госпрограмме, а также предоставляющий полное сопровождение документов.</t>
        </is>
      </c>
      <c r="I45" s="2" t="inlineStr">
        <is>
          <t>Реабилитационное оборудование; Средства, облегчающие передвижения; Ассистивные технологии; Средства для обучения и развития; Средства для организации быта; Средства для спорта, отдыха, досуга</t>
        </is>
      </c>
      <c r="J45" s="1">
        <f>IFERROR(__xludf.DUMMYFUNCTION("AI(Prompt!$B$6, H45:I45)"),"Поставщик услуг")</f>
        <v/>
      </c>
      <c r="K45" s="1">
        <f>IFERROR(__xludf.DUMMYFUNCTION("AI(Prompt!$B$12, H45:J45)"),"OK")</f>
        <v/>
      </c>
      <c r="L45" s="2">
        <f>IFERROR(__xludf.DUMMYFUNCTION("AI(Prompt!$B$17, H45:I45)"),"реабилитационное оборудование, ассистивные технологии и средства передвижения")</f>
        <v/>
      </c>
      <c r="M45" s="5" t="inlineStr">
        <is>
          <t>ЗДОРОВЫЙ ОБРАЗ ЖИЗНИ-2025</t>
        </is>
      </c>
      <c r="N45" s="7" t="inlineStr">
        <is>
          <t>https://www.zdravo-expo.ru/</t>
        </is>
      </c>
      <c r="O45" s="1">
        <f>IFERROR(__xludf.DUMMYFUNCTION("AI(Prompt!$B$21,A45)"),"Динамика — Ортопедические Технологии")</f>
        <v/>
      </c>
    </row>
    <row r="46" ht="15.75" customHeight="1">
      <c r="A46" s="1" t="inlineStr">
        <is>
          <t>ДИСНЕТ, ООО</t>
        </is>
      </c>
      <c r="B46" s="1" t="inlineStr">
        <is>
          <t>11D050</t>
        </is>
      </c>
      <c r="C46" s="1" t="inlineStr">
        <is>
          <t>Россия</t>
        </is>
      </c>
      <c r="D46" s="1" t="inlineStr">
        <is>
          <t>Москва</t>
        </is>
      </c>
      <c r="E46" s="1" t="inlineStr">
        <is>
          <t>Россия, 123458, г. Москва, ул. Твардовского, д. 8, стр. 1, Технопарк Строгино, оф. А201</t>
        </is>
      </c>
      <c r="F46" s="1" t="inlineStr">
        <is>
          <t>http://www.disnet.ru</t>
        </is>
      </c>
      <c r="G46" s="1" t="inlineStr">
        <is>
          <t>info@disnet.ru</t>
        </is>
      </c>
      <c r="H46" s="2" t="inlineStr">
        <is>
          <t>Мобильные комплексы для контроля и коррекции функционального состояния, оснащение кабинетов «Антистресс» под ключ. Аудиовизуальный комплекс (АВК) «Диснет», антистрессовое кресло «Сенсорум».</t>
        </is>
      </c>
      <c r="I46" s="2" t="inlineStr">
        <is>
          <t>Прочие диагностические устройства; Производство медицинских изделий; Методы и способы усиления иммунитета, повышения защитных функций организма; Психологическая охрана здоровья</t>
        </is>
      </c>
      <c r="J46" s="1">
        <f>IFERROR(__xludf.DUMMYFUNCTION("AI(Prompt!$B$6, H46:I46)"),"Производитель")</f>
        <v/>
      </c>
      <c r="K46" s="1">
        <f>IFERROR(__xludf.DUMMYFUNCTION("AI(Prompt!$B$12, H46:J46)"),"OK")</f>
        <v/>
      </c>
      <c r="L46" s="2">
        <f>IFERROR(__xludf.DUMMYFUNCTION("AI(Prompt!$B$17, H46:I46)"),"мобильные комплексы и кресла")</f>
        <v/>
      </c>
      <c r="M46" s="5" t="inlineStr">
        <is>
          <t>ЗДОРОВЫЙ ОБРАЗ ЖИЗНИ-2025</t>
        </is>
      </c>
      <c r="N46" s="7" t="inlineStr">
        <is>
          <t>https://www.zdravo-expo.ru/</t>
        </is>
      </c>
      <c r="O46" s="1">
        <f>IFERROR(__xludf.DUMMYFUNCTION("AI(Prompt!$B$21,A46)"),"Диснет")</f>
        <v/>
      </c>
    </row>
    <row r="47" ht="15.75" customHeight="1">
      <c r="A47" s="1" t="inlineStr">
        <is>
          <t>ЖИМ, OOO</t>
        </is>
      </c>
      <c r="B47" s="1" t="inlineStr">
        <is>
          <t>11G068</t>
        </is>
      </c>
      <c r="C47" s="1" t="inlineStr">
        <is>
          <t>Россия</t>
        </is>
      </c>
      <c r="D47" s="1" t="inlineStr">
        <is>
          <t>Москва</t>
        </is>
      </c>
      <c r="E47" s="1" t="inlineStr">
        <is>
          <t>Россия, 129626, г. Москва, ул. Маломосковская, д. 22, стр. 1, пом. 1, комн. 58, 59, 60</t>
        </is>
      </c>
      <c r="F47" s="1" t="inlineStr">
        <is>
          <t>http://www.relaksy.ru</t>
        </is>
      </c>
      <c r="G47" s="1" t="inlineStr">
        <is>
          <t>gymoff@yandex.ru</t>
        </is>
      </c>
      <c r="H47" s="2" t="inlineStr">
        <is>
          <t>Основное направление деятельности компании — производство массажной анатомической обуви «Релаксы» и оптовая торговля ортопедическими изделиями, товарами для здоровья и красоты.</t>
        </is>
      </c>
      <c r="I47" s="2" t="inlineStr">
        <is>
          <t>Оборудование для вибротерапии и массажа; Ортопедические средства для ног, стельки и др.; Ортопедическое оборудование и инструменты</t>
        </is>
      </c>
      <c r="J47" s="1">
        <f>IFERROR(__xludf.DUMMYFUNCTION("AI(Prompt!$B$6, H47:I47)"),"Производитель")</f>
        <v/>
      </c>
      <c r="K47" s="1">
        <f>IFERROR(__xludf.DUMMYFUNCTION("AI(Prompt!$B$12, H47:J47)"),"OK")</f>
        <v/>
      </c>
      <c r="L47" s="2">
        <f>IFERROR(__xludf.DUMMYFUNCTION("AI(Prompt!$B$17, H47:I47)"),"массажная обувь, ортопедические изделия, товары для здоровья и красоты")</f>
        <v/>
      </c>
      <c r="M47" s="5" t="inlineStr">
        <is>
          <t>ЗДОРОВЫЙ ОБРАЗ ЖИЗНИ-2025</t>
        </is>
      </c>
      <c r="N47" s="7" t="inlineStr">
        <is>
          <t>https://www.zdravo-expo.ru/</t>
        </is>
      </c>
      <c r="O47" s="1">
        <f>IFERROR(__xludf.DUMMYFUNCTION("AI(Prompt!$B$21,A47)"),"ЖИМ")</f>
        <v/>
      </c>
    </row>
    <row r="48" ht="15.75" customHeight="1">
      <c r="A48" s="1" t="inlineStr">
        <is>
          <t>ЗСО МАРКЕТ, ООО</t>
        </is>
      </c>
      <c r="B48" s="8" t="n">
        <v>110000000000</v>
      </c>
      <c r="C48" s="1" t="inlineStr">
        <is>
          <t>Россия</t>
        </is>
      </c>
      <c r="D48" s="1" t="inlineStr">
        <is>
          <t>Владимир</t>
        </is>
      </c>
      <c r="E48" s="1" t="inlineStr">
        <is>
          <t>Россия, 600000, г. Владимир, ул. Гагарина, д. 4, корп. 2, пом. 11</t>
        </is>
      </c>
      <c r="F48" s="1" t="inlineStr">
        <is>
          <t>http://www.zsomarket.ru</t>
        </is>
      </c>
      <c r="G48" s="1" t="inlineStr">
        <is>
          <t>info@zsomarket.ru</t>
        </is>
      </c>
      <c r="H48" s="2" t="inlineStr">
        <is>
          <t>«ЗСО Маркет» — торгово-производственная компания, работающая с ведущими российскими и зарубежными производителями. Поставляет инвалидную технику, реабилитационное и медицинское оборудование.</t>
        </is>
      </c>
      <c r="I48" s="2" t="inlineStr">
        <is>
          <t>Физиотерапия и реабилитация; Реабилитационное оборудование; Средства, облегчающие передвижения</t>
        </is>
      </c>
      <c r="J48" s="1">
        <f>IFERROR(__xludf.DUMMYFUNCTION("AI(Prompt!$B$6, H48:I48)"),"Производитель")</f>
        <v/>
      </c>
      <c r="K48" s="1">
        <f>IFERROR(__xludf.DUMMYFUNCTION("AI(Prompt!$B$12, H48:J48)"),"OK")</f>
        <v/>
      </c>
      <c r="L48" s="2">
        <f>IFERROR(__xludf.DUMMYFUNCTION("AI(Prompt!$B$17, H48:I48)"),"инвалидная техника, реабилитационное и медицинское оборудование")</f>
        <v/>
      </c>
      <c r="M48" s="5" t="inlineStr">
        <is>
          <t>ЗДОРОВЫЙ ОБРАЗ ЖИЗНИ-2025</t>
        </is>
      </c>
      <c r="N48" s="7" t="inlineStr">
        <is>
          <t>https://www.zdravo-expo.ru/</t>
        </is>
      </c>
      <c r="O48" s="1">
        <f>IFERROR(__xludf.DUMMYFUNCTION("AI(Prompt!$B$21,A48)"),"Зсо Маркет")</f>
        <v/>
      </c>
    </row>
    <row r="49" ht="15.75" customHeight="1">
      <c r="A49" s="1" t="inlineStr">
        <is>
          <t>ЗСО, ООО</t>
        </is>
      </c>
      <c r="B49" s="8" t="n">
        <v>110000000000</v>
      </c>
      <c r="C49" s="1" t="inlineStr">
        <is>
          <t>Россия</t>
        </is>
      </c>
      <c r="D49" s="1" t="inlineStr">
        <is>
          <t>Лакинск</t>
        </is>
      </c>
      <c r="E49" s="1" t="inlineStr">
        <is>
          <t>Россия, 601241, Владимирская обл., г. Лакинск, Собинский р-н, Почтовый пер., д. 3а/1, пом. 8</t>
        </is>
      </c>
      <c r="F49" s="1" t="inlineStr">
        <is>
          <t>http://zso.ru</t>
        </is>
      </c>
      <c r="G49" s="1" t="inlineStr">
        <is>
          <t>info@zso.ru</t>
        </is>
      </c>
      <c r="H49" s="2" t="inlineStr">
        <is>
          <t>Завод специального оборудования — российский производитель медицинской и реабилитационной техники. Продукция предприятия соответствует всем требованиям Федеральной службы по надзору в сфере здравоохранения, что подтверждено регистрационными удостоверениями.</t>
        </is>
      </c>
      <c r="I49" s="2" t="inlineStr">
        <is>
          <t>Производство медицинских изделий; Реабилитационное оборудование; Средства, облегчающие передвижения</t>
        </is>
      </c>
      <c r="J49" s="1">
        <f>IFERROR(__xludf.DUMMYFUNCTION("AI(Prompt!$B$6, H49:I49)"),"Производитель")</f>
        <v/>
      </c>
      <c r="K49" s="1">
        <f>IFERROR(__xludf.DUMMYFUNCTION("AI(Prompt!$B$12, H49:J49)"),"OK")</f>
        <v/>
      </c>
      <c r="L49" s="2">
        <f>IFERROR(__xludf.DUMMYFUNCTION("AI(Prompt!$B$17, H49:I49)"),"медицинские изделия, реабилитационное оборудование и средства передвижения")</f>
        <v/>
      </c>
      <c r="M49" s="5" t="inlineStr">
        <is>
          <t>ЗДОРОВЫЙ ОБРАЗ ЖИЗНИ-2025</t>
        </is>
      </c>
      <c r="N49" s="7" t="inlineStr">
        <is>
          <t>https://www.zdravo-expo.ru/</t>
        </is>
      </c>
      <c r="O49" s="1">
        <f>IFERROR(__xludf.DUMMYFUNCTION("AI(Prompt!$B$21,A49)"),"ЗСО")</f>
        <v/>
      </c>
    </row>
    <row r="50" ht="15.75" customHeight="1">
      <c r="A50" s="1" t="inlineStr">
        <is>
          <t>ИЖМЕДСЕРВИС, ООО</t>
        </is>
      </c>
      <c r="B50" s="1" t="inlineStr">
        <is>
          <t>11G015</t>
        </is>
      </c>
      <c r="C50" s="1" t="inlineStr">
        <is>
          <t>Россия</t>
        </is>
      </c>
      <c r="D50" s="1" t="inlineStr">
        <is>
          <t>Ижевск</t>
        </is>
      </c>
      <c r="E50" s="1" t="inlineStr">
        <is>
          <t>Россия, 426053, Удмуртская Республика, г. Ижевск, ул. Ворошилова, д. 55, корп. 4, кв. 105</t>
        </is>
      </c>
      <c r="G50" s="1" t="inlineStr">
        <is>
          <t>avt291180@yandex.ru</t>
        </is>
      </c>
      <c r="H50" s="2" t="inlineStr">
        <is>
          <t>Компания «Ижмедсервис» занимается собственным производством ортопедических стелек под брендом DASTEP. Сегодня мы представляем четыре вида жесткости стелек: мягкие, средней жесткости, жесткие, супержесткие.</t>
        </is>
      </c>
      <c r="I50" s="2" t="inlineStr">
        <is>
          <t>Реабилитационное оборудование; Средства, облегчающие передвижения; Ортопедические средства для ног, стельки и др.; Ортопедическое оборудование и инструменты</t>
        </is>
      </c>
      <c r="J50" s="1">
        <f>IFERROR(__xludf.DUMMYFUNCTION("AI(Prompt!$B$6, H50:I50)"),"Производитель")</f>
        <v/>
      </c>
      <c r="K50" s="1">
        <f>IFERROR(__xludf.DUMMYFUNCTION("AI(Prompt!$B$12, H50:J50)"),"OK")</f>
        <v/>
      </c>
      <c r="L50" s="2">
        <f>IFERROR(__xludf.DUMMYFUNCTION("AI(Prompt!$B$17, H50:I50)"),"ортопедические стельки, реабилитационное оборудование и инструменты")</f>
        <v/>
      </c>
      <c r="M50" s="5" t="inlineStr">
        <is>
          <t>ЗДОРОВЫЙ ОБРАЗ ЖИЗНИ-2025</t>
        </is>
      </c>
      <c r="N50" s="7" t="inlineStr">
        <is>
          <t>https://www.zdravo-expo.ru/</t>
        </is>
      </c>
      <c r="O50" s="1">
        <f>IFERROR(__xludf.DUMMYFUNCTION("AI(Prompt!$B$21,A50)"),"Ижмедсервис")</f>
        <v/>
      </c>
    </row>
    <row r="51" ht="15.75" customHeight="1">
      <c r="A51" s="1" t="inlineStr">
        <is>
          <t>ИМПЛАНТ МТ, АО</t>
        </is>
      </c>
      <c r="B51" s="1" t="inlineStr">
        <is>
          <t>11G090</t>
        </is>
      </c>
      <c r="C51" s="1" t="inlineStr">
        <is>
          <t>Россия</t>
        </is>
      </c>
      <c r="D51" s="1" t="inlineStr">
        <is>
          <t>Москва</t>
        </is>
      </c>
      <c r="E51" s="1" t="inlineStr">
        <is>
          <t>Россия, 121552, г. Москва, ул. Оршанская, д. 5, пом. 146</t>
        </is>
      </c>
      <c r="F51" s="1" t="inlineStr">
        <is>
          <t>http://implants.ru</t>
        </is>
      </c>
      <c r="G51" s="1" t="inlineStr">
        <is>
          <t>amt@implants.ru</t>
        </is>
      </c>
      <c r="H51" s="2" t="inlineStr">
        <is>
          <t>АО «Имплант МТ» специализируется на проектировании и производстве эндопротезов суставов человека для первичной, ревизионной и онкологической артропластики, а также инструментов для их установки.</t>
        </is>
      </c>
      <c r="I51" s="2" t="inlineStr">
        <is>
          <t>Ортопедическое оборудование и инструменты; Эндопротезы и имплантаты</t>
        </is>
      </c>
      <c r="J51" s="1">
        <f>IFERROR(__xludf.DUMMYFUNCTION("AI(Prompt!$B$6, H51:I51)"),"Производитель")</f>
        <v/>
      </c>
      <c r="K51" s="1">
        <f>IFERROR(__xludf.DUMMYFUNCTION("AI(Prompt!$B$12, H51:J51)"),"OK")</f>
        <v/>
      </c>
      <c r="L51" s="2">
        <f>IFERROR(__xludf.DUMMYFUNCTION("AI(Prompt!$B$17, H51:I51)"),"эндопротезы, инструменты и оборудование")</f>
        <v/>
      </c>
      <c r="M51" s="5" t="inlineStr">
        <is>
          <t>ЗДОРОВЫЙ ОБРАЗ ЖИЗНИ-2025</t>
        </is>
      </c>
      <c r="N51" s="7" t="inlineStr">
        <is>
          <t>https://www.zdravo-expo.ru/</t>
        </is>
      </c>
      <c r="O51" s="1">
        <f>IFERROR(__xludf.DUMMYFUNCTION("AI(Prompt!$B$21,A51)"),"Имплант МТ")</f>
        <v/>
      </c>
    </row>
    <row r="52" ht="15.75" customHeight="1">
      <c r="A52" s="1" t="inlineStr">
        <is>
          <t>ИМПУЛЬС</t>
        </is>
      </c>
      <c r="B52" s="1" t="inlineStr">
        <is>
          <t>11F022</t>
        </is>
      </c>
      <c r="C52" s="1" t="inlineStr">
        <is>
          <t>Россия</t>
        </is>
      </c>
      <c r="E52" s="1" t="inlineStr">
        <is>
          <t>Россия</t>
        </is>
      </c>
      <c r="H52" s="2" t="n"/>
      <c r="I52" s="2" t="n"/>
      <c r="J52" s="1">
        <f>IFERROR(__xludf.DUMMYFUNCTION("AI(Prompt!$B$6, H52:I52)"),"The table data is empty. Please provide the company description and categories for classification.")</f>
        <v/>
      </c>
      <c r="K52" s="1">
        <f>IFERROR(__xludf.DUMMYFUNCTION("AI(Prompt!$B$12, H52:J52)"),"The table data is empty. Please provide the company description and categories for classification.")</f>
        <v/>
      </c>
      <c r="L52" s="2">
        <f>IFERROR(__xludf.DUMMYFUNCTION("AI(Prompt!$B$17, H52:I52)"),"Information needed to extract the products is missing from the table.")</f>
        <v/>
      </c>
      <c r="M52" s="5" t="inlineStr">
        <is>
          <t>ЗДОРОВЫЙ ОБРАЗ ЖИЗНИ-2025</t>
        </is>
      </c>
      <c r="N52" s="7" t="inlineStr">
        <is>
          <t>https://www.zdravo-expo.ru/</t>
        </is>
      </c>
      <c r="O52" s="1">
        <f>IFERROR(__xludf.DUMMYFUNCTION("AI(Prompt!$B$21,A52)"),"Импульс")</f>
        <v/>
      </c>
    </row>
    <row r="53" ht="15.75" customHeight="1">
      <c r="A53" s="1" t="inlineStr">
        <is>
          <t>ИНСТИТУТ КИНЕЗИОЛОГИИ, ЧАСТНОЕ УЧРЕЖДЕНИЕ ДОПОЛНИТЕЛЬНОГО ПРОФЕССИОНАЛЬНОГО ОБРАЗОВАНИЯ</t>
        </is>
      </c>
      <c r="B53" s="1" t="inlineStr">
        <is>
          <t>11G065</t>
        </is>
      </c>
      <c r="C53" s="1" t="inlineStr">
        <is>
          <t>Россия</t>
        </is>
      </c>
      <c r="D53" s="1" t="inlineStr">
        <is>
          <t>Москва</t>
        </is>
      </c>
      <c r="E53" s="1" t="inlineStr">
        <is>
          <t>Россия, 121596, г. Москва, ул. Горбунова, д. 2, стр. 3, пом. 2</t>
        </is>
      </c>
      <c r="F53" s="1" t="inlineStr">
        <is>
          <t>http://i-kines.ru</t>
        </is>
      </c>
      <c r="G53" s="1" t="inlineStr">
        <is>
          <t>antistress1@mail.ru</t>
        </is>
      </c>
      <c r="H53" s="2" t="inlineStr">
        <is>
          <t>Институт кинезиологии — современное образование и практики для здоровья. Подготовка специалистов, консультации и программы личностного развития.</t>
        </is>
      </c>
      <c r="I53" s="2" t="inlineStr">
        <is>
          <t>Акупунктура; Фито- и ароматерапия; Методы и способы усиления иммунитета, повышения защитных функций организма; Психологическая охрана здоровья; Экспресс-тесты; Биологически активные добавки к пище</t>
        </is>
      </c>
      <c r="J53" s="1">
        <f>IFERROR(__xludf.DUMMYFUNCTION("AI(Prompt!$B$6, H53:I53)"),"Поставщик услуг")</f>
        <v/>
      </c>
      <c r="K53" s="1">
        <f>IFERROR(__xludf.DUMMYFUNCTION("AI(Prompt!$B$12, H53:J53)"),"OK")</f>
        <v/>
      </c>
      <c r="L53" s="2">
        <f>IFERROR(__xludf.DUMMYFUNCTION("AI(Prompt!$B$17, H53:I53)"),"экспресс-тесты и добавки")</f>
        <v/>
      </c>
      <c r="M53" s="5" t="inlineStr">
        <is>
          <t>ЗДОРОВЫЙ ОБРАЗ ЖИЗНИ-2025</t>
        </is>
      </c>
      <c r="N53" s="7" t="inlineStr">
        <is>
          <t>https://www.zdravo-expo.ru/</t>
        </is>
      </c>
      <c r="O53" s="1">
        <f>IFERROR(__xludf.DUMMYFUNCTION("AI(Prompt!$B$21,A53)"),"Институт Кинезиологии")</f>
        <v/>
      </c>
    </row>
    <row r="54" ht="15.75" customHeight="1">
      <c r="A54" s="1" t="inlineStr">
        <is>
          <t>ИНТЕР-ЭТОН, ООО</t>
        </is>
      </c>
      <c r="B54" s="1" t="inlineStr">
        <is>
          <t>11G125</t>
        </is>
      </c>
      <c r="C54" s="1" t="inlineStr">
        <is>
          <t>Россия</t>
        </is>
      </c>
      <c r="D54" s="1" t="inlineStr">
        <is>
          <t>Москва</t>
        </is>
      </c>
      <c r="E54" s="1" t="inlineStr">
        <is>
          <t>Россия, 105094, г. Москва, ул. Гольяновская, д. 7а, корп. 4, пом. 2Н</t>
        </is>
      </c>
      <c r="F54" s="1" t="inlineStr">
        <is>
          <t>http://www.inter-eton.ru</t>
        </is>
      </c>
      <c r="G54" s="1" t="inlineStr">
        <is>
          <t>inter-eton@list.ru</t>
        </is>
      </c>
      <c r="H54" s="2" t="inlineStr">
        <is>
          <t>Медицинская техника для лечения заболеваний органов дыхания: ингаляторы фирмы «Флаем Нуова» (Италия), концентраторы кислорода фирмы «Найдек Медикал» (США) и 4-местная ингаляционная установка «НИКО» (Россия).</t>
        </is>
      </c>
      <c r="I54" s="2" t="inlineStr">
        <is>
          <t>Оборудование для кислородной терапии; Небулайзеры (ингаляторы); Наркозно-дыхательные аппараты</t>
        </is>
      </c>
      <c r="J54" s="1">
        <f>IFERROR(__xludf.DUMMYFUNCTION("AI(Prompt!$B$6, H54:I54)"),"Дилер")</f>
        <v/>
      </c>
      <c r="K54" s="1">
        <f>IFERROR(__xludf.DUMMYFUNCTION("AI(Prompt!$B$12, H54:J54)"),"OK")</f>
        <v/>
      </c>
      <c r="L54" s="2">
        <f>IFERROR(__xludf.DUMMYFUNCTION("AI(Prompt!$B$17, H54:I54)"),"ингаляторы, концентраторы кислорода и аппараты дыхательные")</f>
        <v/>
      </c>
      <c r="M54" s="5" t="inlineStr">
        <is>
          <t>ЗДОРОВЫЙ ОБРАЗ ЖИЗНИ-2025</t>
        </is>
      </c>
      <c r="N54" s="7" t="inlineStr">
        <is>
          <t>https://www.zdravo-expo.ru/</t>
        </is>
      </c>
      <c r="O54" s="1">
        <f>IFERROR(__xludf.DUMMYFUNCTION("AI(Prompt!$B$21,A54)"),"Интер-Этон")</f>
        <v/>
      </c>
    </row>
    <row r="55" ht="15.75" customHeight="1">
      <c r="A55" s="1" t="inlineStr">
        <is>
          <t>ИНТЕРФИН, OOO</t>
        </is>
      </c>
      <c r="B55" s="8" t="n">
        <v>1.1e+31</v>
      </c>
      <c r="C55" s="1" t="inlineStr">
        <is>
          <t>Россия</t>
        </is>
      </c>
      <c r="D55" s="1" t="inlineStr">
        <is>
          <t>Москва</t>
        </is>
      </c>
      <c r="E55" s="1" t="inlineStr">
        <is>
          <t>Россия, 109316, г. Москва, Остаповский пр-д, д. 5/1, стр. 2</t>
        </is>
      </c>
      <c r="F55" s="1" t="inlineStr">
        <is>
          <t>http://emwmed.ru</t>
        </is>
      </c>
      <c r="G55" s="1" t="inlineStr">
        <is>
          <t>info@emwmed.ru</t>
        </is>
      </c>
      <c r="H55" s="2" t="inlineStr">
        <is>
          <t>«Интерфин» — российский производитель медицинского оборудования для физиотерапии и реабилитации. Производит cистему электромагнитной стимуляции EMW MED, генераторы водорода EMW для ингаляций и ванн.</t>
        </is>
      </c>
      <c r="I55" s="2" t="inlineStr">
        <is>
          <t>Производство медицинских изделий; Физиотерапия и реабилитация; Оборудование для вибротерапии и массажа; Оборудование для магнитотерапии; Оборудование для комбинированной физиотерапии; Реабилитационное оборудование</t>
        </is>
      </c>
      <c r="J55" s="1">
        <f>IFERROR(__xludf.DUMMYFUNCTION("AI(Prompt!$B$6, H55:I55)"),"Производитель")</f>
        <v/>
      </c>
      <c r="K55" s="1">
        <f>IFERROR(__xludf.DUMMYFUNCTION("AI(Prompt!$B$12, H55:J55)"),"OK")</f>
        <v/>
      </c>
      <c r="L55" s="2">
        <f>IFERROR(__xludf.DUMMYFUNCTION("AI(Prompt!$B$17, H55:I55)"),"медицинские изделия, реабилитационное оборудование и генераторы водорода")</f>
        <v/>
      </c>
      <c r="M55" s="5" t="inlineStr">
        <is>
          <t>ЗДОРОВЫЙ ОБРАЗ ЖИЗНИ-2025</t>
        </is>
      </c>
      <c r="N55" s="7" t="inlineStr">
        <is>
          <t>https://www.zdravo-expo.ru/</t>
        </is>
      </c>
      <c r="O55" s="1">
        <f>IFERROR(__xludf.DUMMYFUNCTION("AI(Prompt!$B$21,A55)"),"Интерфин")</f>
        <v/>
      </c>
    </row>
    <row r="56" ht="15.75" customHeight="1">
      <c r="A56" s="1" t="inlineStr">
        <is>
          <t>ИСТОК АУДИО, ООО</t>
        </is>
      </c>
      <c r="B56" s="1" t="inlineStr">
        <is>
          <t>11G155</t>
        </is>
      </c>
      <c r="C56" s="1" t="inlineStr">
        <is>
          <t>Россия</t>
        </is>
      </c>
      <c r="D56" s="1" t="inlineStr">
        <is>
          <t>Фрязино</t>
        </is>
      </c>
      <c r="E56" s="1" t="inlineStr">
        <is>
          <t>Россия, 141195, Московская обл., г. Фрязино, Заводской пр-д, д. 3а</t>
        </is>
      </c>
      <c r="F56" s="1" t="inlineStr">
        <is>
          <t>http://www.istok-audio.com</t>
        </is>
      </c>
      <c r="G56" s="1" t="inlineStr">
        <is>
          <t>info@istok-audio.com</t>
        </is>
      </c>
      <c r="H56" s="2" t="inlineStr">
        <is>
          <t>ГК «Исток-Аудио» ̶ лидер в области разработки и реализации комплексных решений по обеспечению учреждений разного профиля оборудованием для реабилитации с технологиями виртуальной реальности.</t>
        </is>
      </c>
      <c r="I56" s="2" t="inlineStr">
        <is>
          <t>Проектирование и оснащение медицинских учреждений под ключ; Поставка медицинского оборудования и расходных материалов; Производство медицинских изделий; Физиотерапия и реабилитация; Реабилитационное оборудование; Тренажеры</t>
        </is>
      </c>
      <c r="J56" s="1">
        <f>IFERROR(__xludf.DUMMYFUNCTION("AI(Prompt!$B$6, H56:I56)"),"Производитель")</f>
        <v/>
      </c>
      <c r="K56" s="1">
        <f>IFERROR(__xludf.DUMMYFUNCTION("AI(Prompt!$B$12, H56:J56)"),"OK")</f>
        <v/>
      </c>
      <c r="L56" s="2">
        <f>IFERROR(__xludf.DUMMYFUNCTION("AI(Prompt!$B$17, H56:I56)"),"медицинское оборудование, изделия, расходные материалы и тренажеры")</f>
        <v/>
      </c>
      <c r="M56" s="5" t="inlineStr">
        <is>
          <t>ЗДОРОВЫЙ ОБРАЗ ЖИЗНИ-2025</t>
        </is>
      </c>
      <c r="N56" s="7" t="inlineStr">
        <is>
          <t>https://www.zdravo-expo.ru/</t>
        </is>
      </c>
      <c r="O56" s="1">
        <f>IFERROR(__xludf.DUMMYFUNCTION("AI(Prompt!$B$21,A56)"),"Исток Аудио")</f>
        <v/>
      </c>
    </row>
    <row r="57" ht="15.75" customHeight="1">
      <c r="A57" s="1" t="inlineStr">
        <is>
          <t>КАПЕЛЛО ЛАЗЕРС</t>
        </is>
      </c>
      <c r="B57" s="1" t="inlineStr">
        <is>
          <t>11D015</t>
        </is>
      </c>
      <c r="C57" s="1" t="inlineStr">
        <is>
          <t>Россия</t>
        </is>
      </c>
      <c r="D57" s="1" t="inlineStr">
        <is>
          <t>Москва</t>
        </is>
      </c>
      <c r="E57" s="1" t="inlineStr">
        <is>
          <t>Россия, г. Москва, ул. Ленинская Слобода, д. 19, бизнес-центр OMEGA PLAZA</t>
        </is>
      </c>
      <c r="F57" s="1" t="inlineStr">
        <is>
          <t>http://www.capellolaser.ru</t>
        </is>
      </c>
      <c r="G57" s="1" t="inlineStr">
        <is>
          <t>info@capellolaser.ru</t>
        </is>
      </c>
      <c r="H57" s="2" t="inlineStr">
        <is>
          <t>Российский производитель косметологического оборудования. Самые востребованные технологии по доступной стоимости и с достижимой окупаемостью, сервисным обслуживанием и поддержкой клинического отдела.</t>
        </is>
      </c>
      <c r="I57" s="2" t="inlineStr">
        <is>
          <t>Оборудование для фототерапии; Эстетическая медицина и косметология; Оборудование для эстетической медицины; Технологии, оборудование и расходные материалы для спа и велнес</t>
        </is>
      </c>
      <c r="J57" s="1">
        <f>IFERROR(__xludf.DUMMYFUNCTION("AI(Prompt!$B$6, H57:I57)"),"Производитель")</f>
        <v/>
      </c>
      <c r="K57" s="1">
        <f>IFERROR(__xludf.DUMMYFUNCTION("AI(Prompt!$B$12, H57:J57)"),"OK")</f>
        <v/>
      </c>
      <c r="L57" s="2">
        <f>IFERROR(__xludf.DUMMYFUNCTION("AI(Prompt!$B$17, H57:I57)"),"косметологическое оборудование, оборудование для фототерапии, и расходные материалы")</f>
        <v/>
      </c>
      <c r="M57" s="5" t="inlineStr">
        <is>
          <t>ЗДОРОВЫЙ ОБРАЗ ЖИЗНИ-2025</t>
        </is>
      </c>
      <c r="N57" s="7" t="inlineStr">
        <is>
          <t>https://www.zdravo-expo.ru/</t>
        </is>
      </c>
      <c r="O57" s="1">
        <f>IFERROR(__xludf.DUMMYFUNCTION("AI(Prompt!$B$21,A57)"),"Капелло Лазерс")</f>
        <v/>
      </c>
    </row>
    <row r="58" ht="15.75" customHeight="1">
      <c r="A58" s="1" t="inlineStr">
        <is>
          <t>КАПСУЛА ЖИЗНИ, ООО (O2HEALTH®)</t>
        </is>
      </c>
      <c r="B58" s="1" t="inlineStr">
        <is>
          <t>11F065</t>
        </is>
      </c>
      <c r="C58" s="1" t="inlineStr">
        <is>
          <t>Россия</t>
        </is>
      </c>
      <c r="D58" s="1" t="inlineStr">
        <is>
          <t>Москва</t>
        </is>
      </c>
      <c r="E58" s="1" t="inlineStr">
        <is>
          <t>Россия, 119361, г. Москва, ул. Большая Очаковская, д. 47а, стр. 1, пом. 19Е</t>
        </is>
      </c>
      <c r="F58" s="1" t="inlineStr">
        <is>
          <t>http://capsule-life.ru</t>
        </is>
      </c>
      <c r="G58" s="1" t="inlineStr">
        <is>
          <t>info@capsule-life.ru</t>
        </is>
      </c>
      <c r="H58" s="2" t="inlineStr">
        <is>
          <t>«Капсула Жизни» — это современные барокамеры O2HEALTH®, помогающие ускорить реабилитацию, улучшить качество жизни, вернуть молодость, и в других медицинских целях: дома, в санатории и медцентре.</t>
        </is>
      </c>
      <c r="I58" s="2" t="inlineStr">
        <is>
          <t>Терапевтическое оборудование; Реабилитационное оборудование; Оборудование для кислородной терапии; Оборудование для эстетической медицины; Методы и способы усиления иммунитета, повышения защитных функций организма</t>
        </is>
      </c>
      <c r="J58" s="1">
        <f>IFERROR(__xludf.DUMMYFUNCTION("AI(Prompt!$B$6, H58:I58)"),"Производитель")</f>
        <v/>
      </c>
      <c r="K58" s="1">
        <f>IFERROR(__xludf.DUMMYFUNCTION("AI(Prompt!$B$12, H58:J58)"),"OK")</f>
        <v/>
      </c>
      <c r="L58" s="2">
        <f>IFERROR(__xludf.DUMMYFUNCTION("AI(Prompt!$B$17, H58:I58)"),"барокамеры")</f>
        <v/>
      </c>
      <c r="M58" s="5" t="inlineStr">
        <is>
          <t>ЗДОРОВЫЙ ОБРАЗ ЖИЗНИ-2025</t>
        </is>
      </c>
      <c r="N58" s="7" t="inlineStr">
        <is>
          <t>https://www.zdravo-expo.ru/</t>
        </is>
      </c>
      <c r="O58" s="1">
        <f>IFERROR(__xludf.DUMMYFUNCTION("AI(Prompt!$B$21,A58)"),"Капсула Жизни (O2HEALTH)")</f>
        <v/>
      </c>
    </row>
    <row r="59" ht="15.75" customHeight="1">
      <c r="A59" s="1" t="inlineStr">
        <is>
          <t>КАСКАД-ФТО, ООО</t>
        </is>
      </c>
      <c r="B59" s="1" t="inlineStr">
        <is>
          <t>11D095</t>
        </is>
      </c>
      <c r="C59" s="1" t="inlineStr">
        <is>
          <t>Россия</t>
        </is>
      </c>
      <c r="D59" s="1" t="inlineStr">
        <is>
          <t>Москва</t>
        </is>
      </c>
      <c r="E59" s="1" t="inlineStr">
        <is>
          <t>Россия, 111024, г. Москва, 2-я ул. Энтузиастов, д. 5, этаж 3, пом. V, комн. 26</t>
        </is>
      </c>
      <c r="F59" s="1" t="inlineStr">
        <is>
          <t>https://kaskad-fto.ru</t>
        </is>
      </c>
      <c r="G59" s="1" t="inlineStr">
        <is>
          <t>3639793@mail.ru</t>
        </is>
      </c>
      <c r="H59" s="2" t="inlineStr">
        <is>
          <t>ООО «КАСКАД-ФТО» производит аппараты физиотерапевтического и медицинского назначения, дренажные послеоперационные отсасыватели, расходные материалы: электроды, прокладки и кабели для физиотерапии.</t>
        </is>
      </c>
      <c r="I59" s="2" t="inlineStr">
        <is>
          <t>Физиотерапия и реабилитация; Терапевтическое оборудование; Оборудование для электротерапии</t>
        </is>
      </c>
      <c r="J59" s="1">
        <f>IFERROR(__xludf.DUMMYFUNCTION("AI(Prompt!$B$6, H59:I59)"),"Производитель")</f>
        <v/>
      </c>
      <c r="K59" s="1">
        <f>IFERROR(__xludf.DUMMYFUNCTION("AI(Prompt!$B$12, H59:J59)"),"OK")</f>
        <v/>
      </c>
      <c r="L59" s="2">
        <f>IFERROR(__xludf.DUMMYFUNCTION("AI(Prompt!$B$17, H59:I59)"),"аппараты физиотерапии, отсасыватели и расходные материалы")</f>
        <v/>
      </c>
      <c r="M59" s="5" t="inlineStr">
        <is>
          <t>ЗДОРОВЫЙ ОБРАЗ ЖИЗНИ-2025</t>
        </is>
      </c>
      <c r="N59" s="7" t="inlineStr">
        <is>
          <t>https://www.zdravo-expo.ru/</t>
        </is>
      </c>
      <c r="O59" s="1">
        <f>IFERROR(__xludf.DUMMYFUNCTION("AI(Prompt!$B$21,A59)"),"Каскад-Фто")</f>
        <v/>
      </c>
    </row>
    <row r="60" ht="15.75" customHeight="1">
      <c r="A60" s="1" t="inlineStr">
        <is>
          <t>КАТЭРВИЛ, ООО</t>
        </is>
      </c>
      <c r="B60" s="8" t="n">
        <v>1.1e+116</v>
      </c>
      <c r="C60" s="1" t="inlineStr">
        <is>
          <t>Россия</t>
        </is>
      </c>
      <c r="D60" s="1" t="inlineStr">
        <is>
          <t>Новосибирск</t>
        </is>
      </c>
      <c r="E60" s="1" t="inlineStr">
        <is>
          <t>Россия, 630088, г. Новосибирск, ул. Сибиряков-Гвардейцев, д. 51/3</t>
        </is>
      </c>
      <c r="F60" s="1" t="inlineStr">
        <is>
          <t>http://www.caterwil.ru</t>
        </is>
      </c>
      <c r="G60" s="1" t="inlineStr">
        <is>
          <t>info@caterwil.ru</t>
        </is>
      </c>
      <c r="H60" s="2" t="inlineStr">
        <is>
          <t>ООО «Катэрвил» — российская компания, которая занимается разработкой и производством многофункциональных инвалидных кресел-колясок с электроприводом.</t>
        </is>
      </c>
      <c r="I60" s="2" t="inlineStr">
        <is>
          <t>Реабилитационное оборудование; Средства, облегчающие передвижения; Ассистивные технологии; Средства для организации быта; Средства для спорта, отдыха, досуга</t>
        </is>
      </c>
      <c r="J60" s="1">
        <f>IFERROR(__xludf.DUMMYFUNCTION("AI(Prompt!$B$6, H60:I60)"),"Производитель")</f>
        <v/>
      </c>
      <c r="K60" s="1">
        <f>IFERROR(__xludf.DUMMYFUNCTION("AI(Prompt!$B$12, H60:J60)"),"OK")</f>
        <v/>
      </c>
      <c r="L60" s="2">
        <f>IFERROR(__xludf.DUMMYFUNCTION("AI(Prompt!$B$17, H60:I60)"),"инвалидные кресла-коляски")</f>
        <v/>
      </c>
      <c r="M60" s="5" t="inlineStr">
        <is>
          <t>ЗДОРОВЫЙ ОБРАЗ ЖИЗНИ-2025</t>
        </is>
      </c>
      <c r="N60" s="7" t="inlineStr">
        <is>
          <t>https://www.zdravo-expo.ru/</t>
        </is>
      </c>
      <c r="O60" s="1">
        <f>IFERROR(__xludf.DUMMYFUNCTION("AI(Prompt!$B$21,A60)"),"Катэрвил")</f>
        <v/>
      </c>
    </row>
    <row r="61" ht="15.75" customHeight="1">
      <c r="A61" s="1" t="inlineStr">
        <is>
          <t>КОМАРИК, ООО</t>
        </is>
      </c>
      <c r="B61" s="1" t="inlineStr">
        <is>
          <t>11G030</t>
        </is>
      </c>
      <c r="C61" s="1" t="inlineStr">
        <is>
          <t>Россия</t>
        </is>
      </c>
      <c r="D61" s="1" t="inlineStr">
        <is>
          <t>Москва</t>
        </is>
      </c>
      <c r="E61" s="1" t="inlineStr">
        <is>
          <t>Россия, г. Москва, ул. Потаповская Роща, д. 2, корп. 1</t>
        </is>
      </c>
      <c r="F61" s="1" t="inlineStr">
        <is>
          <t>http://www.komarikpro.ru</t>
        </is>
      </c>
      <c r="G61" s="1" t="inlineStr">
        <is>
          <t>info@komarik.info</t>
        </is>
      </c>
      <c r="H61" s="2" t="inlineStr">
        <is>
          <t>«Комарик» — российская компания, выпускающая устройства «КомарикПро» для самостоятельного выполнения внутримышечных и подкожных инъекций в домашних условиях.</t>
        </is>
      </c>
      <c r="I61" s="2" t="inlineStr">
        <is>
          <t>Производство медицинских изделий; Физиотерапия и реабилитация; Фитнес и спорт; Медицинские изделия для домашнего применения</t>
        </is>
      </c>
      <c r="J61" s="1">
        <f>IFERROR(__xludf.DUMMYFUNCTION("AI(Prompt!$B$6, H61:I61)"),"Производитель")</f>
        <v/>
      </c>
      <c r="K61" s="1">
        <f>IFERROR(__xludf.DUMMYFUNCTION("AI(Prompt!$B$12, H61:J61)"),"OK")</f>
        <v/>
      </c>
      <c r="L61" s="2">
        <f>IFERROR(__xludf.DUMMYFUNCTION("AI(Prompt!$B$17, H61:I61)"),"медицинские изделия")</f>
        <v/>
      </c>
      <c r="M61" s="5" t="inlineStr">
        <is>
          <t>ЗДОРОВЫЙ ОБРАЗ ЖИЗНИ-2025</t>
        </is>
      </c>
      <c r="N61" s="7" t="inlineStr">
        <is>
          <t>https://www.zdravo-expo.ru/</t>
        </is>
      </c>
      <c r="O61" s="1">
        <f>IFERROR(__xludf.DUMMYFUNCTION("AI(Prompt!$B$21,A61)"),"Комарик")</f>
        <v/>
      </c>
    </row>
    <row r="62" ht="15.75" customHeight="1">
      <c r="A62" s="1" t="inlineStr">
        <is>
          <t>КОСИМА</t>
        </is>
      </c>
      <c r="B62" s="1" t="inlineStr">
        <is>
          <t>11F224</t>
        </is>
      </c>
      <c r="C62" s="1" t="inlineStr">
        <is>
          <t>Россия</t>
        </is>
      </c>
      <c r="D62" s="1" t="inlineStr">
        <is>
          <t>Москва</t>
        </is>
      </c>
      <c r="E62" s="1" t="inlineStr">
        <is>
          <t>Россия, 121205, г. Москва, тер. Инновационного центра «Сколково», Большой б-р, д. 42, стр. 1, этаж 1Ч, пом. 334</t>
        </is>
      </c>
      <c r="F62" s="1" t="inlineStr">
        <is>
          <t>http://www.cosyma.pro</t>
        </is>
      </c>
      <c r="G62" s="1" t="inlineStr">
        <is>
          <t>info@cosyma.pro</t>
        </is>
      </c>
      <c r="H62" s="2" t="inlineStr">
        <is>
          <t>Компания «КОСИМА» — российский разработчик и производитель аппаратов для чрескожной стимуляции спинного мозга — инновационной технологии восстановления движения у неврологических пациентов. Мы даем шанс парализованным людям вернуться к самостоятельной, независимой жизни после травм спинного мозга, инсульта и других поражений ЦНС. Наша цель — помочь врачам и реабилитологам без операций и сложных процедур запускать движение, улучшать методики восстановления, ускорять реабилитацию и повышать клиническую эффективность. Наши аппараты успешно применяют крупнейшие клиники России и мира.</t>
        </is>
      </c>
      <c r="I62" s="2" t="inlineStr">
        <is>
          <t>Производство медицинских изделий; Терапевтическое оборудование; Оборудование для электротерапии</t>
        </is>
      </c>
      <c r="J62" s="1">
        <f>IFERROR(__xludf.DUMMYFUNCTION("AI(Prompt!$B$6, H62:I62)"),"Производитель")</f>
        <v/>
      </c>
      <c r="K62" s="1">
        <f>IFERROR(__xludf.DUMMYFUNCTION("AI(Prompt!$B$12, H62:J62)"),"OK")</f>
        <v/>
      </c>
      <c r="L62" s="2">
        <f>IFERROR(__xludf.DUMMYFUNCTION("AI(Prompt!$B$17, H62:I62)"),"медицинские изделия, терапевтическое и электротерапевтическое оборудование")</f>
        <v/>
      </c>
      <c r="M62" s="5" t="inlineStr">
        <is>
          <t>ЗДОРОВЫЙ ОБРАЗ ЖИЗНИ-2025</t>
        </is>
      </c>
      <c r="N62" s="7" t="inlineStr">
        <is>
          <t>https://www.zdravo-expo.ru/</t>
        </is>
      </c>
      <c r="O62" s="1">
        <f>IFERROR(__xludf.DUMMYFUNCTION("AI(Prompt!$B$21,A62)"),"Косима")</f>
        <v/>
      </c>
    </row>
    <row r="63" ht="15.75" customHeight="1">
      <c r="A63" s="1" t="inlineStr">
        <is>
          <t>КОТЕНКОВА Е.М., ИП</t>
        </is>
      </c>
      <c r="B63" s="1" t="inlineStr">
        <is>
          <t>11D122</t>
        </is>
      </c>
      <c r="C63" s="1" t="inlineStr">
        <is>
          <t>Россия</t>
        </is>
      </c>
      <c r="E63" s="1" t="inlineStr">
        <is>
          <t>Россия, 450571, Республика Башкортостан, с. станции Юматово, ул. Контактная, д. 26</t>
        </is>
      </c>
      <c r="G63" s="1" t="inlineStr">
        <is>
          <t>smr-77@mail.ru</t>
        </is>
      </c>
      <c r="H63" s="2" t="inlineStr">
        <is>
          <t>Компания производит БАД «Бактик». Созданный на основе метаболитов сенной палочки, препарат оказывает профилактический, клинический и нормализующий микробиоценоз кишечника бифидостимулирующий эффект.</t>
        </is>
      </c>
      <c r="I63" s="2" t="inlineStr">
        <is>
          <t>Фармацевтические средства и БАД; Биологически активные добавки к пище</t>
        </is>
      </c>
      <c r="J63" s="1">
        <f>IFERROR(__xludf.DUMMYFUNCTION("AI(Prompt!$B$6, H63:I63)"),"Производитель")</f>
        <v/>
      </c>
      <c r="K63" s="1">
        <f>IFERROR(__xludf.DUMMYFUNCTION("AI(Prompt!$B$12, H63:J63)"),"OK")</f>
        <v/>
      </c>
      <c r="L63" s="2">
        <f>IFERROR(__xludf.DUMMYFUNCTION("AI(Prompt!$B$17, H63:I63)"),"биологически активные добавки")</f>
        <v/>
      </c>
      <c r="M63" s="5" t="inlineStr">
        <is>
          <t>ЗДОРОВЫЙ ОБРАЗ ЖИЗНИ-2025</t>
        </is>
      </c>
      <c r="N63" s="7" t="inlineStr">
        <is>
          <t>https://www.zdravo-expo.ru/</t>
        </is>
      </c>
      <c r="O63" s="1">
        <f>IFERROR(__xludf.DUMMYFUNCTION("AI(Prompt!$B$21,A63)"),"ИП Котенкова")</f>
        <v/>
      </c>
    </row>
    <row r="64" ht="15.75" customHeight="1">
      <c r="A64" s="1" t="inlineStr">
        <is>
          <t>КРИОМАГ, НПП, ООО</t>
        </is>
      </c>
      <c r="B64" s="1" t="inlineStr">
        <is>
          <t>11D010</t>
        </is>
      </c>
      <c r="C64" s="1" t="inlineStr">
        <is>
          <t>Россия</t>
        </is>
      </c>
      <c r="D64" s="1" t="inlineStr">
        <is>
          <t>Москва</t>
        </is>
      </c>
      <c r="E64" s="1" t="inlineStr">
        <is>
          <t>Россия, 129344, г. Москва, ул. Верхоянская, д. 18, корп. 2, этаж 0, пом. 2, комн. 4 (РМ7)</t>
        </is>
      </c>
      <c r="F64" s="1" t="inlineStr">
        <is>
          <t>https://cryomag.ru</t>
        </is>
      </c>
      <c r="G64" s="1" t="inlineStr">
        <is>
          <t>info@cryomag.ru</t>
        </is>
      </c>
      <c r="H64" s="2" t="inlineStr">
        <is>
          <t>НПП «КриоМаг» — российский производитель криотерапевтического оборудования. Опыт применения криокомплекса CryoMAG 2,0 очень широк, и с каждым днем мы открываем новые возможности использования этих технологий. «Криомаг» сделает наше общество здоровым!</t>
        </is>
      </c>
      <c r="I64" s="2" t="inlineStr">
        <is>
          <t>Физиотерапия и реабилитация; Оборудование для криотерапии; Фитнес и спорт; Эстетическая медицина и косметология; Профилактическая медицина, увеличение продолжительности жизни</t>
        </is>
      </c>
      <c r="J64" s="1">
        <f>IFERROR(__xludf.DUMMYFUNCTION("AI(Prompt!$B$6, H64:I64)"),"Производитель")</f>
        <v/>
      </c>
      <c r="K64" s="1">
        <f>IFERROR(__xludf.DUMMYFUNCTION("AI(Prompt!$B$12, H64:J64)"),"OK")</f>
        <v/>
      </c>
      <c r="L64" s="2">
        <f>IFERROR(__xludf.DUMMYFUNCTION("AI(Prompt!$B$17, H64:I64)"),"криотерапевтическое оборудование")</f>
        <v/>
      </c>
      <c r="M64" s="5" t="inlineStr">
        <is>
          <t>ЗДОРОВЫЙ ОБРАЗ ЖИЗНИ-2025</t>
        </is>
      </c>
      <c r="N64" s="7" t="inlineStr">
        <is>
          <t>https://www.zdravo-expo.ru/</t>
        </is>
      </c>
      <c r="O64" s="1">
        <f>IFERROR(__xludf.DUMMYFUNCTION("AI(Prompt!$B$21,A64)"),"КРИОМАГ, НПП")</f>
        <v/>
      </c>
    </row>
    <row r="65" ht="15.75" customHeight="1">
      <c r="A65" s="1" t="inlineStr">
        <is>
          <t>ЛАКШЕРИ БЬЮТИ, ООО</t>
        </is>
      </c>
      <c r="B65" s="1" t="inlineStr">
        <is>
          <t>11D120</t>
        </is>
      </c>
      <c r="C65" s="1" t="inlineStr">
        <is>
          <t>Россия</t>
        </is>
      </c>
      <c r="D65" s="1" t="inlineStr">
        <is>
          <t>Москва</t>
        </is>
      </c>
      <c r="E65" s="1" t="inlineStr">
        <is>
          <t>Россия, 123098, г. Москва, ул. Живописная, д. 21, стр. 4</t>
        </is>
      </c>
      <c r="F65" s="1" t="inlineStr">
        <is>
          <t>https://rsleek-factory.ru</t>
        </is>
      </c>
      <c r="G65" s="1" t="inlineStr">
        <is>
          <t>vitalybiz@mail.ru</t>
        </is>
      </c>
      <c r="H65" s="2" t="inlineStr">
        <is>
          <t>С 2012 года мы производим оборудование для аппаратного массажа и постоянно находимся в поиске новых решений. Наши известные марки — R-Sleek и B-flexy.</t>
        </is>
      </c>
      <c r="I65" s="2" t="inlineStr">
        <is>
          <t>Производство медицинских изделий</t>
        </is>
      </c>
      <c r="J65" s="1">
        <f>IFERROR(__xludf.DUMMYFUNCTION("AI(Prompt!$B$6, H65:I65)"),"Производитель")</f>
        <v/>
      </c>
      <c r="K65" s="1">
        <f>IFERROR(__xludf.DUMMYFUNCTION("AI(Prompt!$B$12, H65:J65)"),"OK")</f>
        <v/>
      </c>
      <c r="L65" s="2">
        <f>IFERROR(__xludf.DUMMYFUNCTION("AI(Prompt!$B$17, H65:I65)"),"оборудование, медицинские изделия")</f>
        <v/>
      </c>
      <c r="M65" s="5" t="inlineStr">
        <is>
          <t>ЗДОРОВЫЙ ОБРАЗ ЖИЗНИ-2025</t>
        </is>
      </c>
      <c r="N65" s="7" t="inlineStr">
        <is>
          <t>https://www.zdravo-expo.ru/</t>
        </is>
      </c>
      <c r="O65" s="1">
        <f>IFERROR(__xludf.DUMMYFUNCTION("AI(Prompt!$B$21,A65)"),"Лакшери Бьюти")</f>
        <v/>
      </c>
    </row>
    <row r="66" ht="15.75" customHeight="1">
      <c r="A66" s="1" t="inlineStr">
        <is>
          <t>ЛИНИОН, ООО</t>
        </is>
      </c>
      <c r="B66" s="1" t="inlineStr">
        <is>
          <t>11A094</t>
        </is>
      </c>
      <c r="C66" s="1" t="inlineStr">
        <is>
          <t>Россия</t>
        </is>
      </c>
      <c r="D66" s="1" t="inlineStr">
        <is>
          <t>Владимир</t>
        </is>
      </c>
      <c r="E66" s="1" t="inlineStr">
        <is>
          <t>Россия, 600024, г. Владимир, ул. Пугачёва, д. 60а, пом. 6</t>
        </is>
      </c>
      <c r="F66" s="1" t="inlineStr">
        <is>
          <t>https://linion.org</t>
        </is>
      </c>
      <c r="G66" s="1" t="inlineStr">
        <is>
          <t>info@linion.pro</t>
        </is>
      </c>
      <c r="H66" s="2" t="inlineStr">
        <is>
          <t>Linion – инновационный протезно-ортопедический центр. Более 10 лет разрабатываем и производим импортозамещающее оборудование и комплектующие для протезно-ортопедической отрасли. Изготавливаем ортезы. Собственное швейное производство ортопедической продукции.</t>
        </is>
      </c>
      <c r="I66" s="2" t="inlineStr">
        <is>
          <t>Ортопедическое оборудование и инструменты; Ортезы; Ортопедические бандажи и корсеты; Ортопедическое оборудование и инструменты; Наружные протезы и устройства замещения функций органов; Ортезы</t>
        </is>
      </c>
      <c r="J66" s="1">
        <f>IFERROR(__xludf.DUMMYFUNCTION("AI(Prompt!$B$6, H66:I66)"),"Производитель")</f>
        <v/>
      </c>
      <c r="K66" s="1">
        <f>IFERROR(__xludf.DUMMYFUNCTION("AI(Prompt!$B$12, H66:J66)"),"OK")</f>
        <v/>
      </c>
      <c r="L66" s="2">
        <f>IFERROR(__xludf.DUMMYFUNCTION("AI(Prompt!$B$17, H66:I66)"),"оборудование, комплектующие, ортезы и протезы")</f>
        <v/>
      </c>
      <c r="M66" s="5" t="inlineStr">
        <is>
          <t>ЗДОРОВЫЙ ОБРАЗ ЖИЗНИ-2025</t>
        </is>
      </c>
      <c r="N66" s="7" t="inlineStr">
        <is>
          <t>https://www.zdravo-expo.ru/</t>
        </is>
      </c>
      <c r="O66" s="1">
        <f>IFERROR(__xludf.DUMMYFUNCTION("AI(Prompt!$B$21,A66)"),"Линион")</f>
        <v/>
      </c>
    </row>
    <row r="67" ht="15.75" customHeight="1">
      <c r="A67" s="1" t="inlineStr">
        <is>
          <t>МАЛТРИ, ООО</t>
        </is>
      </c>
      <c r="B67" s="1" t="inlineStr">
        <is>
          <t>11F030</t>
        </is>
      </c>
      <c r="C67" s="1" t="inlineStr">
        <is>
          <t>Россия</t>
        </is>
      </c>
      <c r="D67" s="1" t="inlineStr">
        <is>
          <t>Санкт-Петербург</t>
        </is>
      </c>
      <c r="E67" s="1" t="inlineStr">
        <is>
          <t>Россия, 190020, г. Санкт-Петербург, ул. Лифляндская, д. 6, литера М, пом. 13Н</t>
        </is>
      </c>
      <c r="F67" s="1" t="inlineStr">
        <is>
          <t>http://www.maltri.ru</t>
        </is>
      </c>
      <c r="G67" s="1" t="inlineStr">
        <is>
          <t>poligraf@maltri.ru</t>
        </is>
      </c>
      <c r="H67" s="2" t="inlineStr">
        <is>
          <t>Производство профессиональных медицинских ортопедических изделий ORTO и ORTO Professional: корсетов, бандажей, ортезов на суставы, стелек, компрессионного трикотажа, ортопедических подушек и матрасов.</t>
        </is>
      </c>
      <c r="I67" s="2" t="inlineStr">
        <is>
          <t>Компрессионный трикотаж; Ортопедические изделия; Ортезы; Ортопедические бандажи и корсеты</t>
        </is>
      </c>
      <c r="J67" s="1">
        <f>IFERROR(__xludf.DUMMYFUNCTION("AI(Prompt!$B$6, H67:I67)"),"Производитель")</f>
        <v/>
      </c>
      <c r="K67" s="1">
        <f>IFERROR(__xludf.DUMMYFUNCTION("AI(Prompt!$B$12, H67:J67)"),"OK")</f>
        <v/>
      </c>
      <c r="L67" s="2">
        <f>IFERROR(__xludf.DUMMYFUNCTION("AI(Prompt!$B$17, H67:I67)"),"корсеты, бандажи, ортезы, трикотаж и матрасы")</f>
        <v/>
      </c>
      <c r="M67" s="5" t="inlineStr">
        <is>
          <t>ЗДОРОВЫЙ ОБРАЗ ЖИЗНИ-2025</t>
        </is>
      </c>
      <c r="N67" s="7" t="inlineStr">
        <is>
          <t>https://www.zdravo-expo.ru/</t>
        </is>
      </c>
      <c r="O67" s="1">
        <f>IFERROR(__xludf.DUMMYFUNCTION("AI(Prompt!$B$21,A67)"),"Малтри")</f>
        <v/>
      </c>
    </row>
    <row r="68" ht="15.75" customHeight="1">
      <c r="A68" s="1" t="inlineStr">
        <is>
          <t>МАРУТАКА</t>
        </is>
      </c>
      <c r="B68" s="1" t="inlineStr">
        <is>
          <t>11G080</t>
        </is>
      </c>
      <c r="C68" s="1" t="inlineStr">
        <is>
          <t>Россия</t>
        </is>
      </c>
      <c r="D68" s="1" t="inlineStr">
        <is>
          <t>Москва</t>
        </is>
      </c>
      <c r="E68" s="1" t="inlineStr">
        <is>
          <t>Россия, 123112, г. Москва, Смоленская-Сенная пл., д. 23/25</t>
        </is>
      </c>
      <c r="F68" s="1" t="inlineStr">
        <is>
          <t>https://marutaka.ru</t>
        </is>
      </c>
      <c r="G68" s="1" t="inlineStr">
        <is>
          <t>zakaz@marutaka.ru</t>
        </is>
      </c>
      <c r="H68" s="2" t="inlineStr">
        <is>
          <t>MARUTAKA – ведущий производитель бьюти-девайсов для ухода за лицом и телом, массажного оборудования, объединивший все инновационные разработки из Японии и Южной Кореи.</t>
        </is>
      </c>
      <c r="I68" s="2" t="inlineStr">
        <is>
          <t>Оборудование для вакуум-терапии; Оборудование для компрессионной терапии; Эстетическая медицина и косметология; Оборудование для эстетической медицины</t>
        </is>
      </c>
      <c r="J68" s="1">
        <f>IFERROR(__xludf.DUMMYFUNCTION("AI(Prompt!$B$6, H68:I68)"),"Производитель")</f>
        <v/>
      </c>
      <c r="K68" s="1">
        <f>IFERROR(__xludf.DUMMYFUNCTION("AI(Prompt!$B$12, H68:J68)"),"OK")</f>
        <v/>
      </c>
      <c r="L68" s="2">
        <f>IFERROR(__xludf.DUMMYFUNCTION("AI(Prompt!$B$17, H68:I68)"),"бьюти-девайсы, массажное оборудование и оборудование для терапии")</f>
        <v/>
      </c>
      <c r="M68" s="5" t="inlineStr">
        <is>
          <t>ЗДОРОВЫЙ ОБРАЗ ЖИЗНИ-2025</t>
        </is>
      </c>
      <c r="N68" s="7" t="inlineStr">
        <is>
          <t>https://www.zdravo-expo.ru/</t>
        </is>
      </c>
      <c r="O68" s="1">
        <f>IFERROR(__xludf.DUMMYFUNCTION("AI(Prompt!$B$21,A68)"),"Марутака")</f>
        <v/>
      </c>
    </row>
    <row r="69" ht="15.75" customHeight="1">
      <c r="A69" s="1" t="inlineStr">
        <is>
          <t>МЕДИКАЛ ДИСТРИБЬЮТОРС, ООО</t>
        </is>
      </c>
      <c r="B69" s="1" t="inlineStr">
        <is>
          <t>11D075</t>
        </is>
      </c>
      <c r="C69" s="1" t="inlineStr">
        <is>
          <t>Россия</t>
        </is>
      </c>
      <c r="D69" s="1" t="inlineStr">
        <is>
          <t>Москва</t>
        </is>
      </c>
      <c r="E69" s="1" t="inlineStr">
        <is>
          <t>Россия, 125212, г. Москва, ул. Адмирала Макарова, д. 8</t>
        </is>
      </c>
      <c r="F69" s="1" t="inlineStr">
        <is>
          <t>http://medical-distributors.ru</t>
        </is>
      </c>
      <c r="G69" s="1" t="inlineStr">
        <is>
          <t>info@medical-distributors.ru</t>
        </is>
      </c>
      <c r="H69" s="2" t="inlineStr">
        <is>
          <t>Medical Distributors — это ведущий дистрибьютор технических средств реабилитации (кресел-колясок, вертикализаторов, ортопедических изделий и т. д.) для детей и взрослых с ограниченными возможностями.</t>
        </is>
      </c>
      <c r="I69" s="2" t="inlineStr">
        <is>
          <t>Производство медицинских изделий; Реабилитационное оборудование; Ортезы; Ортопедические бандажи и корсеты; Ортезы</t>
        </is>
      </c>
      <c r="J69" s="1" t="inlineStr">
        <is>
          <t>Производитель</t>
        </is>
      </c>
      <c r="K69" s="1">
        <f>IFERROR(__xludf.DUMMYFUNCTION("AI(Prompt!$B$12, H69:J69)"),"OK")</f>
        <v/>
      </c>
      <c r="L69" s="2">
        <f>IFERROR(__xludf.DUMMYFUNCTION("AI(Prompt!$B$17, H69:I69)"),"кресла-коляски, вертикализаторы, ортопедические изделия и ортезы")</f>
        <v/>
      </c>
      <c r="M69" s="5" t="inlineStr">
        <is>
          <t>ЗДОРОВЫЙ ОБРАЗ ЖИЗНИ-2025</t>
        </is>
      </c>
      <c r="N69" s="7" t="inlineStr">
        <is>
          <t>https://www.zdravo-expo.ru/</t>
        </is>
      </c>
      <c r="O69" s="1">
        <f>IFERROR(__xludf.DUMMYFUNCTION("AI(Prompt!$B$21,A69)"),"Медикал Дистрибьюторс")</f>
        <v/>
      </c>
    </row>
    <row r="70" ht="15.75" customHeight="1">
      <c r="A70" s="1" t="inlineStr">
        <is>
          <t>МЕДИКАЛСОФТ, ООО</t>
        </is>
      </c>
      <c r="B70" s="8" t="n">
        <v>1.1e+76</v>
      </c>
      <c r="C70" s="1" t="inlineStr">
        <is>
          <t>Россия</t>
        </is>
      </c>
      <c r="D70" s="1" t="inlineStr">
        <is>
          <t>Москва</t>
        </is>
      </c>
      <c r="E70" s="1" t="inlineStr">
        <is>
          <t>Россия, 108811, г. Москва, Киевское ш., 22-й км, д. 4, стр. 5, пом. 2</t>
        </is>
      </c>
      <c r="F70" s="1" t="inlineStr">
        <is>
          <t>https://www.medical-soft.ru</t>
        </is>
      </c>
      <c r="G70" s="1" t="inlineStr">
        <is>
          <t>info@medical-soft.ru</t>
        </is>
      </c>
      <c r="H70" s="2" t="inlineStr">
        <is>
          <t>Компания «МЕДИКАЛСОФТ» производит линейку инновационного оборудования, которое базируется на передовых диагностических технологиях и комплексном программном кросс–анализе полученных данных.</t>
        </is>
      </c>
      <c r="I70" s="2" t="inlineStr">
        <is>
          <t>Прочие диагностические устройства</t>
        </is>
      </c>
      <c r="J70" s="1">
        <f>IFERROR(__xludf.DUMMYFUNCTION("AI(Prompt!$B$6, H70:I70)"),"Производитель")</f>
        <v/>
      </c>
      <c r="K70" s="1">
        <f>IFERROR(__xludf.DUMMYFUNCTION("AI(Prompt!$B$12, H70:J70)"),"OK")</f>
        <v/>
      </c>
      <c r="L70" s="2">
        <f>IFERROR(__xludf.DUMMYFUNCTION("AI(Prompt!$B$17, H70:I70)"),"диагностические устройства и оборудование")</f>
        <v/>
      </c>
      <c r="M70" s="5" t="inlineStr">
        <is>
          <t>ЗДОРОВЫЙ ОБРАЗ ЖИЗНИ-2025</t>
        </is>
      </c>
      <c r="N70" s="7" t="inlineStr">
        <is>
          <t>https://www.zdravo-expo.ru/</t>
        </is>
      </c>
      <c r="O70" s="1">
        <f>IFERROR(__xludf.DUMMYFUNCTION("AI(Prompt!$B$21,A70)"),"Медикалсофт")</f>
        <v/>
      </c>
    </row>
    <row r="71" ht="15.75" customHeight="1">
      <c r="A71" s="5" t="inlineStr">
        <is>
          <t>МЕТ</t>
        </is>
      </c>
      <c r="B71" s="8" t="n">
        <v>1.1e+111</v>
      </c>
      <c r="C71" s="1" t="inlineStr">
        <is>
          <t>Россия</t>
        </is>
      </c>
      <c r="D71" s="1" t="inlineStr">
        <is>
          <t>Москва</t>
        </is>
      </c>
      <c r="E71" s="1" t="inlineStr">
        <is>
          <t>Россия, 108811, г. Москва, 22-й км (Киевское ш.), домовл. 4, стр. 2, этаж 5, блок Г, оф. 522Г</t>
        </is>
      </c>
      <c r="F71" s="1" t="inlineStr">
        <is>
          <t>https://www.met.ru</t>
        </is>
      </c>
      <c r="G71" s="1" t="inlineStr">
        <is>
          <t>met@met.ru</t>
        </is>
      </c>
      <c r="H71" s="2" t="inlineStr">
        <is>
          <t>Российский производитель медицинской мебели, оборудования и ТСР. Мы предлагаем функциональные кровати, инвалидные коляски, медицинские кресла, большой выбор оборудования для комплексного оснащения ЛПУ.</t>
        </is>
      </c>
      <c r="I71" s="2" t="inlineStr">
        <is>
          <t>Мебель для гинекологии и акушерства; Медицинская мебель; Средства перевозки (перемещения) пациентов, оборудования и материалов; Реабилитационное оборудование; Лабораторная мебель; Хирургическое оборудование</t>
        </is>
      </c>
      <c r="J71" s="1">
        <f>IFERROR(__xludf.DUMMYFUNCTION("AI(Prompt!$B$6, H71:I71)"),"Производитель")</f>
        <v/>
      </c>
      <c r="K71" s="1">
        <f>IFERROR(__xludf.DUMMYFUNCTION("AI(Prompt!$B$12, H71:J71)"),"OK")</f>
        <v/>
      </c>
      <c r="L71" s="2">
        <f>IFERROR(__xludf.DUMMYFUNCTION("AI(Prompt!$B$17, H71:I71)"),"медицинская мебель, оборудование и средства реабилитации")</f>
        <v/>
      </c>
      <c r="M71" s="5" t="inlineStr">
        <is>
          <t>ЗДОРОВЫЙ ОБРАЗ ЖИЗНИ-2025</t>
        </is>
      </c>
      <c r="N71" s="7" t="inlineStr">
        <is>
          <t>https://www.zdravo-expo.ru/</t>
        </is>
      </c>
      <c r="O71" s="1">
        <f>IFERROR(__xludf.DUMMYFUNCTION("AI(Prompt!$B$21,A71)"),"МЕТ")</f>
        <v/>
      </c>
    </row>
    <row r="72" ht="15.75" customHeight="1">
      <c r="A72" s="1" t="inlineStr">
        <is>
          <t>МИКИРАД</t>
        </is>
      </c>
      <c r="B72" s="1" t="inlineStr">
        <is>
          <t>11F092</t>
        </is>
      </c>
      <c r="C72" s="1" t="inlineStr">
        <is>
          <t>Россия</t>
        </is>
      </c>
      <c r="D72" s="1" t="inlineStr">
        <is>
          <t>Москва</t>
        </is>
      </c>
      <c r="E72" s="1" t="inlineStr">
        <is>
          <t>Россия, 108811, г. Москва, ул. Хабарова, д. 2, оф. 806</t>
        </is>
      </c>
      <c r="F72" s="1" t="inlineStr">
        <is>
          <t>http://www.микирад.рф</t>
        </is>
      </c>
      <c r="G72" s="1" t="inlineStr">
        <is>
          <t>info@mikirad.com</t>
        </is>
      </c>
      <c r="H72" s="2" t="inlineStr">
        <is>
          <t>Представитель завода «МИКИРАД». Трости, локтевые костыли, костыли после инсульта, насадки.Есть модели, не имеющие аналогов. Изделия «МИКИРАД» — легкие, универсальные, не боятся действия влаги и реагентов.</t>
        </is>
      </c>
      <c r="I72" s="2" t="inlineStr">
        <is>
          <t>Средства перевозки (перемещения) пациентов, оборудования и материалов; Поставка медицинского оборудования и расходных материалов; Средства, облегчающие передвижения; Ортопедические средства для ног, стельки и др.; Ортопедическое оборудование и инструменты; Ортопедическое оборудование и инструменты</t>
        </is>
      </c>
      <c r="J72" s="1">
        <f>IFERROR(__xludf.DUMMYFUNCTION("AI(Prompt!$B$6, H72:I72)"),"Дилер")</f>
        <v/>
      </c>
      <c r="K72" s="1">
        <f>IFERROR(__xludf.DUMMYFUNCTION("AI(Prompt!$B$12, H72:J72)"),"OK")</f>
        <v/>
      </c>
      <c r="L72" s="2">
        <f>IFERROR(__xludf.DUMMYFUNCTION("AI(Prompt!$B$17, H72:I72)"),"трости, костыли и насадки")</f>
        <v/>
      </c>
      <c r="M72" s="5" t="inlineStr">
        <is>
          <t>ЗДОРОВЫЙ ОБРАЗ ЖИЗНИ-2025</t>
        </is>
      </c>
      <c r="N72" s="7" t="inlineStr">
        <is>
          <t>https://www.zdravo-expo.ru/</t>
        </is>
      </c>
      <c r="O72" s="1">
        <f>IFERROR(__xludf.DUMMYFUNCTION("AI(Prompt!$B$21,A72)"),"Микирад")</f>
        <v/>
      </c>
    </row>
    <row r="73" ht="15.75" customHeight="1">
      <c r="A73" s="1" t="inlineStr">
        <is>
          <t>МИЛТА, ТМ (НПО КОСМИЧЕСКОГО ПРИБОРОСТРОЕНИЯ, ЗАО)</t>
        </is>
      </c>
      <c r="B73" s="1" t="inlineStr">
        <is>
          <t>11C100</t>
        </is>
      </c>
      <c r="C73" s="1" t="inlineStr">
        <is>
          <t>Россия</t>
        </is>
      </c>
      <c r="D73" s="1" t="inlineStr">
        <is>
          <t>Москва</t>
        </is>
      </c>
      <c r="E73" s="1" t="inlineStr">
        <is>
          <t>Россия, 111024, г. Москва, 2-й Кабельный пр-д, д. 1, стр. 2</t>
        </is>
      </c>
      <c r="F73" s="1" t="inlineStr">
        <is>
          <t>http://www.milta-f.ru</t>
        </is>
      </c>
      <c r="G73" s="1" t="inlineStr">
        <is>
          <t>milta-f@mail.ru</t>
        </is>
      </c>
      <c r="H73" s="2" t="inlineStr">
        <is>
          <t>Производство и продажа лазерных физиотерапевтических аппаратов.</t>
        </is>
      </c>
      <c r="I73" s="2" t="inlineStr">
        <is>
          <t>Физиотерапия и реабилитация; Оборудование для лазерной терапии; Оборудование для комбинированной физиотерапии</t>
        </is>
      </c>
      <c r="J73" s="1">
        <f>IFERROR(__xludf.DUMMYFUNCTION("AI(Prompt!$B$6, H73:I73)"),"Производитель")</f>
        <v/>
      </c>
      <c r="K73" s="1">
        <f>IFERROR(__xludf.DUMMYFUNCTION("AI(Prompt!$B$12, H73:J73)"),"OK")</f>
        <v/>
      </c>
      <c r="L73" s="2">
        <f>IFERROR(__xludf.DUMMYFUNCTION("AI(Prompt!$B$17, H73:I73)"),"аппараты, оборудование для лазерной терапии и оборудование для комбинированной физиотерапии")</f>
        <v/>
      </c>
      <c r="M73" s="5" t="inlineStr">
        <is>
          <t>ЗДОРОВЫЙ ОБРАЗ ЖИЗНИ-2025</t>
        </is>
      </c>
      <c r="N73" s="7" t="inlineStr">
        <is>
          <t>https://www.zdravo-expo.ru/</t>
        </is>
      </c>
      <c r="O73" s="1">
        <f>IFERROR(__xludf.DUMMYFUNCTION("AI(Prompt!$B$21,A73)"),"Милта")</f>
        <v/>
      </c>
    </row>
    <row r="74" ht="15.75" customHeight="1">
      <c r="A74" s="1" t="inlineStr">
        <is>
          <t>МИРАВИТ, ИННОВАЦИОННАЯ НАУЧНО-ПРОИЗВОДСТВЕННАЯ КОМПАНИЯ, ООО</t>
        </is>
      </c>
      <c r="B74" s="1" t="inlineStr">
        <is>
          <t>11C020</t>
        </is>
      </c>
      <c r="C74" s="1" t="inlineStr">
        <is>
          <t>Россия</t>
        </is>
      </c>
      <c r="D74" s="1" t="inlineStr">
        <is>
          <t>Барнаул</t>
        </is>
      </c>
      <c r="E74" s="1" t="inlineStr">
        <is>
          <t>Россия, Алтайский край, г. Барнаул, ул. 1905 года, д. 25, кв. 29</t>
        </is>
      </c>
      <c r="F74" s="1" t="inlineStr">
        <is>
          <t>http://miravit.ru</t>
        </is>
      </c>
      <c r="G74" s="1" t="inlineStr">
        <is>
          <t>kort.a@inbox.ru</t>
        </is>
      </c>
      <c r="H74" s="2" t="inlineStr">
        <is>
          <t>«Миравит» более 30 лет задает тренды в косметике. Уникальные формулы Виктора Дворникова и технология «ЭкотрОМ» восстанавливают микробиом кожи и улучшают самочувствие. Здоровье творит «Миравит»!</t>
        </is>
      </c>
      <c r="I74" s="2" t="inlineStr">
        <is>
          <t>Косметические препараты; Технологии, оборудование и расходные материалы для спа и велнес; Средства личной гигиены; Средства гигиены полости рта; Лечебная косметика; Методы и способы усиления иммунитета, повышения защитных функций организма</t>
        </is>
      </c>
      <c r="J74" s="1">
        <f>IFERROR(__xludf.DUMMYFUNCTION("AI(Prompt!$B$6, H74:I74)"),"Производитель")</f>
        <v/>
      </c>
      <c r="K74" s="1">
        <f>IFERROR(__xludf.DUMMYFUNCTION("AI(Prompt!$B$12, H74:J74)"),"OK")</f>
        <v/>
      </c>
      <c r="L74" s="2">
        <f>IFERROR(__xludf.DUMMYFUNCTION("AI(Prompt!$B$17, H74:I74)"),"косметические препараты, средства личной гигиены, средства гигиены полости рта и лечебная косметика")</f>
        <v/>
      </c>
      <c r="M74" s="5" t="inlineStr">
        <is>
          <t>ЗДОРОВЫЙ ОБРАЗ ЖИЗНИ-2025</t>
        </is>
      </c>
      <c r="N74" s="7" t="inlineStr">
        <is>
          <t>https://www.zdravo-expo.ru/</t>
        </is>
      </c>
      <c r="O74" s="1">
        <f>IFERROR(__xludf.DUMMYFUNCTION("AI(Prompt!$B$21,A74)"),"Миравит")</f>
        <v/>
      </c>
    </row>
    <row r="75" ht="15.75" customHeight="1">
      <c r="A75" s="1" t="inlineStr">
        <is>
          <t>МКТ ФАРМ</t>
        </is>
      </c>
      <c r="B75" s="1" t="inlineStr">
        <is>
          <t>11D060</t>
        </is>
      </c>
      <c r="C75" s="1" t="inlineStr">
        <is>
          <t>Россия</t>
        </is>
      </c>
      <c r="D75" s="1" t="inlineStr">
        <is>
          <t>Москва</t>
        </is>
      </c>
      <c r="E75" s="1" t="inlineStr">
        <is>
          <t>Россия, 127560, г. Москва, ул. Лескова, д. 30, этаж 1, пом. XV, комн. 3</t>
        </is>
      </c>
      <c r="F75" s="1" t="inlineStr">
        <is>
          <t>http://Mktfarm.ru</t>
        </is>
      </c>
      <c r="G75" s="1" t="inlineStr">
        <is>
          <t>lpfarm@lpfarm.ru</t>
        </is>
      </c>
      <c r="H75" s="2" t="inlineStr">
        <is>
          <t>ООО «МКТ Фарм» — надежный партнер в области поставки медицинских компрессионных изделий. Официальный поставщик двух российских производителей — ООО «Центр Компресс» и ООО «ЛПП Фарм».</t>
        </is>
      </c>
      <c r="I75" s="2" t="inlineStr">
        <is>
          <t>Компрессионный трикотаж</t>
        </is>
      </c>
      <c r="J75" s="1">
        <f>IFERROR(__xludf.DUMMYFUNCTION("AI(Prompt!$B$6, H75:I75)"),"Дилер")</f>
        <v/>
      </c>
      <c r="K75" s="1">
        <f>IFERROR(__xludf.DUMMYFUNCTION("AI(Prompt!$B$12, H75:J75)"),"OK")</f>
        <v/>
      </c>
      <c r="L75" s="2">
        <f>IFERROR(__xludf.DUMMYFUNCTION("AI(Prompt!$B$17, H75:I75)"),"компрессионные изделия")</f>
        <v/>
      </c>
      <c r="M75" s="5" t="inlineStr">
        <is>
          <t>ЗДОРОВЫЙ ОБРАЗ ЖИЗНИ-2025</t>
        </is>
      </c>
      <c r="N75" s="7" t="inlineStr">
        <is>
          <t>https://www.zdravo-expo.ru/</t>
        </is>
      </c>
      <c r="O75" s="1">
        <f>IFERROR(__xludf.DUMMYFUNCTION("AI(Prompt!$B$21,A75)"),"МКТ ФАРМ")</f>
        <v/>
      </c>
    </row>
    <row r="76" ht="15.75" customHeight="1">
      <c r="A76" s="1" t="inlineStr">
        <is>
          <t>МОСИТАЛМЕД, АО</t>
        </is>
      </c>
      <c r="B76" s="1" t="inlineStr">
        <is>
          <t>11D035</t>
        </is>
      </c>
      <c r="C76" s="1" t="inlineStr">
        <is>
          <t>Россия</t>
        </is>
      </c>
      <c r="D76" s="1" t="inlineStr">
        <is>
          <t>Москва</t>
        </is>
      </c>
      <c r="E76" s="1" t="inlineStr">
        <is>
          <t>Россия, 119002, г. Москва, ул. Арбат, д. 28/1, стр. 1</t>
        </is>
      </c>
      <c r="F76" s="1" t="inlineStr">
        <is>
          <t>https://mositalmed.ru</t>
        </is>
      </c>
      <c r="G76" s="1" t="inlineStr">
        <is>
          <t>info@mositalmed.ru</t>
        </is>
      </c>
      <c r="H76" s="2" t="inlineStr">
        <is>
          <t>ГК «МОСИТАЛМЕД» объединяет крупные многопрофильные клиники на Арбате и Смоленской, Институт красоты на Арбате, сеть стоматологий, космецевтический бренд «Адженда» и производственные мощности «АрбатЛаб».</t>
        </is>
      </c>
      <c r="I76" s="2" t="inlineStr">
        <is>
          <t>Эстетическая медицина и косметология; Косметические препараты; Профилактическая медицина, увеличение продолжительности жизни</t>
        </is>
      </c>
      <c r="J76" s="1">
        <f>IFERROR(__xludf.DUMMYFUNCTION("AI(Prompt!$B$6, H76:I76)"),"Производитель")</f>
        <v/>
      </c>
      <c r="K76" s="1">
        <f>IFERROR(__xludf.DUMMYFUNCTION("AI(Prompt!$B$12, H76:J76)"),"OK")</f>
        <v/>
      </c>
      <c r="L76" s="2">
        <f>IFERROR(__xludf.DUMMYFUNCTION("AI(Prompt!$B$17, H76:I76)"),"косметические препараты")</f>
        <v/>
      </c>
      <c r="M76" s="5" t="inlineStr">
        <is>
          <t>ЗДОРОВЫЙ ОБРАЗ ЖИЗНИ-2025</t>
        </is>
      </c>
      <c r="N76" s="7" t="inlineStr">
        <is>
          <t>https://www.zdravo-expo.ru/</t>
        </is>
      </c>
      <c r="O76" s="1">
        <f>IFERROR(__xludf.DUMMYFUNCTION("AI(Prompt!$B$21,A76)"),"Моситалмед")</f>
        <v/>
      </c>
    </row>
    <row r="77" ht="15.75" customHeight="1">
      <c r="A77" s="1" t="inlineStr">
        <is>
          <t>МОТОРИКА, ООО</t>
        </is>
      </c>
      <c r="B77" s="8" t="n">
        <v>110000000000</v>
      </c>
      <c r="C77" s="1" t="inlineStr">
        <is>
          <t>Россия</t>
        </is>
      </c>
      <c r="D77" s="1" t="inlineStr">
        <is>
          <t>Москва</t>
        </is>
      </c>
      <c r="E77" s="1" t="inlineStr">
        <is>
          <t>Россия, 109316, г. Москва, Волгоградский просп., д. 42, корп. 5, пом. 1Н</t>
        </is>
      </c>
      <c r="F77" s="1" t="inlineStr">
        <is>
          <t>http://motorica.org</t>
        </is>
      </c>
      <c r="G77" s="1" t="inlineStr">
        <is>
          <t>info@motorica.org</t>
        </is>
      </c>
      <c r="H77" s="2" t="inlineStr">
        <is>
          <t>«Моторика» разрабатывает и производит протезы рук для взрослых и детей, протезы ног и кресла-коляски. Компания развивает направление нейроимплантатов, а также занимается дистрибьюцией медицинских изделий.</t>
        </is>
      </c>
      <c r="I77" s="2" t="inlineStr">
        <is>
          <t>Наружные протезы и устройства замещения функций органов</t>
        </is>
      </c>
      <c r="J77" s="1">
        <f>IFERROR(__xludf.DUMMYFUNCTION("AI(Prompt!$B$6, H77:I77)"),"Производитель")</f>
        <v/>
      </c>
      <c r="K77" s="1">
        <f>IFERROR(__xludf.DUMMYFUNCTION("AI(Prompt!$B$12, H77:J77)"),"OK")</f>
        <v/>
      </c>
      <c r="L77" s="2">
        <f>IFERROR(__xludf.DUMMYFUNCTION("AI(Prompt!$B$17, H77:I77)"),"протезы, кресла-коляски и нейроимплантаты")</f>
        <v/>
      </c>
      <c r="M77" s="5" t="inlineStr">
        <is>
          <t>ЗДОРОВЫЙ ОБРАЗ ЖИЗНИ-2025</t>
        </is>
      </c>
      <c r="N77" s="7" t="inlineStr">
        <is>
          <t>https://www.zdravo-expo.ru/</t>
        </is>
      </c>
      <c r="O77" s="1">
        <f>IFERROR(__xludf.DUMMYFUNCTION("AI(Prompt!$B$21,A77)"),"Моторика")</f>
        <v/>
      </c>
    </row>
    <row r="78" ht="15.75" customHeight="1">
      <c r="A78" s="1" t="inlineStr">
        <is>
          <t>НАЦИОНАЛЬНАЯ АССОЦИАЦИЯ ИНТЕГРАТИВНОЙ МЕДИЦИНЫ (НАИМ)</t>
        </is>
      </c>
      <c r="B78" s="1" t="inlineStr">
        <is>
          <t>11G064</t>
        </is>
      </c>
      <c r="C78" s="1" t="inlineStr">
        <is>
          <t>Россия</t>
        </is>
      </c>
      <c r="D78" s="1" t="inlineStr">
        <is>
          <t>Москва</t>
        </is>
      </c>
      <c r="E78" s="1" t="inlineStr">
        <is>
          <t>Россия, 123112, г. Москва, Пресненская наб., д. 8, стр. 1</t>
        </is>
      </c>
      <c r="F78" s="1" t="inlineStr">
        <is>
          <t>https://naimedu.ru</t>
        </is>
      </c>
      <c r="G78" s="1" t="inlineStr">
        <is>
          <t>panchenko@naimedu.ru</t>
        </is>
      </c>
      <c r="H78" s="2" t="inlineStr">
        <is>
          <t>6 лет поддержки сообщества профессионалов в области медицины в совершенствовании методов помощи пациентам. Конференции и курсы ДПО по нутрициологии, ароматерапии, гомеопатии и др. на базе ведущих медицинских вузов РФ.</t>
        </is>
      </c>
      <c r="I78" s="2" t="inlineStr">
        <is>
          <t>Профессиональное образование и повышение квалификации; Профессиональные объединения и ассоциации; Альтернативная медицина; Профилактическая медицина, увеличение продолжительности жизни</t>
        </is>
      </c>
      <c r="J78" s="1">
        <f>IFERROR(__xludf.DUMMYFUNCTION("AI(Prompt!$B$6, H78:I78)"),"Поставщик услуг")</f>
        <v/>
      </c>
      <c r="K78" s="1">
        <f>IFERROR(__xludf.DUMMYFUNCTION("AI(Prompt!$B$12, H78:J78)"),"OK")</f>
        <v/>
      </c>
      <c r="L78" s="2">
        <f>IFERROR(__xludf.DUMMYFUNCTION("AI(Prompt!$B$17, H78:I78)"),"нутрицевтики, средства для ароматерапии, гомеопатические средства")</f>
        <v/>
      </c>
      <c r="M78" s="5" t="inlineStr">
        <is>
          <t>ЗДОРОВЫЙ ОБРАЗ ЖИЗНИ-2025</t>
        </is>
      </c>
      <c r="N78" s="7" t="inlineStr">
        <is>
          <t>https://www.zdravo-expo.ru/</t>
        </is>
      </c>
      <c r="O78" s="1">
        <f>IFERROR(__xludf.DUMMYFUNCTION("AI(Prompt!$B$21,A78)"),"НАИМ")</f>
        <v/>
      </c>
    </row>
    <row r="79" ht="15.75" customHeight="1">
      <c r="A79" s="1" t="inlineStr">
        <is>
          <t>НЕВОТОН, НПФ, ООО</t>
        </is>
      </c>
      <c r="B79" s="1" t="inlineStr">
        <is>
          <t>11D126</t>
        </is>
      </c>
      <c r="C79" s="1" t="inlineStr">
        <is>
          <t>Россия</t>
        </is>
      </c>
      <c r="D79" s="1" t="inlineStr">
        <is>
          <t>Санкт-Петербург</t>
        </is>
      </c>
      <c r="E79" s="1" t="inlineStr">
        <is>
          <t>Россия, 192012, г. Санкт-Петербург, вн. тер. г. м. о. Обуховский, ул. Грибакиных, д. 25, корп. 3, литера А</t>
        </is>
      </c>
      <c r="F79" s="1" t="inlineStr">
        <is>
          <t>http://www.nevoton.ru</t>
        </is>
      </c>
      <c r="G79" s="1" t="inlineStr">
        <is>
          <t>info@nevoton.ru</t>
        </is>
      </c>
      <c r="H79" s="2" t="inlineStr">
        <is>
          <t>«НЕВОТОН» — российский производитель профессиональной и домашней физиотерапевтической техники. Осуществляем полный цикл производства — от идеи до серии. Наши приоритеты — качество, надежность, безопасность.</t>
        </is>
      </c>
      <c r="I79" s="2" t="inlineStr">
        <is>
          <t>Оборудование для электротерапии; Оборудование для фототерапии; Оборудование для комбинированной физиотерапии; Оборудование для радиоволновой и ультразвуковой терапии; Акупунктура</t>
        </is>
      </c>
      <c r="J79" s="1">
        <f>IFERROR(__xludf.DUMMYFUNCTION("AI(Prompt!$B$6, H79:I79)"),"Производитель")</f>
        <v/>
      </c>
      <c r="K79" s="1">
        <f>IFERROR(__xludf.DUMMYFUNCTION("AI(Prompt!$B$12, H79:J79)"),"OK")</f>
        <v/>
      </c>
      <c r="L79" s="2">
        <f>IFERROR(__xludf.DUMMYFUNCTION("AI(Prompt!$B$17, H79:I79)"),"техника, оборудование")</f>
        <v/>
      </c>
      <c r="M79" s="5" t="inlineStr">
        <is>
          <t>ЗДОРОВЫЙ ОБРАЗ ЖИЗНИ-2025</t>
        </is>
      </c>
      <c r="N79" s="7" t="inlineStr">
        <is>
          <t>https://www.zdravo-expo.ru/</t>
        </is>
      </c>
      <c r="O79" s="1">
        <f>IFERROR(__xludf.DUMMYFUNCTION("AI(Prompt!$B$21,A79)"),"НЕВОТОН, НПФ")</f>
        <v/>
      </c>
    </row>
    <row r="80" ht="15.75" customHeight="1">
      <c r="A80" s="1" t="inlineStr">
        <is>
          <t>НЕВРОКОР, ООО</t>
        </is>
      </c>
      <c r="B80" s="8" t="n">
        <v>1.1e+41</v>
      </c>
      <c r="C80" s="1" t="inlineStr">
        <is>
          <t>Россия</t>
        </is>
      </c>
      <c r="D80" s="1" t="inlineStr">
        <is>
          <t>Москва</t>
        </is>
      </c>
      <c r="E80" s="1" t="inlineStr">
        <is>
          <t>Россия, 109428, г. Москва, Рязанский просп., д. 24, корп. 1, оф. 34</t>
        </is>
      </c>
      <c r="F80" s="1" t="inlineStr">
        <is>
          <t>http://www.neurocor.ru</t>
        </is>
      </c>
      <c r="G80" s="1" t="inlineStr">
        <is>
          <t>info@neurocor.ru</t>
        </is>
      </c>
      <c r="H80" s="2" t="inlineStr">
        <is>
          <t>Производство медицинского оборудования для диагностики и реабилитации.</t>
        </is>
      </c>
      <c r="I80" s="2" t="inlineStr">
        <is>
          <t>Системы мониторирования ЭЭГ; Нейрофизиологическое оборудование; Физиотерапия и реабилитация; Оборудование для электротерапии; Реабилитационное оборудование; Тренажеры</t>
        </is>
      </c>
      <c r="J80" s="1">
        <f>IFERROR(__xludf.DUMMYFUNCTION("AI(Prompt!$B$6, H80:I80)"),"Производитель")</f>
        <v/>
      </c>
      <c r="K80" s="1">
        <f>IFERROR(__xludf.DUMMYFUNCTION("AI(Prompt!$B$12, H80:J80)"),"OK")</f>
        <v/>
      </c>
      <c r="L80" s="2">
        <f>IFERROR(__xludf.DUMMYFUNCTION("AI(Prompt!$B$17, H80:I80)"),"медицинское оборудование, тренажеры")</f>
        <v/>
      </c>
      <c r="M80" s="5" t="inlineStr">
        <is>
          <t>ЗДОРОВЫЙ ОБРАЗ ЖИЗНИ-2025</t>
        </is>
      </c>
      <c r="N80" s="7" t="inlineStr">
        <is>
          <t>https://www.zdravo-expo.ru/</t>
        </is>
      </c>
      <c r="O80" s="1">
        <f>IFERROR(__xludf.DUMMYFUNCTION("AI(Prompt!$B$21,A80)"),"Неврокор")</f>
        <v/>
      </c>
    </row>
    <row r="81" ht="15.75" customHeight="1">
      <c r="A81" s="1" t="inlineStr">
        <is>
          <t>НИКАМЕД</t>
        </is>
      </c>
      <c r="B81" s="8" t="n">
        <v>110</v>
      </c>
      <c r="C81" s="1" t="inlineStr">
        <is>
          <t>Россия</t>
        </is>
      </c>
      <c r="D81" s="1" t="inlineStr">
        <is>
          <t>Москва</t>
        </is>
      </c>
      <c r="E81" s="1" t="inlineStr">
        <is>
          <t>Россия, 127015, г. Москва, Бумажный пр-д, д. 14, стр. 2</t>
        </is>
      </c>
      <c r="F81" s="1" t="inlineStr">
        <is>
          <t>http://www.nikamed.ru</t>
        </is>
      </c>
      <c r="G81" s="1" t="inlineStr">
        <is>
          <t>sales@nikamed.ru</t>
        </is>
      </c>
      <c r="H81" s="2" t="inlineStr">
        <is>
          <t>Компания «НИКАМЕД» — крупнейший в РФ производитель, дистрибьютор и розничный продавец качественных медицинских ортопедических изделий, медицинского компрессионного трикотажа и ортопедической обуви.</t>
        </is>
      </c>
      <c r="I81" s="2" t="inlineStr">
        <is>
          <t>Средства, облегчающие передвижения; Компрессионный трикотаж; Ортопедические средства для ног, стельки и др.; Ортезы; Ортопедические бандажи и корсеты; Ортезы</t>
        </is>
      </c>
      <c r="J81" s="1">
        <f>IFERROR(__xludf.DUMMYFUNCTION("AI(Prompt!$B$6, H81:I81)"),"Производитель")</f>
        <v/>
      </c>
      <c r="K81" s="1">
        <f>IFERROR(__xludf.DUMMYFUNCTION("AI(Prompt!$B$12, H81:J81)"),"OK")</f>
        <v/>
      </c>
      <c r="L81" s="2">
        <f>IFERROR(__xludf.DUMMYFUNCTION("AI(Prompt!$B$17, H81:I81)"),"ортопедические изделия, компрессионный трикотаж и ортопедическая обувь")</f>
        <v/>
      </c>
      <c r="M81" s="5" t="inlineStr">
        <is>
          <t>ЗДОРОВЫЙ ОБРАЗ ЖИЗНИ-2025</t>
        </is>
      </c>
      <c r="N81" s="7" t="inlineStr">
        <is>
          <t>https://www.zdravo-expo.ru/</t>
        </is>
      </c>
      <c r="O81" s="1">
        <f>IFERROR(__xludf.DUMMYFUNCTION("AI(Prompt!$B$21,A81)"),"Никамед")</f>
        <v/>
      </c>
    </row>
    <row r="82" ht="15.75" customHeight="1">
      <c r="A82" s="1" t="inlineStr">
        <is>
          <t>НОВИКОВ ВИТАЛИЙ ВАЛЕРЬЕВИЧ, ИП</t>
        </is>
      </c>
      <c r="B82" s="1" t="inlineStr">
        <is>
          <t>11A175</t>
        </is>
      </c>
      <c r="C82" s="1" t="inlineStr">
        <is>
          <t>Россия</t>
        </is>
      </c>
      <c r="E82" s="1" t="inlineStr">
        <is>
          <t>Россия</t>
        </is>
      </c>
      <c r="H82" s="2" t="n"/>
      <c r="I82" s="2" t="n"/>
      <c r="J82" s="1">
        <f>IFERROR(__xludf.DUMMYFUNCTION("AI(Prompt!$B$6, H82:I82)"),"I need the company description or categories to classify the company.")</f>
        <v/>
      </c>
      <c r="K82" s="1">
        <f>IFERROR(__xludf.DUMMYFUNCTION("AI(Prompt!$B$12, H82:J82)"),"I need the company description or categories to classify the company and the previous classification to validate.")</f>
        <v/>
      </c>
      <c r="L82" s="2">
        <f>IFERROR(__xludf.DUMMYFUNCTION("AI(Prompt!$B$17, H82:I82)"),"The ""Описание"" and ""Рубрики"" cells are empty, so I cannot extract the list of products.")</f>
        <v/>
      </c>
      <c r="M82" s="5" t="inlineStr">
        <is>
          <t>ЗДОРОВЫЙ ОБРАЗ ЖИЗНИ-2025</t>
        </is>
      </c>
      <c r="N82" s="7" t="inlineStr">
        <is>
          <t>https://www.zdravo-expo.ru/</t>
        </is>
      </c>
      <c r="O82" s="1">
        <f>IFERROR(__xludf.DUMMYFUNCTION("AI(Prompt!$B$21,A82)"),"ИП Новиков")</f>
        <v/>
      </c>
    </row>
    <row r="83" ht="15.75" customHeight="1">
      <c r="A83" s="1" t="inlineStr">
        <is>
          <t>НПО ТЕХНОЛОГИИ, ООО</t>
        </is>
      </c>
      <c r="B83" s="1" t="inlineStr">
        <is>
          <t>11D025</t>
        </is>
      </c>
      <c r="C83" s="1" t="inlineStr">
        <is>
          <t>Россия</t>
        </is>
      </c>
      <c r="E83" s="1" t="inlineStr">
        <is>
          <t>Россия, 188671, Ленинградская обл., Всеволожский р-н, ПР «Спутник», ул. Центральная, стр. 61, пом. 203</t>
        </is>
      </c>
      <c r="F83" s="1" t="inlineStr">
        <is>
          <t>https://everest-baro.ru</t>
        </is>
      </c>
      <c r="G83" s="1" t="inlineStr">
        <is>
          <t>spbeverest@mail.ru</t>
        </is>
      </c>
      <c r="H83" s="2" t="inlineStr">
        <is>
          <t>Наша компания занимается производством крио- и барокамер для медицинских, спортивных и косметологических целей, обеспечивая инновационные и безопасные решения для оздоровления и восстановления.</t>
        </is>
      </c>
      <c r="I83" s="2" t="inlineStr">
        <is>
          <t>Физиотерапия и реабилитация; Реабилитационное оборудование; Оборудование для кислородной терапии; Фитнес и спорт; Эстетическая медицина и косметология</t>
        </is>
      </c>
      <c r="J83" s="1">
        <f>IFERROR(__xludf.DUMMYFUNCTION("AI(Prompt!$B$6, H83:I83)"),"Производитель")</f>
        <v/>
      </c>
      <c r="K83" s="1">
        <f>IFERROR(__xludf.DUMMYFUNCTION("AI(Prompt!$B$12, H83:J83)"),"OK")</f>
        <v/>
      </c>
      <c r="L83" s="2">
        <f>IFERROR(__xludf.DUMMYFUNCTION("AI(Prompt!$B$17, H83:I83)"),"криокамеры, барокамеры и оборудование")</f>
        <v/>
      </c>
      <c r="M83" s="5" t="inlineStr">
        <is>
          <t>ЗДОРОВЫЙ ОБРАЗ ЖИЗНИ-2025</t>
        </is>
      </c>
      <c r="N83" s="7" t="inlineStr">
        <is>
          <t>https://www.zdravo-expo.ru/</t>
        </is>
      </c>
      <c r="O83" s="1">
        <f>IFERROR(__xludf.DUMMYFUNCTION("AI(Prompt!$B$21,A83)"),"НПО ТЕХНОЛОГИИ")</f>
        <v/>
      </c>
    </row>
    <row r="84" ht="15.75" customHeight="1">
      <c r="A84" s="1" t="inlineStr">
        <is>
          <t>НУГА БЕСТ</t>
        </is>
      </c>
      <c r="B84" s="1" t="inlineStr">
        <is>
          <t>11B026</t>
        </is>
      </c>
      <c r="C84" s="1" t="inlineStr">
        <is>
          <t>Россия</t>
        </is>
      </c>
      <c r="D84" s="1" t="inlineStr">
        <is>
          <t>Ярославль</t>
        </is>
      </c>
      <c r="E84" s="1" t="inlineStr">
        <is>
          <t>Россия, 150042, г. Ярославль, пер. Коммунаров, д. 10, пом. 8</t>
        </is>
      </c>
      <c r="F84" s="1" t="inlineStr">
        <is>
          <t>https://nugabest.ru</t>
        </is>
      </c>
      <c r="G84" s="1" t="inlineStr">
        <is>
          <t>pr@nugabest.ru</t>
        </is>
      </c>
      <c r="H84" s="2" t="inlineStr">
        <is>
          <t>«НУГА БЕСТ» — это товарный знак южнокорейской компании «Нуга Медикал Ко. Лтд», которая является одним из крупнейших производителей медицинского оборудования для домашнего применения.</t>
        </is>
      </c>
      <c r="I84" s="2" t="inlineStr">
        <is>
          <t>Физиотерапия и реабилитация; Терапевтическое оборудование; Оборудование для термотерапии; Оборудование для магнитотерапии; Реабилитационное оборудование; Эстетическая медицина и косметология</t>
        </is>
      </c>
      <c r="J84" s="1">
        <f>IFERROR(__xludf.DUMMYFUNCTION("AI(Prompt!$B$6, H84:I84)"),"Производитель")</f>
        <v/>
      </c>
      <c r="K84" s="1">
        <f>IFERROR(__xludf.DUMMYFUNCTION("AI(Prompt!$B$12, H84:J84)"),"OK")</f>
        <v/>
      </c>
      <c r="L84" s="2">
        <f>IFERROR(__xludf.DUMMYFUNCTION("AI(Prompt!$B$17, H84:I84)"),"медицинское оборудование, терапевтическое оборудование, реабилитационное оборудование и оборудование для косметологии")</f>
        <v/>
      </c>
      <c r="M84" s="5" t="inlineStr">
        <is>
          <t>ЗДОРОВЫЙ ОБРАЗ ЖИЗНИ-2025</t>
        </is>
      </c>
      <c r="N84" s="7" t="inlineStr">
        <is>
          <t>https://www.zdravo-expo.ru/</t>
        </is>
      </c>
      <c r="O84" s="1">
        <f>IFERROR(__xludf.DUMMYFUNCTION("AI(Prompt!$B$21,A84)"),"Нуга Бест")</f>
        <v/>
      </c>
    </row>
    <row r="85" ht="15.75" customHeight="1">
      <c r="A85" s="1" t="inlineStr">
        <is>
          <t>ОКА-МЕДИК, ПП, ООО</t>
        </is>
      </c>
      <c r="B85" s="1" t="inlineStr">
        <is>
          <t>11D080</t>
        </is>
      </c>
      <c r="C85" s="1" t="inlineStr">
        <is>
          <t>Россия</t>
        </is>
      </c>
      <c r="D85" s="1" t="inlineStr">
        <is>
          <t>Навашино</t>
        </is>
      </c>
      <c r="E85" s="1" t="inlineStr">
        <is>
          <t>Россия, 607100, Нижегородская обл., г. Навашино, ул. Дорожная, зд. 13</t>
        </is>
      </c>
      <c r="F85" s="1" t="inlineStr">
        <is>
          <t>https://okamedik.ru</t>
        </is>
      </c>
      <c r="G85" s="1" t="inlineStr">
        <is>
          <t>OkaMedik2006@yandex.ru</t>
        </is>
      </c>
      <c r="H85" s="2" t="inlineStr">
        <is>
          <t>«Ока-Медик» предлагает широкий выбор медицинской мебели и оборудования. Более 100 наименований, позволяющих полностью оснастить кабинеты и палаты в ЛПУ.</t>
        </is>
      </c>
      <c r="I85" s="2" t="inlineStr">
        <is>
          <t>Физиотерапия и реабилитация; Реабилитационное оборудование; Средства, облегчающие передвижения</t>
        </is>
      </c>
      <c r="J85" s="1">
        <f>IFERROR(__xludf.DUMMYFUNCTION("AI(Prompt!$B$6, H85:I85)"),"Дилер")</f>
        <v/>
      </c>
      <c r="K85" s="1">
        <f>IFERROR(__xludf.DUMMYFUNCTION("AI(Prompt!$B$12, H85:J85)"),"OK")</f>
        <v/>
      </c>
      <c r="L85" s="2">
        <f>IFERROR(__xludf.DUMMYFUNCTION("AI(Prompt!$B$17, H85:I85)"),"медицинская мебель, оборудование, средства передвижения")</f>
        <v/>
      </c>
      <c r="M85" s="5" t="inlineStr">
        <is>
          <t>ЗДОРОВЫЙ ОБРАЗ ЖИЗНИ-2025</t>
        </is>
      </c>
      <c r="N85" s="7" t="inlineStr">
        <is>
          <t>https://www.zdravo-expo.ru/</t>
        </is>
      </c>
      <c r="O85" s="1">
        <f>IFERROR(__xludf.DUMMYFUNCTION("AI(Prompt!$B$21,A85)"),"Ока-Медик")</f>
        <v/>
      </c>
    </row>
    <row r="86" ht="15.75" customHeight="1">
      <c r="A86" s="1" t="inlineStr">
        <is>
          <t>ОКСИТЕРРА, ООО</t>
        </is>
      </c>
      <c r="B86" s="1" t="inlineStr">
        <is>
          <t>11F015</t>
        </is>
      </c>
      <c r="C86" s="1" t="inlineStr">
        <is>
          <t>Россия</t>
        </is>
      </c>
      <c r="D86" s="1" t="inlineStr">
        <is>
          <t>Москва</t>
        </is>
      </c>
      <c r="E86" s="1" t="inlineStr">
        <is>
          <t>Россия, 125124, г. Москва, ул. Правды, д. 24, стр. 3, комн. 45</t>
        </is>
      </c>
      <c r="F86" s="1" t="inlineStr">
        <is>
          <t>https://oxyterra.ru</t>
        </is>
      </c>
      <c r="G86" s="1" t="inlineStr">
        <is>
          <t>info@oxyterra.ru</t>
        </is>
      </c>
      <c r="H86" s="2" t="inlineStr">
        <is>
          <t>«ОКСИТЕРРА» — российский производитель медицинского оборудования для получения гипоксических, гипероксических и нормоксических газовых смесей OXYTERRA для профилактики, лечения болезней и реабилитации.</t>
        </is>
      </c>
      <c r="I86" s="2" t="inlineStr">
        <is>
          <t>Физиотерапия и реабилитация; Реабилитационное оборудование; Оборудование для кислородной терапии; Эстетическая медицина и косметология; Профилактическая медицина, увеличение продолжительности жизни; Пропаганда здорового образа жизни</t>
        </is>
      </c>
      <c r="J86" s="1">
        <f>IFERROR(__xludf.DUMMYFUNCTION("AI(Prompt!$B$6, H86:I86)"),"Производитель")</f>
        <v/>
      </c>
      <c r="K86" s="1">
        <f>IFERROR(__xludf.DUMMYFUNCTION("AI(Prompt!$B$12, H86:J86)"),"OK")</f>
        <v/>
      </c>
      <c r="L86" s="2">
        <f>IFERROR(__xludf.DUMMYFUNCTION("AI(Prompt!$B$17, H86:I86)"),"медицинское оборудование, реабилитационное оборудование и оборудование для кислородной терапии")</f>
        <v/>
      </c>
      <c r="M86" s="5" t="inlineStr">
        <is>
          <t>ЗДОРОВЫЙ ОБРАЗ ЖИЗНИ-2025</t>
        </is>
      </c>
      <c r="N86" s="7" t="inlineStr">
        <is>
          <t>https://www.zdravo-expo.ru/</t>
        </is>
      </c>
      <c r="O86" s="1">
        <f>IFERROR(__xludf.DUMMYFUNCTION("AI(Prompt!$B$21,A86)"),"Окситерра")</f>
        <v/>
      </c>
    </row>
    <row r="87" ht="15.75" customHeight="1">
      <c r="A87" s="1" t="inlineStr">
        <is>
          <t>ОРБИТА, НВП, ООО (ОРМЕД ТМ)</t>
        </is>
      </c>
      <c r="B87" s="1" t="inlineStr">
        <is>
          <t>11F070</t>
        </is>
      </c>
      <c r="C87" s="1" t="inlineStr">
        <is>
          <t>Россия</t>
        </is>
      </c>
      <c r="D87" s="1" t="inlineStr">
        <is>
          <t>Уфа</t>
        </is>
      </c>
      <c r="E87" s="1" t="inlineStr">
        <is>
          <t>Россия, 450095, Республика Башкортостан, г. Уфа, ул. Центральная, д. 53, корп. 3</t>
        </is>
      </c>
      <c r="F87" s="1" t="inlineStr">
        <is>
          <t>http://www.ormed.ru</t>
        </is>
      </c>
      <c r="G87" s="1" t="inlineStr">
        <is>
          <t>pr@ormed.ru</t>
        </is>
      </c>
      <c r="H87" s="2" t="inlineStr">
        <is>
          <t>НВП «Орбита» (Россия, г. Уфа) — одно из ведущих российских предприятий-производителей механотерапевтических комплексов для реабилитации и лечения заболеваний позвоночника и суставов марки ORMED.</t>
        </is>
      </c>
      <c r="I87" s="2" t="inlineStr">
        <is>
          <t>Производство медицинских изделий; Ортопедическое оборудование и инструменты</t>
        </is>
      </c>
      <c r="J87" s="1">
        <f>IFERROR(__xludf.DUMMYFUNCTION("AI(Prompt!$B$6, H87:I87)"),"Производитель")</f>
        <v/>
      </c>
      <c r="K87" s="1">
        <f>IFERROR(__xludf.DUMMYFUNCTION("AI(Prompt!$B$12, H87:J87)"),"OK")</f>
        <v/>
      </c>
      <c r="L87" s="2">
        <f>IFERROR(__xludf.DUMMYFUNCTION("AI(Prompt!$B$17, H87:I87)"),"медицинские изделия, ортопедическое оборудование и инструменты")</f>
        <v/>
      </c>
      <c r="M87" s="5" t="inlineStr">
        <is>
          <t>ЗДОРОВЫЙ ОБРАЗ ЖИЗНИ-2025</t>
        </is>
      </c>
      <c r="N87" s="7" t="inlineStr">
        <is>
          <t>https://www.zdravo-expo.ru/</t>
        </is>
      </c>
      <c r="O87" s="1">
        <f>IFERROR(__xludf.DUMMYFUNCTION("AI(Prompt!$B$21,A87)"),"ОРМЕД")</f>
        <v/>
      </c>
    </row>
    <row r="88" ht="15.75" customHeight="1">
      <c r="A88" s="1" t="inlineStr">
        <is>
          <t>ОРБИТА+, ООО</t>
        </is>
      </c>
      <c r="B88" s="8" t="n">
        <v>1.1e+121</v>
      </c>
      <c r="C88" s="1" t="inlineStr">
        <is>
          <t>Россия</t>
        </is>
      </c>
      <c r="D88" s="1" t="inlineStr">
        <is>
          <t>Москва</t>
        </is>
      </c>
      <c r="E88" s="1" t="inlineStr">
        <is>
          <t>Россия, 127083, г. Москва, Петровско-Разумовская аллея, д. 20, корп. 6</t>
        </is>
      </c>
      <c r="F88" s="1" t="inlineStr">
        <is>
          <t>http://www.orbita-rt.ru</t>
        </is>
      </c>
      <c r="G88" s="1" t="inlineStr">
        <is>
          <t>orbita.rt@mail.ru</t>
        </is>
      </c>
      <c r="H88" s="2" t="inlineStr">
        <is>
          <t>Разработка и производство реабилитационных роботизированных комплексов с оригинальной системой принудительного передвижения ног. Выпускается для взрослых СЛТ, для детей СЛТд, мобильный СЛТм.</t>
        </is>
      </c>
      <c r="I88" s="2" t="inlineStr">
        <is>
          <t>Средства, облегчающие передвижения; Тренажеры; Ортезы</t>
        </is>
      </c>
      <c r="J88" s="1">
        <f>IFERROR(__xludf.DUMMYFUNCTION("AI(Prompt!$B$6, H88:I88)"),"Производитель")</f>
        <v/>
      </c>
      <c r="K88" s="1">
        <f>IFERROR(__xludf.DUMMYFUNCTION("AI(Prompt!$B$12, H88:J88)"),"OK")</f>
        <v/>
      </c>
      <c r="L88" s="2">
        <f>IFERROR(__xludf.DUMMYFUNCTION("AI(Prompt!$B$17, H88:I88)"),"комплексы, тренажеры и ортезы")</f>
        <v/>
      </c>
      <c r="M88" s="5" t="inlineStr">
        <is>
          <t>ЗДОРОВЫЙ ОБРАЗ ЖИЗНИ-2025</t>
        </is>
      </c>
      <c r="N88" s="7" t="inlineStr">
        <is>
          <t>https://www.zdravo-expo.ru/</t>
        </is>
      </c>
      <c r="O88" s="1">
        <f>IFERROR(__xludf.DUMMYFUNCTION("AI(Prompt!$B$21,A88)"),"Орбита")</f>
        <v/>
      </c>
    </row>
    <row r="89" ht="15.75" customHeight="1">
      <c r="A89" s="1" t="inlineStr">
        <is>
          <t>ОРТ-ФАРМ ОРТОПЕДИЯ, ООО</t>
        </is>
      </c>
      <c r="B89" s="1" t="inlineStr">
        <is>
          <t>11F001</t>
        </is>
      </c>
      <c r="C89" s="1" t="inlineStr">
        <is>
          <t>Россия</t>
        </is>
      </c>
      <c r="D89" s="1" t="inlineStr">
        <is>
          <t>Москва</t>
        </is>
      </c>
      <c r="E89" s="1" t="inlineStr">
        <is>
          <t>Россия, 119517, г. Москва, ул. Нежинская, д. 8, корп. 2</t>
        </is>
      </c>
      <c r="F89" s="1" t="inlineStr">
        <is>
          <t>http://www.oppomedical.ru</t>
        </is>
      </c>
      <c r="G89" s="1" t="inlineStr">
        <is>
          <t>info@oppomedical.ru</t>
        </is>
      </c>
      <c r="H89" s="2" t="inlineStr">
        <is>
          <t>Официальный дистрибьютор ортопедических изделий OPPO Medical Inc, KARMA Medical LTD.</t>
        </is>
      </c>
      <c r="I89" s="2" t="inlineStr">
        <is>
          <t>Компрессионный трикотаж; Принадлежности для фитнеса; Ортопедические изделия; Ортопедические средства для ног, стельки и др.; Ортезы; Ортезы</t>
        </is>
      </c>
      <c r="J89" s="1">
        <f>IFERROR(__xludf.DUMMYFUNCTION("AI(Prompt!$B$6, H89:I89)"),"Дилер")</f>
        <v/>
      </c>
      <c r="K89" s="1">
        <f>IFERROR(__xludf.DUMMYFUNCTION("AI(Prompt!$B$12, H89:J89)"),"OK")</f>
        <v/>
      </c>
      <c r="L89" s="2">
        <f>IFERROR(__xludf.DUMMYFUNCTION("AI(Prompt!$B$17, H89:I89)"),"ортопедические изделия, компрессионный трикотаж и принадлежности для фитнеса")</f>
        <v/>
      </c>
      <c r="M89" s="5" t="inlineStr">
        <is>
          <t>ЗДОРОВЫЙ ОБРАЗ ЖИЗНИ-2025</t>
        </is>
      </c>
      <c r="N89" s="7" t="inlineStr">
        <is>
          <t>https://www.zdravo-expo.ru/</t>
        </is>
      </c>
      <c r="O89" s="1">
        <f>IFERROR(__xludf.DUMMYFUNCTION("AI(Prompt!$B$21,A89)"),"Орт-Фарм Ортопедия")</f>
        <v/>
      </c>
    </row>
    <row r="90" ht="15.75" customHeight="1">
      <c r="A90" s="1" t="inlineStr">
        <is>
          <t>ОРТО.НИК, ООО</t>
        </is>
      </c>
      <c r="B90" s="1" t="inlineStr">
        <is>
          <t>11F090</t>
        </is>
      </c>
      <c r="C90" s="1" t="inlineStr">
        <is>
          <t>Россия</t>
        </is>
      </c>
      <c r="D90" s="1" t="inlineStr">
        <is>
          <t>Санкт-Петербург</t>
        </is>
      </c>
      <c r="E90" s="1" t="inlineStr">
        <is>
          <t>Россия, 194044, г. Санкт-Петербург, ул. Гельсингфорсская, д. 3, литера Л</t>
        </is>
      </c>
      <c r="F90" s="1" t="inlineStr">
        <is>
          <t>http://www.ortonik.ru</t>
        </is>
      </c>
      <c r="G90" s="1" t="inlineStr">
        <is>
          <t>t.povolockaya@ortonik.ru</t>
        </is>
      </c>
      <c r="H90" s="2" t="inlineStr">
        <is>
          <t>Компания «ОРТО.НИК» — российский производитель ортопедических стелек, корсетов и бандажей. Производство полного цикла, современные технологии и собственный отдел разработок. Владелец бренда Talus. Профессионализм, надежность и постоянное развитие.</t>
        </is>
      </c>
      <c r="I90" s="2" t="inlineStr">
        <is>
          <t>Средства, облегчающие передвижения; Ортопедические изделия; Ортопедические средства для ног, стельки и др.; Ортопедия и травматология; Ортезы; Ортопедические бандажи и корсеты</t>
        </is>
      </c>
      <c r="J90" s="1">
        <f>IFERROR(__xludf.DUMMYFUNCTION("AI(Prompt!$B$6, H90:I90)"),"Производитель")</f>
        <v/>
      </c>
      <c r="K90" s="1">
        <f>IFERROR(__xludf.DUMMYFUNCTION("AI(Prompt!$B$12, H90:J90)"),"OK")</f>
        <v/>
      </c>
      <c r="L90" s="2">
        <f>IFERROR(__xludf.DUMMYFUNCTION("AI(Prompt!$B$17, H90:I90)"),"стельки, корсеты, бандажи и ортезы")</f>
        <v/>
      </c>
      <c r="M90" s="5" t="inlineStr">
        <is>
          <t>ЗДОРОВЫЙ ОБРАЗ ЖИЗНИ-2025</t>
        </is>
      </c>
      <c r="N90" s="7" t="inlineStr">
        <is>
          <t>https://www.zdravo-expo.ru/</t>
        </is>
      </c>
      <c r="O90" s="1">
        <f>IFERROR(__xludf.DUMMYFUNCTION("AI(Prompt!$B$21,A90)"),"Орто.Ник")</f>
        <v/>
      </c>
    </row>
    <row r="91" ht="15.75" customHeight="1">
      <c r="A91" s="1" t="inlineStr">
        <is>
          <t>ОРТОМЕД, ООО</t>
        </is>
      </c>
      <c r="B91" s="1" t="inlineStr">
        <is>
          <t>11D090</t>
        </is>
      </c>
      <c r="C91" s="1" t="inlineStr">
        <is>
          <t>Россия</t>
        </is>
      </c>
      <c r="D91" s="1" t="inlineStr">
        <is>
          <t>Таганрог</t>
        </is>
      </c>
      <c r="E91" s="1" t="inlineStr">
        <is>
          <t>Россия, 347910, Ростовская обл., г. Таганрог, ул. Котлостроительная, д. 37, корп. 26</t>
        </is>
      </c>
      <c r="F91" s="1" t="inlineStr">
        <is>
          <t>http://ortocorrect.ru</t>
        </is>
      </c>
      <c r="G91" s="1" t="inlineStr">
        <is>
          <t>ortomed1@mail.ru</t>
        </is>
      </c>
      <c r="H91" s="2" t="inlineStr">
        <is>
          <t>ООО «ОРТОМЕД» — крупнейший российский производитель и оптовый поставщик ортопедических, анатомических, косметических подушек и топперов с эффектом памяти ТМ OrtoCorrect и BeautyLux.</t>
        </is>
      </c>
      <c r="I91" s="2" t="inlineStr">
        <is>
          <t>Ортопедические изделия; Анатомические и ортопедические подушки и матрасы</t>
        </is>
      </c>
      <c r="J91" s="1">
        <f>IFERROR(__xludf.DUMMYFUNCTION("AI(Prompt!$B$6, H91:I91)"),"Производитель")</f>
        <v/>
      </c>
      <c r="K91" s="1">
        <f>IFERROR(__xludf.DUMMYFUNCTION("AI(Prompt!$B$12, H91:J91)"),"OK")</f>
        <v/>
      </c>
      <c r="L91" s="2">
        <f>IFERROR(__xludf.DUMMYFUNCTION("AI(Prompt!$B$17, H91:I91)"),"подушки, топперы и матрасы")</f>
        <v/>
      </c>
      <c r="M91" s="5" t="inlineStr">
        <is>
          <t>ЗДОРОВЫЙ ОБРАЗ ЖИЗНИ-2025</t>
        </is>
      </c>
      <c r="N91" s="7" t="inlineStr">
        <is>
          <t>https://www.zdravo-expo.ru/</t>
        </is>
      </c>
      <c r="O91" s="1">
        <f>IFERROR(__xludf.DUMMYFUNCTION("AI(Prompt!$B$21,A91)"),"Ортомед")</f>
        <v/>
      </c>
    </row>
    <row r="92" ht="15.75" customHeight="1">
      <c r="A92" s="1" t="inlineStr">
        <is>
          <t>ОРТОМОДА, ЦЕНТР ПРОЕКТИРОВАНИЯ ОБУВИ СПЕЦИАЛЬНОГО НАЗНАЧЕНИЯ</t>
        </is>
      </c>
      <c r="B92" s="1" t="inlineStr">
        <is>
          <t>11C140</t>
        </is>
      </c>
      <c r="C92" s="1" t="inlineStr">
        <is>
          <t>Россия</t>
        </is>
      </c>
      <c r="D92" s="1" t="inlineStr">
        <is>
          <t>Москва</t>
        </is>
      </c>
      <c r="E92" s="1" t="inlineStr">
        <is>
          <t>Россия, 109316, г. Москва, Волгоградский просп., д. 42, корп. 5, оф. I</t>
        </is>
      </c>
      <c r="F92" s="1" t="inlineStr">
        <is>
          <t>http://www.orthomoda.ru</t>
        </is>
      </c>
      <c r="G92" s="1" t="inlineStr">
        <is>
          <t>info@orthomoda.ru</t>
        </is>
      </c>
      <c r="H92" s="2" t="inlineStr">
        <is>
          <t>«Ортомода» — один из крупнейших инновационных российских производителей ортопедической обуви и адаптивной одежды для всех. Лидер реабилитационной индустрии, ежегодно обслуживающий более 40 000 клиентов.</t>
        </is>
      </c>
      <c r="I92" s="2" t="inlineStr">
        <is>
          <t>Ортопедические изделия; Ортопедические средства для ног, стельки и др.; Ортопедическая и спортивная обувь; Ортопедическое оборудование и инструменты; Ортезы</t>
        </is>
      </c>
      <c r="J92" s="1">
        <f>IFERROR(__xludf.DUMMYFUNCTION("AI(Prompt!$B$6, H92:I92)"),"Производитель")</f>
        <v/>
      </c>
      <c r="K92" s="1">
        <f>IFERROR(__xludf.DUMMYFUNCTION("AI(Prompt!$B$12, H92:J92)"),"OK")</f>
        <v/>
      </c>
      <c r="L92" s="2">
        <f>IFERROR(__xludf.DUMMYFUNCTION("AI(Prompt!$B$17, H92:I92)"),"ортопедические изделия, ортопедическая обувь, адаптивная одежда и ортезы")</f>
        <v/>
      </c>
      <c r="M92" s="5" t="inlineStr">
        <is>
          <t>ЗДОРОВЫЙ ОБРАЗ ЖИЗНИ-2025</t>
        </is>
      </c>
      <c r="N92" s="7" t="inlineStr">
        <is>
          <t>https://www.zdravo-expo.ru/</t>
        </is>
      </c>
      <c r="O92" s="1">
        <f>IFERROR(__xludf.DUMMYFUNCTION("AI(Prompt!$B$21,A92)"),"Ортомода")</f>
        <v/>
      </c>
    </row>
    <row r="93" ht="15.75" customHeight="1">
      <c r="A93" s="1" t="inlineStr">
        <is>
          <t>ОРТОРЕНТ, ТД, OOO</t>
        </is>
      </c>
      <c r="B93" s="1" t="inlineStr">
        <is>
          <t>11D020</t>
        </is>
      </c>
      <c r="C93" s="1" t="inlineStr">
        <is>
          <t>Россия</t>
        </is>
      </c>
      <c r="D93" s="1" t="inlineStr">
        <is>
          <t>Подольск</t>
        </is>
      </c>
      <c r="E93" s="1" t="inlineStr">
        <is>
          <t>Россия, 142116, Московская обл., г. Подольск, ул. Лобачева, д. 30Б, пом. 218</t>
        </is>
      </c>
      <c r="F93" s="1" t="inlineStr">
        <is>
          <t>http://www.ortorent.ru</t>
        </is>
      </c>
      <c r="G93" s="1" t="inlineStr">
        <is>
          <t>irina@ortorent.ru</t>
        </is>
      </c>
      <c r="H93" s="2" t="inlineStr">
        <is>
          <t>Компания «Орторент» — производитель медицинского оборудования для реабилитации пациентов с заболеваниями опорно-двигательного аппарата и ЦНС. Линейка оборудования включает в себя более 60 видов.</t>
        </is>
      </c>
      <c r="I93" s="2" t="inlineStr">
        <is>
          <t>Реабилитационное оборудование; Спортивные тренажеры и оборудование; Ортопедия и травматология; Ортопедическое оборудование и инструменты</t>
        </is>
      </c>
      <c r="J93" s="1">
        <f>IFERROR(__xludf.DUMMYFUNCTION("AI(Prompt!$B$6, H93:I93)"),"Производитель")</f>
        <v/>
      </c>
      <c r="K93" s="1">
        <f>IFERROR(__xludf.DUMMYFUNCTION("AI(Prompt!$B$12, H93:J93)"),"OK")</f>
        <v/>
      </c>
      <c r="L93" s="2">
        <f>IFERROR(__xludf.DUMMYFUNCTION("AI(Prompt!$B$17, H93:I93)"),"реабилитационное оборудование, тренажеры и ортопедические инструменты")</f>
        <v/>
      </c>
      <c r="M93" s="5" t="inlineStr">
        <is>
          <t>ЗДОРОВЫЙ ОБРАЗ ЖИЗНИ-2025</t>
        </is>
      </c>
      <c r="N93" s="7" t="inlineStr">
        <is>
          <t>https://www.zdravo-expo.ru/</t>
        </is>
      </c>
      <c r="O93" s="1">
        <f>IFERROR(__xludf.DUMMYFUNCTION("AI(Prompt!$B$21,A93)"),"Орторент")</f>
        <v/>
      </c>
    </row>
    <row r="94" ht="15.75" customHeight="1">
      <c r="A94" s="1" t="inlineStr">
        <is>
          <t>ПОЛИМЕР-ГРУПП</t>
        </is>
      </c>
      <c r="B94" s="1" t="inlineStr">
        <is>
          <t>11G092</t>
        </is>
      </c>
      <c r="C94" s="1" t="inlineStr">
        <is>
          <t>Россия</t>
        </is>
      </c>
      <c r="D94" s="1" t="inlineStr">
        <is>
          <t>Москва</t>
        </is>
      </c>
      <c r="E94" s="1" t="inlineStr">
        <is>
          <t>Россия, 125438, г. Москва, Лихоборская наб., д. 18а</t>
        </is>
      </c>
      <c r="F94" s="1" t="inlineStr">
        <is>
          <t>http://www.polymercomplex.ru</t>
        </is>
      </c>
      <c r="G94" s="1" t="inlineStr">
        <is>
          <t>info@memorysleep.ru</t>
        </is>
      </c>
      <c r="H94" s="2" t="inlineStr">
        <is>
          <t>MemorySleep – наука идеального сна.Компания ООО «Полимер Групп» специализируется на разработке технологий здорового сна. Основное направление — производство ортопедических подушек и матрасов.</t>
        </is>
      </c>
      <c r="I94" s="2" t="inlineStr">
        <is>
          <t>Анатомические и ортопедические подушки и матрасы</t>
        </is>
      </c>
      <c r="J94" s="1">
        <f>IFERROR(__xludf.DUMMYFUNCTION("AI(Prompt!$B$6, H94:I94)"),"Производитель")</f>
        <v/>
      </c>
      <c r="K94" s="1">
        <f>IFERROR(__xludf.DUMMYFUNCTION("AI(Prompt!$B$12, H94:J94)"),"OK")</f>
        <v/>
      </c>
      <c r="L94" s="2">
        <f>IFERROR(__xludf.DUMMYFUNCTION("AI(Prompt!$B$17, H94:I94)"),"подушки и матрасы")</f>
        <v/>
      </c>
      <c r="M94" s="5" t="inlineStr">
        <is>
          <t>ЗДОРОВЫЙ ОБРАЗ ЖИЗНИ-2025</t>
        </is>
      </c>
      <c r="N94" s="7" t="inlineStr">
        <is>
          <t>https://www.zdravo-expo.ru/</t>
        </is>
      </c>
      <c r="O94" s="1">
        <f>IFERROR(__xludf.DUMMYFUNCTION("AI(Prompt!$B$21,A94)"),"Полимер-Групп")</f>
        <v/>
      </c>
    </row>
    <row r="95" ht="15.75" customHeight="1">
      <c r="A95" s="1" t="inlineStr">
        <is>
          <t>ПРАИД МЕД СЕРВИС, ООО</t>
        </is>
      </c>
      <c r="B95" s="1" t="inlineStr">
        <is>
          <t>11F226</t>
        </is>
      </c>
      <c r="C95" s="1" t="inlineStr">
        <is>
          <t>Россия</t>
        </is>
      </c>
      <c r="D95" s="1" t="inlineStr">
        <is>
          <t>Санкт-Петербург</t>
        </is>
      </c>
      <c r="E95" s="1" t="inlineStr">
        <is>
          <t>Россия, 194352, г. Санкт-Петербург, ул. Кустодиева, д. 17, литера A, пом. 2Н</t>
        </is>
      </c>
      <c r="F95" s="1" t="inlineStr">
        <is>
          <t>http://zzylls.ru</t>
        </is>
      </c>
      <c r="G95" s="1" t="inlineStr">
        <is>
          <t>sales@zzylls.ru</t>
        </is>
      </c>
      <c r="H95" s="2" t="inlineStr">
        <is>
          <t>Официальный дистрибьютор компании-производителя силового хирургического оборудования для травматологии и ортопедии ZZYLLS в России.</t>
        </is>
      </c>
      <c r="I95" s="2" t="inlineStr">
        <is>
          <t>Специализированные медицинские инструменты; Ортопедическое оборудование и инструменты</t>
        </is>
      </c>
      <c r="J95" s="1">
        <f>IFERROR(__xludf.DUMMYFUNCTION("AI(Prompt!$B$6, H95:I95)"),"Дилер")</f>
        <v/>
      </c>
      <c r="K95" s="1">
        <f>IFERROR(__xludf.DUMMYFUNCTION("AI(Prompt!$B$12, H95:J95)"),"OK")</f>
        <v/>
      </c>
      <c r="L95" s="2">
        <f>IFERROR(__xludf.DUMMYFUNCTION("AI(Prompt!$B$17, H95:I95)"),"хирургическое оборудование, инструменты")</f>
        <v/>
      </c>
      <c r="M95" s="5" t="inlineStr">
        <is>
          <t>ЗДОРОВЫЙ ОБРАЗ ЖИЗНИ-2025</t>
        </is>
      </c>
      <c r="N95" s="7" t="inlineStr">
        <is>
          <t>https://www.zdravo-expo.ru/</t>
        </is>
      </c>
      <c r="O95" s="1">
        <f>IFERROR(__xludf.DUMMYFUNCTION("AI(Prompt!$B$21,A95)"),"Праид Мед Сервис")</f>
        <v/>
      </c>
    </row>
    <row r="96" ht="15.75" customHeight="1">
      <c r="A96" s="1" t="inlineStr">
        <is>
          <t>Предприятие «АИСТ», ООО</t>
        </is>
      </c>
      <c r="B96" s="8" t="n">
        <v>1.1e+149</v>
      </c>
      <c r="C96" s="1" t="inlineStr">
        <is>
          <t>Россия</t>
        </is>
      </c>
      <c r="D96" s="1" t="inlineStr">
        <is>
          <t>Кострома</t>
        </is>
      </c>
      <c r="E96" s="1" t="inlineStr">
        <is>
          <t>Россия, 156025, г. Кострома, Рабочий просп., д. 7, каб. 403</t>
        </is>
      </c>
      <c r="F96" s="1" t="inlineStr">
        <is>
          <t>http://www.camelia-orto.ru</t>
        </is>
      </c>
      <c r="G96" s="1" t="inlineStr">
        <is>
          <t>camelia@fest-k.ru</t>
        </is>
      </c>
      <c r="H96" s="2" t="inlineStr">
        <is>
          <t>Производство и оптовая продажа ортопедической продукции (бюстгальтеров для женщин после мастэктомии, бандажей, в том числе до- и послеродовых, ортезов), послеоперационного белья.</t>
        </is>
      </c>
      <c r="I96" s="2" t="inlineStr">
        <is>
          <t>Производство медицинских изделий; Ортезы; Ортопедические бандажи и корсеты; Ортезы</t>
        </is>
      </c>
      <c r="J96" s="1">
        <f>IFERROR(__xludf.DUMMYFUNCTION("AI(Prompt!$B$6, H96:I96)"),"Производитель")</f>
        <v/>
      </c>
      <c r="K96" s="1">
        <f>IFERROR(__xludf.DUMMYFUNCTION("AI(Prompt!$B$12, H96:J96)"),"OK")</f>
        <v/>
      </c>
      <c r="L96" s="2">
        <f>IFERROR(__xludf.DUMMYFUNCTION("AI(Prompt!$B$17, H96:I96)"),"ортопедическая продукция, ортезы, бандажи и белье")</f>
        <v/>
      </c>
      <c r="M96" s="5" t="inlineStr">
        <is>
          <t>ЗДОРОВЫЙ ОБРАЗ ЖИЗНИ-2025</t>
        </is>
      </c>
      <c r="N96" s="7" t="inlineStr">
        <is>
          <t>https://www.zdravo-expo.ru/</t>
        </is>
      </c>
      <c r="O96" s="1">
        <f>IFERROR(__xludf.DUMMYFUNCTION("AI(Prompt!$B$21,A96)"),"Аист")</f>
        <v/>
      </c>
    </row>
    <row r="97" ht="15.75" customHeight="1">
      <c r="A97" s="1" t="inlineStr">
        <is>
          <t>ПРО ЭКСПО, ООО</t>
        </is>
      </c>
      <c r="B97" s="1" t="inlineStr">
        <is>
          <t>11G094</t>
        </is>
      </c>
      <c r="C97" s="1" t="inlineStr">
        <is>
          <t>Россия</t>
        </is>
      </c>
      <c r="D97" s="1" t="inlineStr">
        <is>
          <t>Пермь</t>
        </is>
      </c>
      <c r="E97" s="1" t="inlineStr">
        <is>
          <t>Россия, 614094, г. Пермь, ш. Космонавтов, д. 55а</t>
        </is>
      </c>
      <c r="F97" s="1" t="inlineStr">
        <is>
          <t>http://www.med-rus.proexpo.ru</t>
        </is>
      </c>
      <c r="G97" s="1" t="inlineStr">
        <is>
          <t>irina@proexpo.ru</t>
        </is>
      </c>
      <c r="H97" s="2" t="inlineStr">
        <is>
          <t>Выставочный оператор. Член РСВЯ. Организатор медицинских выставок-форумов федерального уровня в Екатеринбурге, Краснодаре, Новосибирске, Перми. Проекты реализуются при поддержке Минпромторга и ТПП РФ.</t>
        </is>
      </c>
      <c r="I97" s="2" t="inlineStr">
        <is>
          <t>Аналитика рынка, консалтинг</t>
        </is>
      </c>
      <c r="J97" s="1">
        <f>IFERROR(__xludf.DUMMYFUNCTION("AI(Prompt!$B$6, H97:I97)"),"Поставщик услуг")</f>
        <v/>
      </c>
      <c r="K97" s="1">
        <f>IFERROR(__xludf.DUMMYFUNCTION("AI(Prompt!$B$12, H97:J97)"),"OK")</f>
        <v/>
      </c>
      <c r="L97" s="2">
        <f>IFERROR(__xludf.DUMMYFUNCTION("AI(Prompt!$B$17, H97:I97)"),"В описании не указаны конкретные материальные товары.")</f>
        <v/>
      </c>
      <c r="M97" s="5" t="inlineStr">
        <is>
          <t>ЗДОРОВЫЙ ОБРАЗ ЖИЗНИ-2025</t>
        </is>
      </c>
      <c r="N97" s="7" t="inlineStr">
        <is>
          <t>https://www.zdravo-expo.ru/</t>
        </is>
      </c>
      <c r="O97" s="1">
        <f>IFERROR(__xludf.DUMMYFUNCTION("AI(Prompt!$B$21,A97)"),"Про Экспо")</f>
        <v/>
      </c>
    </row>
    <row r="98" ht="15.75" customHeight="1">
      <c r="A98" s="1" t="inlineStr">
        <is>
          <t>РАПИД БИО, ООО</t>
        </is>
      </c>
      <c r="B98" s="1" t="inlineStr">
        <is>
          <t>11A130</t>
        </is>
      </c>
      <c r="C98" s="1" t="inlineStr">
        <is>
          <t>Россия</t>
        </is>
      </c>
      <c r="D98" s="1" t="inlineStr">
        <is>
          <t>Москва</t>
        </is>
      </c>
      <c r="E98" s="1" t="inlineStr">
        <is>
          <t>Россия, г. Москва</t>
        </is>
      </c>
      <c r="F98" s="1" t="inlineStr">
        <is>
          <t>http://www.rapidbio.ru</t>
        </is>
      </c>
      <c r="G98" s="1" t="inlineStr">
        <is>
          <t>sale@rapidbio.ru</t>
        </is>
      </c>
      <c r="H98" s="2" t="inlineStr">
        <is>
          <t>«Рапид Био» — биотехнологическая компания полного цикла, ведущий российский разработчик и производитель тест-систем.— 5 собственных научно-исследовательских лабораторий;— соответствие ISO 13485;— резидент «Сколково».</t>
        </is>
      </c>
      <c r="I98" s="2" t="inlineStr">
        <is>
          <t>Производство медицинских изделий; Реагенты и расходные материалы для лабораторной диагностики</t>
        </is>
      </c>
      <c r="J98" s="1">
        <f>IFERROR(__xludf.DUMMYFUNCTION("AI(Prompt!$B$6, H98:I98)"),"Производитель")</f>
        <v/>
      </c>
      <c r="K98" s="1">
        <f>IFERROR(__xludf.DUMMYFUNCTION("AI(Prompt!$B$12, H98:J98)"),"OK")</f>
        <v/>
      </c>
      <c r="L98" s="2">
        <f>IFERROR(__xludf.DUMMYFUNCTION("AI(Prompt!$B$17, H98:I98)"),"тест-системы, медицинские изделия и реагенты")</f>
        <v/>
      </c>
      <c r="M98" s="5" t="inlineStr">
        <is>
          <t>ЗДОРОВЫЙ ОБРАЗ ЖИЗНИ-2025</t>
        </is>
      </c>
      <c r="N98" s="7" t="inlineStr">
        <is>
          <t>https://www.zdravo-expo.ru/</t>
        </is>
      </c>
      <c r="O98" s="1">
        <f>IFERROR(__xludf.DUMMYFUNCTION("AI(Prompt!$B$21,A98)"),"Рапид Био")</f>
        <v/>
      </c>
    </row>
    <row r="99" ht="15.75" customHeight="1">
      <c r="A99" s="1" t="inlineStr">
        <is>
          <t>РЕАБИЛИТАЦИОННЫЕ ТЕХНОЛОГИИ, НПФ, ООО (МАДИН, ТМ)</t>
        </is>
      </c>
      <c r="B99" s="8" t="n">
        <v>1.1e+71</v>
      </c>
      <c r="C99" s="1" t="inlineStr">
        <is>
          <t>Россия</t>
        </is>
      </c>
      <c r="D99" s="1" t="inlineStr">
        <is>
          <t>Нижний Новгород</t>
        </is>
      </c>
      <c r="E99" s="1" t="inlineStr">
        <is>
          <t>Россия, 603062, г. Нижний Новгород, ул. Горная, д. 15а</t>
        </is>
      </c>
      <c r="F99" s="1" t="inlineStr">
        <is>
          <t>http://www.madin.ru</t>
        </is>
      </c>
      <c r="G99" s="1" t="inlineStr">
        <is>
          <t>Info@madin.ru</t>
        </is>
      </c>
      <c r="H99" s="2" t="inlineStr">
        <is>
          <t>ГК «Мадин» — российский производитель медицинского оборудования. Мы производим оборудование для физиотерапии, реабилитации, в том числе высокотехнологичные комплексы с БОС.</t>
        </is>
      </c>
      <c r="I99" s="2" t="inlineStr">
        <is>
          <t>Физиотерапия и реабилитация</t>
        </is>
      </c>
      <c r="J99" s="1">
        <f>IFERROR(__xludf.DUMMYFUNCTION("AI(Prompt!$B$6, H99:I99)"),"Производитель")</f>
        <v/>
      </c>
      <c r="K99" s="1">
        <f>IFERROR(__xludf.DUMMYFUNCTION("AI(Prompt!$B$12, H99:J99)"),"OK")</f>
        <v/>
      </c>
      <c r="L99" s="2">
        <f>IFERROR(__xludf.DUMMYFUNCTION("AI(Prompt!$B$17, H99:I99)"),"медицинское оборудование, комплексы с БОС")</f>
        <v/>
      </c>
      <c r="M99" s="5" t="inlineStr">
        <is>
          <t>ЗДОРОВЫЙ ОБРАЗ ЖИЗНИ-2025</t>
        </is>
      </c>
      <c r="N99" s="7" t="inlineStr">
        <is>
          <t>https://www.zdravo-expo.ru/</t>
        </is>
      </c>
      <c r="O99" s="1">
        <f>IFERROR(__xludf.DUMMYFUNCTION("AI(Prompt!$B$21,A99)"),"Мадин")</f>
        <v/>
      </c>
    </row>
    <row r="100" ht="15.75" customHeight="1">
      <c r="A100" s="1" t="inlineStr">
        <is>
          <t>РЕЛАКСА СТАР, ООО</t>
        </is>
      </c>
      <c r="B100" s="8" t="n">
        <v>1.1e+91</v>
      </c>
      <c r="C100" s="1" t="inlineStr">
        <is>
          <t>Россия</t>
        </is>
      </c>
      <c r="D100" s="1" t="inlineStr">
        <is>
          <t>Москва</t>
        </is>
      </c>
      <c r="E100" s="1" t="inlineStr">
        <is>
          <t>Россия, 109153, г. Москва, Лермонтовский просп., д. 23, стр. 1</t>
        </is>
      </c>
      <c r="F100" s="1" t="inlineStr">
        <is>
          <t>http://www.relaxa.ru</t>
        </is>
      </c>
      <c r="G100" s="1" t="inlineStr">
        <is>
          <t>web@relaxa.ru</t>
        </is>
      </c>
      <c r="H100" s="2" t="inlineStr">
        <is>
          <t>Производство и прямые поставки массажных кресел. Впервые в России массажные кресла ROBOTRON и D_Core2 класса премиум из Японии, релакс-кресло «Элизиум» и маска AURAY для АВС-стимуляции. Продукция собственного производства.</t>
        </is>
      </c>
      <c r="I100" s="2" t="inlineStr">
        <is>
          <t>Оборудование для вибротерапии и массажа; Тренажеры; Оборудование для компрессионной терапии; Спортивные тренажеры и оборудование; Технологии, оборудование и расходные материалы для спа и велнес; Акупунктура</t>
        </is>
      </c>
      <c r="J100" s="1">
        <f>IFERROR(__xludf.DUMMYFUNCTION("AI(Prompt!$B$6, H100:I100)"),"Производитель")</f>
        <v/>
      </c>
      <c r="K100" s="1">
        <f>IFERROR(__xludf.DUMMYFUNCTION("AI(Prompt!$B$12, H100:J100)"),"OK")</f>
        <v/>
      </c>
      <c r="L100" s="2">
        <f>IFERROR(__xludf.DUMMYFUNCTION("AI(Prompt!$B$17, H100:I100)"),"массажные кресла, релакс-кресла, маски и тренажеры")</f>
        <v/>
      </c>
      <c r="M100" s="5" t="inlineStr">
        <is>
          <t>ЗДОРОВЫЙ ОБРАЗ ЖИЗНИ-2025</t>
        </is>
      </c>
      <c r="N100" s="7" t="inlineStr">
        <is>
          <t>https://www.zdravo-expo.ru/</t>
        </is>
      </c>
      <c r="O100" s="1">
        <f>IFERROR(__xludf.DUMMYFUNCTION("AI(Prompt!$B$21,A100)"),"Релакса Стар")</f>
        <v/>
      </c>
    </row>
    <row r="101" ht="15.75" customHeight="1">
      <c r="A101" s="1" t="inlineStr">
        <is>
          <t>РИКОН, ООО (LAMI TM)</t>
        </is>
      </c>
      <c r="B101" s="1" t="inlineStr">
        <is>
          <t>11C020</t>
        </is>
      </c>
      <c r="C101" s="1" t="inlineStr">
        <is>
          <t>Россия</t>
        </is>
      </c>
      <c r="D101" s="1" t="inlineStr">
        <is>
          <t>Барнаул</t>
        </is>
      </c>
      <c r="E101" s="1" t="inlineStr">
        <is>
          <t>Россия, 656011, Алтайский край, г. Барнаул, просп. Калинина, д. 24а/1</t>
        </is>
      </c>
      <c r="F101" s="1" t="inlineStr">
        <is>
          <t>https://lamialtai.ru</t>
        </is>
      </c>
      <c r="G101" s="1" t="inlineStr">
        <is>
          <t>grishina@zimarechye.com</t>
        </is>
      </c>
      <c r="H101" s="2" t="inlineStr">
        <is>
          <t>Натуральные продукты премиум-класса LAMI. Готовое решение для оздоровительных программ и диетического питания. Наша продукция — это идеальная основа для полезных завтраков и кулинарии в здравницах.</t>
        </is>
      </c>
      <c r="I101" s="2" t="inlineStr">
        <is>
          <t>Спортивное питание; Спортивные клубы, ассоциации, федерации; Косметические препараты; Фито- и ароматерапия; Диетические продукты; Органические, натуральные продукты питания</t>
        </is>
      </c>
      <c r="J101" s="1">
        <f>IFERROR(__xludf.DUMMYFUNCTION("AI(Prompt!$B$6, H101:I101)"),"Производитель")</f>
        <v/>
      </c>
      <c r="K101" s="1">
        <f>IFERROR(__xludf.DUMMYFUNCTION("AI(Prompt!$B$12, H101:J101)"),"OK")</f>
        <v/>
      </c>
      <c r="L101" s="2">
        <f>IFERROR(__xludf.DUMMYFUNCTION("AI(Prompt!$B$17, H101:I101)"),"спортивное питание, косметические препараты, фитотерапия и диетические продукты")</f>
        <v/>
      </c>
      <c r="M101" s="5" t="inlineStr">
        <is>
          <t>ЗДОРОВЫЙ ОБРАЗ ЖИЗНИ-2025</t>
        </is>
      </c>
      <c r="N101" s="7" t="inlineStr">
        <is>
          <t>https://www.zdravo-expo.ru/</t>
        </is>
      </c>
      <c r="O101" s="1">
        <f>IFERROR(__xludf.DUMMYFUNCTION("AI(Prompt!$B$21,A101)"),"LAMI")</f>
        <v/>
      </c>
    </row>
    <row r="102" ht="15.75" customHeight="1">
      <c r="A102" s="1" t="inlineStr">
        <is>
          <t>РОССИЙСКАЯ АССОЦИАЦИЯ ПО СПОРТИВНОЙ МЕДИЦИНЕ И РЕАБИЛИТАЦИИ БОЛЬНЫХ И ИНВАЛИДОВ, ОБЩЕРОССИЙСКАЯ ОБЩЕСТВЕННАЯ ОРГАНИЗАЦИЯ</t>
        </is>
      </c>
      <c r="B102" s="1" t="inlineStr">
        <is>
          <t>11D001</t>
        </is>
      </c>
      <c r="C102" s="1" t="inlineStr">
        <is>
          <t>Россия</t>
        </is>
      </c>
      <c r="D102" s="1" t="inlineStr">
        <is>
          <t>Москва</t>
        </is>
      </c>
      <c r="E102" s="1" t="inlineStr">
        <is>
          <t>Россия, 117997, г. Москва, ул. Островитянова, д. 1</t>
        </is>
      </c>
      <c r="F102" s="1" t="inlineStr">
        <is>
          <t>http://www.sportmed.ru</t>
        </is>
      </c>
      <c r="G102" s="1" t="inlineStr">
        <is>
          <t>rasmirbi@gmail.com</t>
        </is>
      </c>
      <c r="H102" s="2" t="inlineStr">
        <is>
          <t>РАСМИРБИ является ведущей в Российской Федерации организацией, объединяющей в своих рядах на протяжении многих лет специалистов в области спортивной медицины и медицинской реабилитации.</t>
        </is>
      </c>
      <c r="I102" s="2" t="inlineStr">
        <is>
          <t>Физиотерапия и реабилитация; Реабилитационное оборудование; Профилактическая медицина, увеличение продолжительности жизни</t>
        </is>
      </c>
      <c r="J102" s="1">
        <f>IFERROR(__xludf.DUMMYFUNCTION("AI(Prompt!$B$6, H102:I102)"),"Поставщик услуг")</f>
        <v/>
      </c>
      <c r="K102" s="1">
        <f>IFERROR(__xludf.DUMMYFUNCTION("AI(Prompt!$B$12, H102:J102)"),"OK")</f>
        <v/>
      </c>
      <c r="L102" s="2">
        <f>IFERROR(__xludf.DUMMYFUNCTION("AI(Prompt!$B$17, H102:I102)"),"реабилитационное оборудование")</f>
        <v/>
      </c>
      <c r="M102" s="5" t="inlineStr">
        <is>
          <t>ЗДОРОВЫЙ ОБРАЗ ЖИЗНИ-2025</t>
        </is>
      </c>
      <c r="N102" s="7" t="inlineStr">
        <is>
          <t>https://www.zdravo-expo.ru/</t>
        </is>
      </c>
      <c r="O102" s="1">
        <f>IFERROR(__xludf.DUMMYFUNCTION("AI(Prompt!$B$21,A102)"),"РАСМИРБИ")</f>
        <v/>
      </c>
    </row>
    <row r="103" ht="15.75" customHeight="1">
      <c r="A103" s="1" t="inlineStr">
        <is>
          <t>СЕНСОР МЕДИКА, ООО</t>
        </is>
      </c>
      <c r="B103" s="1" t="inlineStr">
        <is>
          <t>11D110</t>
        </is>
      </c>
      <c r="C103" s="1" t="inlineStr">
        <is>
          <t>Россия</t>
        </is>
      </c>
      <c r="D103" s="1" t="inlineStr">
        <is>
          <t>Санкт-Петербург</t>
        </is>
      </c>
      <c r="E103" s="1" t="inlineStr">
        <is>
          <t>Россия, 197342, г. Санкт-Петербург, ул. Торжковская, д. 5, литера А, пом. 13Н</t>
        </is>
      </c>
      <c r="F103" s="1" t="inlineStr">
        <is>
          <t>http://www.sensormedica.ru</t>
        </is>
      </c>
      <c r="G103" s="1" t="inlineStr">
        <is>
          <t>d.borovskoy@sensormedica.com</t>
        </is>
      </c>
      <c r="H103" s="2" t="inlineStr">
        <is>
          <t>Sensor Medica — ведущий мировой производитель систем 3D-диагностики. Новые технологии для России: безлучевой анализ ОДА, профессиональное 3D-моделирование и изготовление индивидуальных стелек.</t>
        </is>
      </c>
      <c r="I103" s="2" t="inlineStr">
        <is>
          <t>Прочие диагностические устройства; Вспомогательное оборудование; Ортопедическое оборудование и инструменты; Ортезы</t>
        </is>
      </c>
      <c r="J103" s="1">
        <f>IFERROR(__xludf.DUMMYFUNCTION("AI(Prompt!$B$6, H103:I103)"),"Производитель")</f>
        <v/>
      </c>
      <c r="K103" s="1">
        <f>IFERROR(__xludf.DUMMYFUNCTION("AI(Prompt!$B$12, H103:J103)"),"OK")</f>
        <v/>
      </c>
      <c r="L103" s="2">
        <f>IFERROR(__xludf.DUMMYFUNCTION("AI(Prompt!$B$17, H103:I103)"),"системы диагностики, оборудование, ортезы и стельки")</f>
        <v/>
      </c>
      <c r="M103" s="5" t="inlineStr">
        <is>
          <t>ЗДОРОВЫЙ ОБРАЗ ЖИЗНИ-2025</t>
        </is>
      </c>
      <c r="N103" s="7" t="inlineStr">
        <is>
          <t>https://www.zdravo-expo.ru/</t>
        </is>
      </c>
      <c r="O103" s="1">
        <f>IFERROR(__xludf.DUMMYFUNCTION("AI(Prompt!$B$21,A103)"),"Сенсор Медика")</f>
        <v/>
      </c>
    </row>
    <row r="104" ht="15.75" customHeight="1">
      <c r="A104" s="1" t="inlineStr">
        <is>
          <t>СИМС-2, ООО</t>
        </is>
      </c>
      <c r="B104" s="8" t="n">
        <v>1.1e+86</v>
      </c>
      <c r="C104" s="1" t="inlineStr">
        <is>
          <t>Россия</t>
        </is>
      </c>
      <c r="D104" s="1" t="inlineStr">
        <is>
          <t>Москва</t>
        </is>
      </c>
      <c r="E104" s="1" t="inlineStr">
        <is>
          <t>Россия, 125430, г. Москва, ул. Митинская, д. 16, БЦ Yes, этаж 10, оф. 1012</t>
        </is>
      </c>
      <c r="F104" s="1" t="inlineStr">
        <is>
          <t>http://www.sims2.ru</t>
        </is>
      </c>
      <c r="G104" s="1" t="inlineStr">
        <is>
          <t>info@sims2.ru</t>
        </is>
      </c>
      <c r="H104" s="2" t="inlineStr">
        <is>
          <t>«СИМС-2» — один из ведущих оптовиков Москвы с более чем 25-летним опытом поставки медицинской и реабилитационной техники, алкотестеров и оборудования, с метрологической лабораторией.</t>
        </is>
      </c>
      <c r="I104" s="2" t="inlineStr">
        <is>
          <t>Медицинская мебель; Кушетки медицинские; Прочее общебольничное оборудование; Реабилитационное оборудование; Средства, облегчающие передвижения; Тренажеры</t>
        </is>
      </c>
      <c r="J104" s="1">
        <f>IFERROR(__xludf.DUMMYFUNCTION("AI(Prompt!$B$6, H104:I104)"),"Дилер")</f>
        <v/>
      </c>
      <c r="K104" s="1">
        <f>IFERROR(__xludf.DUMMYFUNCTION("AI(Prompt!$B$12, H104:J104)"),"OK")</f>
        <v/>
      </c>
      <c r="L104" s="2">
        <f>IFERROR(__xludf.DUMMYFUNCTION("AI(Prompt!$B$17, H104:I104)"),"медицинская техника, алкотестеры, кушетки и тренажеры")</f>
        <v/>
      </c>
      <c r="M104" s="5" t="inlineStr">
        <is>
          <t>ЗДОРОВЫЙ ОБРАЗ ЖИЗНИ-2025</t>
        </is>
      </c>
      <c r="N104" s="7" t="inlineStr">
        <is>
          <t>https://www.zdravo-expo.ru/</t>
        </is>
      </c>
      <c r="O104" s="1">
        <f>IFERROR(__xludf.DUMMYFUNCTION("AI(Prompt!$B$21,A104)"),"СИМС-2")</f>
        <v/>
      </c>
    </row>
    <row r="105" ht="15.75" customHeight="1">
      <c r="A105" s="1" t="inlineStr">
        <is>
          <t>СПК (СТРОИТЕЛЬНАЯ ПРОИЗВОДСТВЕННАЯ КОМПАНИЯ), ООО</t>
        </is>
      </c>
      <c r="B105" s="1" t="inlineStr">
        <is>
          <t>11A170</t>
        </is>
      </c>
      <c r="C105" s="1" t="inlineStr">
        <is>
          <t>Россия</t>
        </is>
      </c>
      <c r="E105" s="1" t="inlineStr">
        <is>
          <t>Россия, 460520, Оренбургская обл., Оренбургский р-н, с. Нежинка, Садовое Кольцо, д. 125</t>
        </is>
      </c>
      <c r="F105" s="1" t="inlineStr">
        <is>
          <t>https://lecopant.com</t>
        </is>
      </c>
      <c r="G105" s="1" t="inlineStr">
        <is>
          <t>lecopantc13@yandex.ru</t>
        </is>
      </c>
      <c r="H105" s="2" t="inlineStr">
        <is>
          <t>Российская компания, производящая натуральные биодобавки из пантов марала и северного оленя по запатентованной технологии с изотопом С13. Вся продукция сертифицирована и прошла клинические испытания.</t>
        </is>
      </c>
      <c r="I105" s="2" t="inlineStr">
        <is>
          <t>Лечебная косметика; Пропаганда здорового образа жизни; Фармацевтические средства и БАД; Биологически активные добавки к пище</t>
        </is>
      </c>
      <c r="J105" s="1">
        <f>IFERROR(__xludf.DUMMYFUNCTION("AI(Prompt!$B$6, H105:I105)"),"Производитель")</f>
        <v/>
      </c>
      <c r="K105" s="1">
        <f>IFERROR(__xludf.DUMMYFUNCTION("AI(Prompt!$B$12, H105:J105)"),"OK")</f>
        <v/>
      </c>
      <c r="L105" s="2">
        <f>IFERROR(__xludf.DUMMYFUNCTION("AI(Prompt!$B$17, H105:I105)"),"биодобавки, фармацевтические средства и лечебная косметика")</f>
        <v/>
      </c>
      <c r="M105" s="5" t="inlineStr">
        <is>
          <t>ЗДОРОВЫЙ ОБРАЗ ЖИЗНИ-2025</t>
        </is>
      </c>
      <c r="N105" s="7" t="inlineStr">
        <is>
          <t>https://www.zdravo-expo.ru/</t>
        </is>
      </c>
      <c r="O105" s="1">
        <f>IFERROR(__xludf.DUMMYFUNCTION("AI(Prompt!$B$21,A105)"),"СПК (Строительная Производственная Компания)")</f>
        <v/>
      </c>
    </row>
    <row r="106" ht="15.75" customHeight="1">
      <c r="A106" s="1" t="inlineStr">
        <is>
          <t>СТАВРО-МЕД, ООО</t>
        </is>
      </c>
      <c r="B106" s="1" t="inlineStr">
        <is>
          <t>11A096</t>
        </is>
      </c>
      <c r="C106" s="1" t="inlineStr">
        <is>
          <t>Россия</t>
        </is>
      </c>
      <c r="E106" s="1" t="inlineStr">
        <is>
          <t>Россия, 601221, Владимирская обл., Собинский р-н, пгт Ставрово, ул. Октябрьская, зд. 118</t>
        </is>
      </c>
      <c r="F106" s="1" t="inlineStr">
        <is>
          <t>https://stavromed.ru</t>
        </is>
      </c>
      <c r="G106" s="1" t="inlineStr">
        <is>
          <t>andrey@stavromed.ru</t>
        </is>
      </c>
      <c r="H106" s="2" t="inlineStr">
        <is>
          <t>Разработка и производство медицинской функциональной мебели и средств реабилитации.</t>
        </is>
      </c>
      <c r="I106" s="2" t="inlineStr">
        <is>
          <t>Производство медицинских изделий</t>
        </is>
      </c>
      <c r="J106" s="1">
        <f>IFERROR(__xludf.DUMMYFUNCTION("AI(Prompt!$B$6, H106:I106)"),"Производитель")</f>
        <v/>
      </c>
      <c r="K106" s="1">
        <f>IFERROR(__xludf.DUMMYFUNCTION("AI(Prompt!$B$12, H106:J106)"),"OK")</f>
        <v/>
      </c>
      <c r="L106" s="2">
        <f>IFERROR(__xludf.DUMMYFUNCTION("AI(Prompt!$B$17, H106:I106)"),"мебель, средства реабилитации")</f>
        <v/>
      </c>
      <c r="M106" s="5" t="inlineStr">
        <is>
          <t>ЗДОРОВЫЙ ОБРАЗ ЖИЗНИ-2025</t>
        </is>
      </c>
      <c r="N106" s="7" t="inlineStr">
        <is>
          <t>https://www.zdravo-expo.ru/</t>
        </is>
      </c>
      <c r="O106" s="1">
        <f>IFERROR(__xludf.DUMMYFUNCTION("AI(Prompt!$B$21,A106)"),"Ставро-Мед")</f>
        <v/>
      </c>
    </row>
    <row r="107" ht="15.75" customHeight="1">
      <c r="A107" s="1" t="inlineStr">
        <is>
          <t>ТЕХНИКА, НПЛЦ, ООО</t>
        </is>
      </c>
      <c r="B107" s="1" t="inlineStr">
        <is>
          <t>11D055</t>
        </is>
      </c>
      <c r="C107" s="1" t="inlineStr">
        <is>
          <t>Россия</t>
        </is>
      </c>
      <c r="D107" s="1" t="inlineStr">
        <is>
          <t>Москва</t>
        </is>
      </c>
      <c r="E107" s="1" t="inlineStr">
        <is>
          <t>Россия, 115230, г. Москва, Варшавское ш., д. 42, этаж 6, комн. 6229</t>
        </is>
      </c>
      <c r="F107" s="1" t="inlineStr">
        <is>
          <t>https://mustangmed.ru</t>
        </is>
      </c>
      <c r="G107" s="1" t="inlineStr">
        <is>
          <t>nplc@mail.ru</t>
        </is>
      </c>
      <c r="H107" s="2" t="inlineStr">
        <is>
          <t>Разработка и производство оборудования для физиотерапии. Аппараты лазерной терапии и хирургии, электротерапии, аппаратной косметологии, вакуумного массажа, карбокситерапии.</t>
        </is>
      </c>
      <c r="I107" s="2" t="inlineStr">
        <is>
          <t>Оборудование для электротерапии; Оборудование для вакуум-терапии; Оборудование для лазерной терапии</t>
        </is>
      </c>
      <c r="J107" s="1">
        <f>IFERROR(__xludf.DUMMYFUNCTION("AI(Prompt!$B$6, H107:I107)"),"Производитель")</f>
        <v/>
      </c>
      <c r="K107" s="1">
        <f>IFERROR(__xludf.DUMMYFUNCTION("AI(Prompt!$B$12, H107:J107)"),"OK")</f>
        <v/>
      </c>
      <c r="L107" s="2">
        <f>IFERROR(__xludf.DUMMYFUNCTION("AI(Prompt!$B$17, H107:I107)"),"аппараты, лазеры, электроды и массажеры")</f>
        <v/>
      </c>
      <c r="M107" s="5" t="inlineStr">
        <is>
          <t>ЗДОРОВЫЙ ОБРАЗ ЖИЗНИ-2025</t>
        </is>
      </c>
      <c r="N107" s="7" t="inlineStr">
        <is>
          <t>https://www.zdravo-expo.ru/</t>
        </is>
      </c>
      <c r="O107" s="1">
        <f>IFERROR(__xludf.DUMMYFUNCTION("AI(Prompt!$B$21,A107)"),"Техника, НПЛЦ")</f>
        <v/>
      </c>
    </row>
    <row r="108" ht="15.75" customHeight="1">
      <c r="A108" s="1" t="inlineStr">
        <is>
          <t>ТЕХНОПРО, ООО</t>
        </is>
      </c>
      <c r="B108" s="1" t="inlineStr">
        <is>
          <t>11A135</t>
        </is>
      </c>
      <c r="C108" s="1" t="inlineStr">
        <is>
          <t>Россия</t>
        </is>
      </c>
      <c r="D108" s="1" t="inlineStr">
        <is>
          <t>Удомля</t>
        </is>
      </c>
      <c r="E108" s="1" t="inlineStr">
        <is>
          <t>Россия, 171843, Тверская обл., г. Удомля, ул. Карла Маркса, д. 4</t>
        </is>
      </c>
      <c r="F108" s="1" t="inlineStr">
        <is>
          <t>http://www.weissoral.ru</t>
        </is>
      </c>
      <c r="G108" s="1" t="inlineStr">
        <is>
          <t>ag@strela.info</t>
        </is>
      </c>
      <c r="H108" s="2" t="inlineStr">
        <is>
          <t>Современное предприятие по выпуску инновационных зубных щеток премиального качества под собственным брендом Weiss и для других компаний. Наш приоритет — инновации, дизайн и удобство использования.</t>
        </is>
      </c>
      <c r="I108" s="2" t="inlineStr">
        <is>
          <t>Средства гигиены полости рта</t>
        </is>
      </c>
      <c r="J108" s="1">
        <f>IFERROR(__xludf.DUMMYFUNCTION("AI(Prompt!$B$6, H108:I108)"),"Производитель")</f>
        <v/>
      </c>
      <c r="K108" s="1">
        <f>IFERROR(__xludf.DUMMYFUNCTION("AI(Prompt!$B$12, H108:J108)"),"OK")</f>
        <v/>
      </c>
      <c r="L108" s="2">
        <f>IFERROR(__xludf.DUMMYFUNCTION("AI(Prompt!$B$17, H108:I108)"),"зубные щетки")</f>
        <v/>
      </c>
      <c r="M108" s="5" t="inlineStr">
        <is>
          <t>ЗДОРОВЫЙ ОБРАЗ ЖИЗНИ-2025</t>
        </is>
      </c>
      <c r="N108" s="7" t="inlineStr">
        <is>
          <t>https://www.zdravo-expo.ru/</t>
        </is>
      </c>
      <c r="O108" s="1">
        <f>IFERROR(__xludf.DUMMYFUNCTION("AI(Prompt!$B$21,A108)"),"Технопро")</f>
        <v/>
      </c>
    </row>
    <row r="109" ht="15.75" customHeight="1">
      <c r="A109" s="1" t="inlineStr">
        <is>
          <t>ТИЗОЛЬ, ТМ (ФАРМАЦЕВТИЧЕСКАЯ КОМПАНИЯ «ОЛИМП»)</t>
        </is>
      </c>
      <c r="B109" s="1" t="inlineStr">
        <is>
          <t>11G050</t>
        </is>
      </c>
      <c r="C109" s="1" t="inlineStr">
        <is>
          <t>Россия</t>
        </is>
      </c>
      <c r="D109" s="1" t="inlineStr">
        <is>
          <t>Екатеринбург</t>
        </is>
      </c>
      <c r="E109" s="1" t="inlineStr">
        <is>
          <t>Россия, г. Екатеринбург, просп. Ленина, д. 50Б, оф. 502</t>
        </is>
      </c>
      <c r="F109" s="1" t="inlineStr">
        <is>
          <t>http://revitaliti.ru</t>
        </is>
      </c>
      <c r="G109" s="1" t="inlineStr">
        <is>
          <t>tisolium@mail.ru</t>
        </is>
      </c>
      <c r="H109" s="2" t="inlineStr">
        <is>
          <t>С 1991 года разрабатываем неинвазивные системы доставки лекарств через кожный барьер. Создаем оригинальные лечебные средства (более 150) и премиальную космецевтику: Titanium Booster и REVITALITI.</t>
        </is>
      </c>
      <c r="I109" s="2" t="inlineStr">
        <is>
          <t>Косметические препараты; Лечебная косметика; Лекарственные средства</t>
        </is>
      </c>
      <c r="J109" s="1">
        <f>IFERROR(__xludf.DUMMYFUNCTION("AI(Prompt!$B$6, H109:I109)"),"Производитель")</f>
        <v/>
      </c>
      <c r="K109" s="1">
        <f>IFERROR(__xludf.DUMMYFUNCTION("AI(Prompt!$B$12, H109:J109)"),"OK")</f>
        <v/>
      </c>
      <c r="L109" s="2">
        <f>IFERROR(__xludf.DUMMYFUNCTION("AI(Prompt!$B$17, H109:I109)"),"косметические препараты, лечебная косметика и лекарственные средства")</f>
        <v/>
      </c>
      <c r="M109" s="5" t="inlineStr">
        <is>
          <t>ЗДОРОВЫЙ ОБРАЗ ЖИЗНИ-2025</t>
        </is>
      </c>
      <c r="N109" s="7" t="inlineStr">
        <is>
          <t>https://www.zdravo-expo.ru/</t>
        </is>
      </c>
      <c r="O109" s="1">
        <f>IFERROR(__xludf.DUMMYFUNCTION("AI(Prompt!$B$21,A109)"),"Тизоль")</f>
        <v/>
      </c>
    </row>
    <row r="110" ht="15.75" customHeight="1">
      <c r="A110" s="1" t="inlineStr">
        <is>
          <t>ТММ, ООО</t>
        </is>
      </c>
      <c r="B110" s="1" t="inlineStr">
        <is>
          <t>11C020</t>
        </is>
      </c>
      <c r="C110" s="1" t="inlineStr">
        <is>
          <t>Россия</t>
        </is>
      </c>
      <c r="D110" s="1" t="inlineStr">
        <is>
          <t>Бийск</t>
        </is>
      </c>
      <c r="E110" s="1" t="inlineStr">
        <is>
          <t>Россия, 659322, Алтайский край, г. Бийск, ул. Социалистическая, д. 1</t>
        </is>
      </c>
      <c r="F110" s="1" t="inlineStr">
        <is>
          <t>http://www.mir-tmm.ru</t>
        </is>
      </c>
      <c r="G110" s="1" t="inlineStr">
        <is>
          <t>mir_tmm@mail.ru</t>
        </is>
      </c>
      <c r="H110" s="2" t="inlineStr">
        <is>
          <t>ООО «ТММ» — российский разработчик и производитель медицинского оборудования для проведения физиотерапевтических процедур в санаториях, профилакториях, центрах восстановительной медицины и клиниках.</t>
        </is>
      </c>
      <c r="I110" s="2" t="inlineStr">
        <is>
          <t>Производство медицинских изделий; Физиотерапия и реабилитация; Оборудование для вибротерапии и массажа; Бальнеологическое оборудование</t>
        </is>
      </c>
      <c r="J110" s="1">
        <f>IFERROR(__xludf.DUMMYFUNCTION("AI(Prompt!$B$6, H110:I110)"),"Производитель")</f>
        <v/>
      </c>
      <c r="K110" s="1">
        <f>IFERROR(__xludf.DUMMYFUNCTION("AI(Prompt!$B$12, H110:J110)"),"OK")</f>
        <v/>
      </c>
      <c r="L110" s="2">
        <f>IFERROR(__xludf.DUMMYFUNCTION("AI(Prompt!$B$17, H110:I110)"),"медицинские изделия, оборудование для вибротерапии и массажа, и бальнеологическое оборудование")</f>
        <v/>
      </c>
      <c r="M110" s="5" t="inlineStr">
        <is>
          <t>ЗДОРОВЫЙ ОБРАЗ ЖИЗНИ-2025</t>
        </is>
      </c>
      <c r="N110" s="7" t="inlineStr">
        <is>
          <t>https://www.zdravo-expo.ru/</t>
        </is>
      </c>
      <c r="O110" s="1">
        <f>IFERROR(__xludf.DUMMYFUNCTION("AI(Prompt!$B$21,A110)"),"ТММ")</f>
        <v/>
      </c>
    </row>
    <row r="111" ht="15.75" customHeight="1">
      <c r="A111" s="1" t="inlineStr">
        <is>
          <t>ТОП-ОСТРОВ</t>
        </is>
      </c>
      <c r="B111" s="1" t="inlineStr">
        <is>
          <t>11F096</t>
        </is>
      </c>
      <c r="C111" s="1" t="inlineStr">
        <is>
          <t>Россия</t>
        </is>
      </c>
      <c r="D111" s="1" t="inlineStr">
        <is>
          <t>Санкт-Петербург</t>
        </is>
      </c>
      <c r="E111" s="1" t="inlineStr">
        <is>
          <t>Россия, 197375, г. Санкт-Петербург, ул. Маршала Новикова, д. 28, литера Б, пом. 1Н, пом. 230</t>
        </is>
      </c>
      <c r="F111" s="1" t="inlineStr">
        <is>
          <t>http://www.top-ostrov.ru</t>
        </is>
      </c>
      <c r="G111" s="1" t="inlineStr">
        <is>
          <t>office-manager@top-ostrov.ru</t>
        </is>
      </c>
      <c r="H111" s="2" t="inlineStr">
        <is>
          <t>Мы — компания «Топ-Остров». Более 12 лет создаем современные имиджевые детские площадки в помещениях, где дети наслаждаются игрой, а наши клиенты получают более высокие доходы и гармоничную атмосферу.</t>
        </is>
      </c>
      <c r="I111" s="2" t="inlineStr">
        <is>
          <t>Прочее общебольничное оборудование; Физиотерапия и реабилитация; Средства для обучения и развития; Отраслевые СМИ и издательства; Специализированная литература; Медицинские газеты и журналы</t>
        </is>
      </c>
      <c r="J111" s="1">
        <f>IFERROR(__xludf.DUMMYFUNCTION("AI(Prompt!$B$6, H111:I111)"),"Производитель")</f>
        <v/>
      </c>
      <c r="K111" s="1">
        <f>IFERROR(__xludf.DUMMYFUNCTION("AI(Prompt!$B$12, H111:J111)"),"OK")</f>
        <v/>
      </c>
      <c r="L111" s="2">
        <f>IFERROR(__xludf.DUMMYFUNCTION("AI(Prompt!$B$17, H111:I111)"),"детские площадки и средства для обучения и развития")</f>
        <v/>
      </c>
      <c r="M111" s="5" t="inlineStr">
        <is>
          <t>ЗДОРОВЫЙ ОБРАЗ ЖИЗНИ-2025</t>
        </is>
      </c>
      <c r="N111" s="7" t="inlineStr">
        <is>
          <t>https://www.zdravo-expo.ru/</t>
        </is>
      </c>
      <c r="O111" s="1">
        <f>IFERROR(__xludf.DUMMYFUNCTION("AI(Prompt!$B$21,A111)"),"Топ-Остров")</f>
        <v/>
      </c>
    </row>
    <row r="112" ht="15.75" customHeight="1">
      <c r="A112" s="1" t="inlineStr">
        <is>
          <t>ТРИВЕС ТРЕЙД, ООО</t>
        </is>
      </c>
      <c r="B112" s="1" t="inlineStr">
        <is>
          <t>11F010</t>
        </is>
      </c>
      <c r="C112" s="1" t="inlineStr">
        <is>
          <t>Россия</t>
        </is>
      </c>
      <c r="D112" s="1" t="inlineStr">
        <is>
          <t>Санкт-Петербург</t>
        </is>
      </c>
      <c r="E112" s="1" t="inlineStr">
        <is>
          <t>Россия, 190013, г. Санкт-Петербург, Московский просп., д. 18, литера Е, пом. 21Н, оф. 1</t>
        </is>
      </c>
      <c r="F112" s="1" t="inlineStr">
        <is>
          <t>http://www.trives-spb.ru</t>
        </is>
      </c>
      <c r="G112" s="1" t="inlineStr">
        <is>
          <t>info@trives-spb.ru</t>
        </is>
      </c>
      <c r="H112" s="2" t="inlineStr">
        <is>
          <t>Группа компаний «Тривес» с 1992 года в Санкт-Петербурге производит и продает ортопедические изделия, такие как бандажи, корсеты, компрессионный трикотаж, ортопедическая обувь, стельки, подушки, ТСР.</t>
        </is>
      </c>
      <c r="I112" s="2" t="inlineStr">
        <is>
          <t>Компрессионный трикотаж; Ортопедические средства для ног, стельки и др.; Анатомические и ортопедические подушки и матрасы; Ортезы; Ортопедическое оборудование и инструменты; Ортезы</t>
        </is>
      </c>
      <c r="J112" s="1">
        <f>IFERROR(__xludf.DUMMYFUNCTION("AI(Prompt!$B$6, H112:I112)"),"Производитель")</f>
        <v/>
      </c>
      <c r="K112" s="1">
        <f>IFERROR(__xludf.DUMMYFUNCTION("AI(Prompt!$B$12, H112:J112)"),"OK")</f>
        <v/>
      </c>
      <c r="L112" s="2">
        <f>IFERROR(__xludf.DUMMYFUNCTION("AI(Prompt!$B$17, H112:I112)"),"ортезы, трикотаж, стельки и подушки")</f>
        <v/>
      </c>
      <c r="M112" s="5" t="inlineStr">
        <is>
          <t>ЗДОРОВЫЙ ОБРАЗ ЖИЗНИ-2025</t>
        </is>
      </c>
      <c r="N112" s="7" t="inlineStr">
        <is>
          <t>https://www.zdravo-expo.ru/</t>
        </is>
      </c>
      <c r="O112" s="1">
        <f>IFERROR(__xludf.DUMMYFUNCTION("AI(Prompt!$B$21,A112)"),"Тривес Трейд")</f>
        <v/>
      </c>
    </row>
    <row r="113" ht="15.75" customHeight="1">
      <c r="A113" s="1" t="inlineStr">
        <is>
          <t>ФЕРМЕНТ</t>
        </is>
      </c>
      <c r="B113" s="1" t="inlineStr">
        <is>
          <t>11A180</t>
        </is>
      </c>
      <c r="C113" s="1" t="inlineStr">
        <is>
          <t>Россия</t>
        </is>
      </c>
      <c r="E113" s="1" t="inlineStr">
        <is>
          <t>Россия</t>
        </is>
      </c>
      <c r="F113" s="1" t="inlineStr">
        <is>
          <t>http://bioice.ru</t>
        </is>
      </c>
      <c r="G113" s="1" t="inlineStr">
        <is>
          <t>ferment@bioice.ru</t>
        </is>
      </c>
      <c r="H113" s="2" t="inlineStr">
        <is>
          <t>Компания «Десант здоровья»® с 1998 года ведет разработку и внедрение функциональных диетических пробиотических продуктов питания с выраженным профилактическим действием на организм человека.</t>
        </is>
      </c>
      <c r="I113" s="2" t="inlineStr">
        <is>
          <t>Диетические продукты; Органические, натуральные продукты питания; Биологически активные добавки к пище</t>
        </is>
      </c>
      <c r="J113" s="1">
        <f>IFERROR(__xludf.DUMMYFUNCTION("AI(Prompt!$B$6, H113:I113)"),"Производитель")</f>
        <v/>
      </c>
      <c r="K113" s="1">
        <f>IFERROR(__xludf.DUMMYFUNCTION("AI(Prompt!$B$12, H113:J113)"),"OK")</f>
        <v/>
      </c>
      <c r="L113" s="2">
        <f>IFERROR(__xludf.DUMMYFUNCTION("AI(Prompt!$B$17, H113:I113)"),"диетические продукты, пробиотические продукты питания и биологически активные добавки")</f>
        <v/>
      </c>
      <c r="M113" s="5" t="inlineStr">
        <is>
          <t>ЗДОРОВЫЙ ОБРАЗ ЖИЗНИ-2025</t>
        </is>
      </c>
      <c r="N113" s="7" t="inlineStr">
        <is>
          <t>https://www.zdravo-expo.ru/</t>
        </is>
      </c>
      <c r="O113" s="1">
        <f>IFERROR(__xludf.DUMMYFUNCTION("AI(Prompt!$B$21,A113)"),"Фермент")</f>
        <v/>
      </c>
    </row>
    <row r="114" ht="15.75" customHeight="1">
      <c r="A114" s="1" t="inlineStr">
        <is>
          <t>ФИЗИОТЕХНИКА, ООО</t>
        </is>
      </c>
      <c r="B114" s="1" t="inlineStr">
        <is>
          <t>11E050,   11F100</t>
        </is>
      </c>
      <c r="C114" s="1" t="inlineStr">
        <is>
          <t>Россия</t>
        </is>
      </c>
      <c r="E114" s="1" t="inlineStr">
        <is>
          <t>Россия, Ленинградская обл., Ломоносовский р-н, ул. Понссе, д. 4/1, тер. южной части производственной зоны «Горелово»</t>
        </is>
      </c>
      <c r="F114" s="1" t="inlineStr">
        <is>
          <t>http://www.pt-med.ru</t>
        </is>
      </c>
      <c r="G114" s="1" t="inlineStr">
        <is>
          <t>info@pt-med.ru</t>
        </is>
      </c>
      <c r="H114" s="2" t="inlineStr">
        <is>
          <t>Компания «ФИЗИОТЕХНИКА» — ведущий российский производитель бальнеологического оборудования и медицинской техники для санаториев, реабилитационных центров, больниц и частных клиник. 21 год опыта!</t>
        </is>
      </c>
      <c r="I114" s="2" t="inlineStr">
        <is>
          <t>Физиотерапия и реабилитация; Терапевтическое оборудование; Бальнеологическое оборудование; Реабилитационное оборудование</t>
        </is>
      </c>
      <c r="J114" s="1">
        <f>IFERROR(__xludf.DUMMYFUNCTION("AI(Prompt!$B$6, H114:I114)"),"Производитель")</f>
        <v/>
      </c>
      <c r="K114" s="1">
        <f>IFERROR(__xludf.DUMMYFUNCTION("AI(Prompt!$B$12, H114:J114)"),"OK")</f>
        <v/>
      </c>
      <c r="L114" s="2">
        <f>IFERROR(__xludf.DUMMYFUNCTION("AI(Prompt!$B$17, H114:I114)"),"оборудование, медтехника")</f>
        <v/>
      </c>
      <c r="M114" s="5" t="inlineStr">
        <is>
          <t>ЗДОРОВЫЙ ОБРАЗ ЖИЗНИ-2025</t>
        </is>
      </c>
      <c r="N114" s="7" t="inlineStr">
        <is>
          <t>https://www.zdravo-expo.ru/</t>
        </is>
      </c>
      <c r="O114" s="1">
        <f>IFERROR(__xludf.DUMMYFUNCTION("AI(Prompt!$B$21,A114)"),"Физиотехника")</f>
        <v/>
      </c>
    </row>
    <row r="115" ht="15.75" customHeight="1">
      <c r="A115" s="1" t="inlineStr">
        <is>
          <t>ФЭСТ, ПРЕДПРИЯТИЕ, ООО</t>
        </is>
      </c>
      <c r="B115" s="1" t="inlineStr">
        <is>
          <t>11D006</t>
        </is>
      </c>
      <c r="C115" s="1" t="inlineStr">
        <is>
          <t>Россия</t>
        </is>
      </c>
      <c r="D115" s="1" t="inlineStr">
        <is>
          <t>Кострома</t>
        </is>
      </c>
      <c r="E115" s="1" t="inlineStr">
        <is>
          <t>Россия, 156025, г. Кострома, Рабочий просп., д. 8</t>
        </is>
      </c>
      <c r="F115" s="1" t="inlineStr">
        <is>
          <t>http://www.fest-k.ru</t>
        </is>
      </c>
      <c r="G115" s="1" t="inlineStr">
        <is>
          <t>sale@fest-k.ru</t>
        </is>
      </c>
      <c r="H115" s="2" t="inlineStr">
        <is>
          <t>ООО «Предприятие «ФЭСТ» более 30 лет успешно развивается. Предприятие специализируется на выпуске медицинских изделий, которые пользуются спросом и реализуются во всех регионах России.</t>
        </is>
      </c>
      <c r="I115" s="2" t="inlineStr">
        <is>
          <t>Средства для оказания экстренной медицинской помощи; Комплекты реанимационного оборудования; Ортопедическое оборудование и инструменты</t>
        </is>
      </c>
      <c r="J115" s="1">
        <f>IFERROR(__xludf.DUMMYFUNCTION("AI(Prompt!$B$6, H115:I115)"),"Производитель")</f>
        <v/>
      </c>
      <c r="K115" s="1">
        <f>IFERROR(__xludf.DUMMYFUNCTION("AI(Prompt!$B$12, H115:J115)"),"OK")</f>
        <v/>
      </c>
      <c r="L115" s="2">
        <f>IFERROR(__xludf.DUMMYFUNCTION("AI(Prompt!$B$17, H115:I115)"),"медицинские изделия, оборудование и инструменты")</f>
        <v/>
      </c>
      <c r="M115" s="5" t="inlineStr">
        <is>
          <t>ЗДОРОВЫЙ ОБРАЗ ЖИЗНИ-2025</t>
        </is>
      </c>
      <c r="N115" s="7" t="inlineStr">
        <is>
          <t>https://www.zdravo-expo.ru/</t>
        </is>
      </c>
      <c r="O115" s="1">
        <f>IFERROR(__xludf.DUMMYFUNCTION("AI(Prompt!$B$21,A115)"),"Фэст, Предприятие")</f>
        <v/>
      </c>
    </row>
    <row r="116" ht="15.75" customHeight="1">
      <c r="A116" s="1" t="inlineStr">
        <is>
          <t>ХАДСЕН, ООО</t>
        </is>
      </c>
      <c r="B116" s="1" t="inlineStr">
        <is>
          <t>11F086</t>
        </is>
      </c>
      <c r="C116" s="1" t="inlineStr">
        <is>
          <t>Россия</t>
        </is>
      </c>
      <c r="D116" s="1" t="inlineStr">
        <is>
          <t>Москва</t>
        </is>
      </c>
      <c r="E116" s="1" t="inlineStr">
        <is>
          <t>Россия, 107140, г. Москва, ул. Верхняя Красносельская, д. 34, пом. 3/Ц</t>
        </is>
      </c>
      <c r="F116" s="1" t="inlineStr">
        <is>
          <t>http://www.itf.hadsen.ru</t>
        </is>
      </c>
      <c r="G116" s="1" t="inlineStr">
        <is>
          <t>info@hadsen.ru</t>
        </is>
      </c>
      <c r="H116" s="2" t="inlineStr">
        <is>
          <t>Компания «Хадсен» была основна группой компаний LinFeng Intelligence — это крупное китайское высокотехнологичное предприятие международного уровня.</t>
        </is>
      </c>
      <c r="I116" s="2" t="inlineStr">
        <is>
          <t>Наружные протезы и устройства замещения функций органов</t>
        </is>
      </c>
      <c r="J116" s="1">
        <f>IFERROR(__xludf.DUMMYFUNCTION("AI(Prompt!$B$6, H116:I116)"),"Производитель")</f>
        <v/>
      </c>
      <c r="K116" s="1">
        <f>IFERROR(__xludf.DUMMYFUNCTION("AI(Prompt!$B$12, H116:J116)"),"OK")</f>
        <v/>
      </c>
      <c r="L116" s="2">
        <f>IFERROR(__xludf.DUMMYFUNCTION("AI(Prompt!$B$17, H116:I116)"),"протезы и устройства")</f>
        <v/>
      </c>
      <c r="M116" s="5" t="inlineStr">
        <is>
          <t>ЗДОРОВЫЙ ОБРАЗ ЖИЗНИ-2025</t>
        </is>
      </c>
      <c r="N116" s="7" t="inlineStr">
        <is>
          <t>https://www.zdravo-expo.ru/</t>
        </is>
      </c>
      <c r="O116" s="1">
        <f>IFERROR(__xludf.DUMMYFUNCTION("AI(Prompt!$B$21,A116)"),"Хадсен")</f>
        <v/>
      </c>
    </row>
    <row r="117" ht="15.75" customHeight="1">
      <c r="A117" s="1" t="inlineStr">
        <is>
          <t>ХАЙРУЛЛИНА ДИЛЯ СУЛЕЙМАНОВНА, ИНДИВИДУАЛЬНЫЙ ПРЕДПРИНИМАТЕЛЬ</t>
        </is>
      </c>
      <c r="B117" s="1" t="inlineStr">
        <is>
          <t>11A140</t>
        </is>
      </c>
      <c r="C117" s="1" t="inlineStr">
        <is>
          <t>Россия</t>
        </is>
      </c>
      <c r="D117" s="1" t="inlineStr">
        <is>
          <t>Казань</t>
        </is>
      </c>
      <c r="E117" s="1" t="inlineStr">
        <is>
          <t>Россия, 420029, Республика Татарстан, г. Казань, ул. Сибирский Тракт, д. 28</t>
        </is>
      </c>
      <c r="F117" s="1" t="inlineStr">
        <is>
          <t>http://www.gtdress.ru</t>
        </is>
      </c>
      <c r="G117" s="1" t="inlineStr">
        <is>
          <t>gtdress1@gmai.com</t>
        </is>
      </c>
      <c r="H117" s="2" t="inlineStr">
        <is>
          <t>GT Dress — российский бренд адаптивной одежды для детей и взрослых с ОВЗ, основанный мамой ребенка с ДЦП.Мы создаем удобную и функциональную одежду, которая облегчает одевание и повышает комфорт.</t>
        </is>
      </c>
      <c r="I117" s="2" t="inlineStr">
        <is>
          <t>Одежда и белье для пациентов и медицинского персонала; Физиотерапия и реабилитация</t>
        </is>
      </c>
      <c r="J117" s="1">
        <f>IFERROR(__xludf.DUMMYFUNCTION("AI(Prompt!$B$6, H117:I117)"),"Производитель")</f>
        <v/>
      </c>
      <c r="K117" s="1">
        <f>IFERROR(__xludf.DUMMYFUNCTION("AI(Prompt!$B$12, H117:J117)"),"OK")</f>
        <v/>
      </c>
      <c r="L117" s="2">
        <f>IFERROR(__xludf.DUMMYFUNCTION("AI(Prompt!$B$17, H117:I117)"),"одежда и белье")</f>
        <v/>
      </c>
      <c r="M117" s="5" t="inlineStr">
        <is>
          <t>ЗДОРОВЫЙ ОБРАЗ ЖИЗНИ-2025</t>
        </is>
      </c>
      <c r="N117" s="7" t="inlineStr">
        <is>
          <t>https://www.zdravo-expo.ru/</t>
        </is>
      </c>
      <c r="O117" s="1">
        <f>IFERROR(__xludf.DUMMYFUNCTION("AI(Prompt!$B$21,A117)"),"ИП Хайруллина")</f>
        <v/>
      </c>
    </row>
    <row r="118" ht="15.75" customHeight="1">
      <c r="A118" s="1" t="inlineStr">
        <is>
          <t>ХАЙТРЕЙД, ООО</t>
        </is>
      </c>
      <c r="B118" s="1" t="inlineStr">
        <is>
          <t>11F084</t>
        </is>
      </c>
      <c r="C118" s="1" t="inlineStr">
        <is>
          <t>Россия</t>
        </is>
      </c>
      <c r="D118" s="1" t="inlineStr">
        <is>
          <t>Москва</t>
        </is>
      </c>
      <c r="E118" s="1" t="inlineStr">
        <is>
          <t>Россия, 108821, г. Москва, вн. тер. г. Поселение Филимонковское, квартал 101, д. 4, стр. 3</t>
        </is>
      </c>
      <c r="F118" s="1" t="inlineStr">
        <is>
          <t>https://osnovaled.ru</t>
        </is>
      </c>
      <c r="G118" s="1" t="inlineStr">
        <is>
          <t>info@hitrade.ru</t>
        </is>
      </c>
      <c r="H118" s="2" t="inlineStr">
        <is>
          <t>Компания с 2019 года занимается изучением вопроса здорового освещения и защитой зрения от влияния вредной световой среды. Компания занимается освещением и предлагает здоровые безопасные световые решения.</t>
        </is>
      </c>
      <c r="I118" s="2" t="inlineStr">
        <is>
          <t>Осветительные приборы</t>
        </is>
      </c>
      <c r="J118" s="1">
        <f>IFERROR(__xludf.DUMMYFUNCTION("AI(Prompt!$B$6, H118:I118)"),"Поставщик услуг")</f>
        <v/>
      </c>
      <c r="K118" s="1">
        <f>IFERROR(__xludf.DUMMYFUNCTION("AI(Prompt!$B$12, H118:J118)"),"OK")</f>
        <v/>
      </c>
      <c r="L118" s="2">
        <f>IFERROR(__xludf.DUMMYFUNCTION("AI(Prompt!$B$17, H118:I118)"),"осветительные приборы")</f>
        <v/>
      </c>
      <c r="M118" s="5" t="inlineStr">
        <is>
          <t>ЗДОРОВЫЙ ОБРАЗ ЖИЗНИ-2025</t>
        </is>
      </c>
      <c r="N118" s="7" t="inlineStr">
        <is>
          <t>https://www.zdravo-expo.ru/</t>
        </is>
      </c>
      <c r="O118" s="1">
        <f>IFERROR(__xludf.DUMMYFUNCTION("AI(Prompt!$B$21,A118)"),"Хайтрейд")</f>
        <v/>
      </c>
    </row>
    <row r="119" ht="15.75" customHeight="1">
      <c r="A119" s="1" t="inlineStr">
        <is>
          <t>ХЕЛСИ ВОРЛД, ООО</t>
        </is>
      </c>
      <c r="B119" s="1" t="inlineStr">
        <is>
          <t>11F050</t>
        </is>
      </c>
      <c r="C119" s="1" t="inlineStr">
        <is>
          <t>Россия</t>
        </is>
      </c>
      <c r="D119" s="1" t="inlineStr">
        <is>
          <t>Санкт-Петербург</t>
        </is>
      </c>
      <c r="E119" s="1" t="inlineStr">
        <is>
          <t>Россия, 191014, г. Санкт-Петербург, Лиговский просп., д. 3/9, кв. 1</t>
        </is>
      </c>
      <c r="F119" s="1" t="inlineStr">
        <is>
          <t>http://www.rexamed.ru</t>
        </is>
      </c>
      <c r="G119" s="1" t="inlineStr">
        <is>
          <t>info@rexamed.ru</t>
        </is>
      </c>
      <c r="H119" s="2" t="inlineStr">
        <is>
          <t>Компания REXAMED — эксперт в области реабилитационного оборудования. Мы представляем собственные уникальные разработки, а также являемся эксклюзивным дистрибьютором ведущих мировых брендов.</t>
        </is>
      </c>
      <c r="I119" s="2" t="inlineStr">
        <is>
          <t>Проектирование и оснащение медицинских учреждений под ключ; Терапевтическое оборудование; Реабилитационное оборудование; Спортивные тренажеры и оборудование</t>
        </is>
      </c>
      <c r="J119" s="1">
        <f>IFERROR(__xludf.DUMMYFUNCTION("AI(Prompt!$B$6, H119:I119)"),"Производитель")</f>
        <v/>
      </c>
      <c r="K119" s="1">
        <f>IFERROR(__xludf.DUMMYFUNCTION("AI(Prompt!$B$12, H119:J119)"),"OK")</f>
        <v/>
      </c>
      <c r="L119" s="2">
        <f>IFERROR(__xludf.DUMMYFUNCTION("AI(Prompt!$B$17, H119:I119)"),"реабилитационное, терапевтическое, спортивное оборудование и тренажеры")</f>
        <v/>
      </c>
      <c r="M119" s="5" t="inlineStr">
        <is>
          <t>ЗДОРОВЫЙ ОБРАЗ ЖИЗНИ-2025</t>
        </is>
      </c>
      <c r="N119" s="7" t="inlineStr">
        <is>
          <t>https://www.zdravo-expo.ru/</t>
        </is>
      </c>
      <c r="O119" s="1">
        <f>IFERROR(__xludf.DUMMYFUNCTION("AI(Prompt!$B$21,A119)"),"Хелси Ворлд")</f>
        <v/>
      </c>
    </row>
    <row r="120" ht="15.75" customHeight="1">
      <c r="A120" s="1" t="inlineStr">
        <is>
          <t>ЦЕНТР АВИАКОСМИЧЕСКОЙ МЕДИЦИНЫ И ТЕХНОЛОГИЙ, ООО</t>
        </is>
      </c>
      <c r="B120" s="1" t="inlineStr">
        <is>
          <t>11F018</t>
        </is>
      </c>
      <c r="C120" s="1" t="inlineStr">
        <is>
          <t>Россия</t>
        </is>
      </c>
      <c r="D120" s="1" t="inlineStr">
        <is>
          <t>Москва</t>
        </is>
      </c>
      <c r="E120" s="1" t="inlineStr">
        <is>
          <t>Россия, 123007, г. Москва, Хорошёвское ш., д. 76а, корп. 3, комн. 30</t>
        </is>
      </c>
      <c r="F120" s="1" t="inlineStr">
        <is>
          <t>http://www.amc-si.com</t>
        </is>
      </c>
      <c r="G120" s="1" t="inlineStr">
        <is>
          <t>kirill_melnik@list.ru</t>
        </is>
      </c>
      <c r="H120" s="2" t="inlineStr">
        <is>
          <t>Центр авиакосмической медицины и технологий является ведущей организацией, занимающейся внедрением инновационных технологий космической медицины в клиническую практику.</t>
        </is>
      </c>
      <c r="I120" s="2" t="inlineStr">
        <is>
          <t>Производство медицинских изделий; Физиотерапия и реабилитация; Оборудование для вибротерапии и массажа; Реабилитационное оборудование; Тренажеры; Технологии, оборудование и расходные материалы для спа и велнес</t>
        </is>
      </c>
      <c r="J120" s="1">
        <f>IFERROR(__xludf.DUMMYFUNCTION("AI(Prompt!$B$6, H120:I120)"),"Производитель")</f>
        <v/>
      </c>
      <c r="K120" s="1">
        <f>IFERROR(__xludf.DUMMYFUNCTION("AI(Prompt!$B$12, H120:J120)"),"OK")</f>
        <v/>
      </c>
      <c r="L120" s="2">
        <f>IFERROR(__xludf.DUMMYFUNCTION("AI(Prompt!$B$17, H120:I120)"),"медицинские изделия, реабилитационное оборудование, тренажеры и расходные материалы")</f>
        <v/>
      </c>
      <c r="M120" s="5" t="inlineStr">
        <is>
          <t>ЗДОРОВЫЙ ОБРАЗ ЖИЗНИ-2025</t>
        </is>
      </c>
      <c r="N120" s="7" t="inlineStr">
        <is>
          <t>https://www.zdravo-expo.ru/</t>
        </is>
      </c>
      <c r="O120" s="1">
        <f>IFERROR(__xludf.DUMMYFUNCTION("AI(Prompt!$B$21,A120)"),"Центр Авиакосмической Медицины")</f>
        <v/>
      </c>
    </row>
    <row r="121" ht="15.75" customHeight="1">
      <c r="A121" s="1" t="inlineStr">
        <is>
          <t>ЦЕНТР ОРТОПЕДИИ И ПРОТЕЗИРОВАНИЯ, ООО</t>
        </is>
      </c>
      <c r="B121" s="1" t="inlineStr">
        <is>
          <t>11D007</t>
        </is>
      </c>
      <c r="C121" s="1" t="inlineStr">
        <is>
          <t>Россия</t>
        </is>
      </c>
      <c r="D121" s="1" t="inlineStr">
        <is>
          <t>Москва</t>
        </is>
      </c>
      <c r="E121" s="1" t="inlineStr">
        <is>
          <t>Россия, 129329, г. Москва, ул. Вересковая, д. 10</t>
        </is>
      </c>
      <c r="F121" s="1" t="inlineStr">
        <is>
          <t>http://centr-protezirovaniya.ru</t>
        </is>
      </c>
      <c r="G121" s="1" t="inlineStr">
        <is>
          <t>avb@coip-prop.ru</t>
        </is>
      </c>
      <c r="H121" s="2" t="inlineStr">
        <is>
          <t>ЦОИП осуществляет поставки протезно-ортопедической продукции, имеет сеть протезно-ортопедических мастерских, собственное производство с применением новейших материалов и современных технологий.</t>
        </is>
      </c>
      <c r="I121" s="2" t="inlineStr">
        <is>
          <t>Комплектующие для производства медицинских изделий; Ортопедическое оборудование и инструменты; Наружные протезы и устройства замещения функций органов; Ортезы</t>
        </is>
      </c>
      <c r="J121" s="1">
        <f>IFERROR(__xludf.DUMMYFUNCTION("AI(Prompt!$B$6, H121:I121)"),"Производитель")</f>
        <v/>
      </c>
      <c r="K121" s="1">
        <f>IFERROR(__xludf.DUMMYFUNCTION("AI(Prompt!$B$12, H121:J121)"),"OK")</f>
        <v/>
      </c>
      <c r="L121" s="2">
        <f>IFERROR(__xludf.DUMMYFUNCTION("AI(Prompt!$B$17, H121:I121)"),"протезно-ортопедическая продукция, ортопедическое оборудование и ортезы")</f>
        <v/>
      </c>
      <c r="M121" s="5" t="inlineStr">
        <is>
          <t>ЗДОРОВЫЙ ОБРАЗ ЖИЗНИ-2025</t>
        </is>
      </c>
      <c r="N121" s="7" t="inlineStr">
        <is>
          <t>https://www.zdravo-expo.ru/</t>
        </is>
      </c>
      <c r="O121" s="1">
        <f>IFERROR(__xludf.DUMMYFUNCTION("AI(Prompt!$B$21,A121)"),"Центр Ортопедии И Протезирования")</f>
        <v/>
      </c>
    </row>
    <row r="122" ht="15.75" customHeight="1">
      <c r="A122" s="1" t="inlineStr">
        <is>
          <t>ЦЕНТР ПОДДЕРЖКИ УЧАСТНИКОВ МЕДИЦИНСКОГО РЫНКА, ООО</t>
        </is>
      </c>
      <c r="B122" s="1" t="inlineStr">
        <is>
          <t>11A045</t>
        </is>
      </c>
      <c r="C122" s="1" t="inlineStr">
        <is>
          <t>Россия</t>
        </is>
      </c>
      <c r="D122" s="1" t="inlineStr">
        <is>
          <t>Мытищи</t>
        </is>
      </c>
      <c r="E122" s="1" t="inlineStr">
        <is>
          <t>Россия, 141002, Московская обл., г. Мытищи, ул. Комарова, д. 12/3, пом. 74</t>
        </is>
      </c>
      <c r="F122" s="1" t="inlineStr">
        <is>
          <t>http://cpumr.ru</t>
        </is>
      </c>
      <c r="G122" s="1" t="inlineStr">
        <is>
          <t>zakaz@cpumr.ru</t>
        </is>
      </c>
      <c r="H122" s="2" t="inlineStr">
        <is>
          <t>Регистрация, сертификация и патентоведение в сфере медицинских изделий. Работаем с производителями и дистрибьюторами более 12 лет.</t>
        </is>
      </c>
      <c r="I122" s="2" t="inlineStr">
        <is>
          <t>Аналитика рынка, консалтинг; Регистрация медицинских изделий; Медицинские переводы</t>
        </is>
      </c>
      <c r="J122" s="1">
        <f>IFERROR(__xludf.DUMMYFUNCTION("AI(Prompt!$B$6, H122:I122)"),"Поставщик услуг")</f>
        <v/>
      </c>
      <c r="K122" s="1">
        <f>IFERROR(__xludf.DUMMYFUNCTION("AI(Prompt!$B$12, H122:J122)"),"OK")</f>
        <v/>
      </c>
      <c r="L122" s="2">
        <f>IFERROR(__xludf.DUMMYFUNCTION("AI(Prompt!$B$17, H122:I122)"),"медицинские изделия")</f>
        <v/>
      </c>
      <c r="M122" s="5" t="inlineStr">
        <is>
          <t>ЗДОРОВЫЙ ОБРАЗ ЖИЗНИ-2025</t>
        </is>
      </c>
      <c r="N122" s="7" t="inlineStr">
        <is>
          <t>https://www.zdravo-expo.ru/</t>
        </is>
      </c>
      <c r="O122" s="1">
        <f>IFERROR(__xludf.DUMMYFUNCTION("AI(Prompt!$B$21,A122)"),"Центр Поддержки")</f>
        <v/>
      </c>
    </row>
    <row r="123" ht="15.75" customHeight="1">
      <c r="A123" s="5" t="inlineStr">
        <is>
          <t>ЦЕНТР ТЭС</t>
        </is>
      </c>
      <c r="B123" s="1" t="inlineStr">
        <is>
          <t>11G100</t>
        </is>
      </c>
      <c r="C123" s="1" t="inlineStr">
        <is>
          <t>Россия</t>
        </is>
      </c>
      <c r="D123" s="1" t="inlineStr">
        <is>
          <t>Санкт-Петербург</t>
        </is>
      </c>
      <c r="E123" s="1" t="inlineStr">
        <is>
          <t>Россия, 191186, г. Санкт-Петербург, Невский просп., д. 30, оф. 3.19</t>
        </is>
      </c>
      <c r="F123" s="1" t="inlineStr">
        <is>
          <t>http://tescenter.ru</t>
        </is>
      </c>
      <c r="G123" s="1" t="inlineStr">
        <is>
          <t>sale@tes.spb.ru</t>
        </is>
      </c>
      <c r="H123" s="2" t="inlineStr">
        <is>
          <t>Разработчик и производитель медицинского терапевтического оборудования, основанного на научном открытии, торговых марок «ТРАНСАИР» и «ДОКТОР ТЭС». Опыт работы на рынке — более 30 лет.</t>
        </is>
      </c>
      <c r="I123" s="2" t="inlineStr">
        <is>
          <t>Производство медицинских изделий</t>
        </is>
      </c>
      <c r="J123" s="1">
        <f>IFERROR(__xludf.DUMMYFUNCTION("AI(Prompt!$B$6, H123:I123)"),"Производитель")</f>
        <v/>
      </c>
      <c r="K123" s="1">
        <f>IFERROR(__xludf.DUMMYFUNCTION("AI(Prompt!$B$12, H123:J123)"),"OK")</f>
        <v/>
      </c>
      <c r="L123" s="2">
        <f>IFERROR(__xludf.DUMMYFUNCTION("AI(Prompt!$B$17, H123:I123)"),"медицинские изделия")</f>
        <v/>
      </c>
      <c r="M123" s="5" t="inlineStr">
        <is>
          <t>ЗДОРОВЫЙ ОБРАЗ ЖИЗНИ-2025</t>
        </is>
      </c>
      <c r="N123" s="7" t="inlineStr">
        <is>
          <t>https://www.zdravo-expo.ru/</t>
        </is>
      </c>
      <c r="O123" s="1">
        <f>IFERROR(__xludf.DUMMYFUNCTION("AI(Prompt!$B$21,A123)"),"Центр ТЭС")</f>
        <v/>
      </c>
    </row>
    <row r="124" ht="15.75" customHeight="1">
      <c r="A124" s="1" t="inlineStr">
        <is>
          <t>ЦИТ НЕЛИАН, ООО</t>
        </is>
      </c>
      <c r="B124" s="1" t="inlineStr">
        <is>
          <t>11F104</t>
        </is>
      </c>
      <c r="C124" s="1" t="inlineStr">
        <is>
          <t>Россия</t>
        </is>
      </c>
      <c r="D124" s="1" t="inlineStr">
        <is>
          <t>Москва</t>
        </is>
      </c>
      <c r="E124" s="1" t="inlineStr">
        <is>
          <t>Россия, 107023, г. Москва, вн. тер. г. м. о. Соколиная Гора, Семёновский пер., д. 15, пом. 1, этаж 4, комн. 12, 16, 16А, 17, 18</t>
        </is>
      </c>
      <c r="F124" s="1" t="inlineStr">
        <is>
          <t>https://nelian.ru</t>
        </is>
      </c>
      <c r="G124" s="1" t="inlineStr">
        <is>
          <t>manager@nelian.ru</t>
        </is>
      </c>
      <c r="H124" s="2" t="inlineStr">
        <is>
          <t>ЦИТ «НЕЛИАН» — разработчик и производитель систем визуальной медицинской диагностики «ДИАНЕЛ» для персонифицированного холистического подхода к профилактике болезней, оздоровлению, реабилитации организма человека.— Комплексы «ДИАНЕЛ» для функциональной диагностики и психофизиологического, психологического тестирования с полной биологической обратной связью, ВРТ–теста препаратов, оценки стрессовых и депрессивных состояний;— ПО «Дианел-Микро» для автоматизации цифровых микроскопов в медицине, кольпоскопии, капилляроскопии, микроскопии нативной крови, гемосканирования в комплектации с микроскопами и цифровыми камерами.</t>
        </is>
      </c>
      <c r="I124" s="2" t="inlineStr">
        <is>
          <t>Прочие диагностические устройства; Поставка медицинского оборудования и расходных материалов; Альтернативная медицина; Психологическая охрана здоровья; Пропаганда здорового образа жизни; Инструменты и принадлежности для эндоскопиии</t>
        </is>
      </c>
      <c r="J124" s="1">
        <f>IFERROR(__xludf.DUMMYFUNCTION("AI(Prompt!$B$6, H124:I124)"),"Производитель")</f>
        <v/>
      </c>
      <c r="K124" s="1">
        <f>IFERROR(__xludf.DUMMYFUNCTION("AI(Prompt!$B$12, H124:J124)"),"OK")</f>
        <v/>
      </c>
      <c r="L124" s="2">
        <f>IFERROR(__xludf.DUMMYFUNCTION("AI(Prompt!$B$17, H124:I124)"),"диагностические устройства, медицинское оборудование, микроскопы и камеры")</f>
        <v/>
      </c>
      <c r="M124" s="5" t="inlineStr">
        <is>
          <t>ЗДОРОВЫЙ ОБРАЗ ЖИЗНИ-2025</t>
        </is>
      </c>
      <c r="N124" s="7" t="inlineStr">
        <is>
          <t>https://www.zdravo-expo.ru/</t>
        </is>
      </c>
      <c r="O124" s="1">
        <f>IFERROR(__xludf.DUMMYFUNCTION("AI(Prompt!$B$21,A124)"),"ЦИТ Нелиан")</f>
        <v/>
      </c>
    </row>
    <row r="125" ht="15.75" customHeight="1">
      <c r="A125" s="1" t="inlineStr">
        <is>
          <t>ЧЕРНЫШЕВА АРИНА ГЕРМАНОВНА, ИП (Green Vale ТМ)</t>
        </is>
      </c>
      <c r="B125" s="1" t="inlineStr">
        <is>
          <t>11C020</t>
        </is>
      </c>
      <c r="C125" s="1" t="inlineStr">
        <is>
          <t>Россия</t>
        </is>
      </c>
      <c r="D125" s="1" t="inlineStr">
        <is>
          <t>Барнаул</t>
        </is>
      </c>
      <c r="E125" s="1" t="inlineStr">
        <is>
          <t>Россия, 656065, Алтайский край, г. Барнаул, ул. Анатолия, д. 35а</t>
        </is>
      </c>
      <c r="F125" s="1" t="inlineStr">
        <is>
          <t>https://green-vale.ru</t>
        </is>
      </c>
      <c r="G125" s="1" t="inlineStr">
        <is>
          <t>greenvale@bk.ru</t>
        </is>
      </c>
      <c r="H125" s="2" t="inlineStr">
        <is>
          <t>Мы — ферма полного цикла, специализирующаяся на выращивании пшеницы, брокколи и производстве соков из ростков пшеницы и микрозелени брокколи. Цель — предоставить высококачественные, натуральные и полезные продукты!</t>
        </is>
      </c>
      <c r="I125" s="2" t="inlineStr">
        <is>
          <t>Спортивное питание; Технологии и продукты для здорового питания; Органические, натуральные продукты питания; Пропаганда здорового образа жизни</t>
        </is>
      </c>
      <c r="J125" s="1">
        <f>IFERROR(__xludf.DUMMYFUNCTION("AI(Prompt!$B$6, H125:I125)"),"Производитель")</f>
        <v/>
      </c>
      <c r="K125" s="1">
        <f>IFERROR(__xludf.DUMMYFUNCTION("AI(Prompt!$B$12, H125:J125)"),"OK")</f>
        <v/>
      </c>
      <c r="L125" s="2">
        <f>IFERROR(__xludf.DUMMYFUNCTION("AI(Prompt!$B$17, H125:I125)"),"пшеница, брокколи, соки и микрозелень")</f>
        <v/>
      </c>
      <c r="M125" s="5" t="inlineStr">
        <is>
          <t>ЗДОРОВЫЙ ОБРАЗ ЖИЗНИ-2025</t>
        </is>
      </c>
      <c r="N125" s="7" t="inlineStr">
        <is>
          <t>https://www.zdravo-expo.ru/</t>
        </is>
      </c>
      <c r="O125" s="1">
        <f>IFERROR(__xludf.DUMMYFUNCTION("AI(Prompt!$B$21,A125)"),"Green Vale ТМ")</f>
        <v/>
      </c>
    </row>
    <row r="126" ht="15.75" customHeight="1">
      <c r="A126" s="1" t="inlineStr">
        <is>
          <t>ЧЕСНОВ ПАВЕЛ АЛЕКСЕЕВИЧ, ИП</t>
        </is>
      </c>
      <c r="B126" s="1" t="inlineStr">
        <is>
          <t>11C020</t>
        </is>
      </c>
      <c r="C126" s="1" t="inlineStr">
        <is>
          <t>Россия</t>
        </is>
      </c>
      <c r="D126" s="1" t="inlineStr">
        <is>
          <t>Барнаул</t>
        </is>
      </c>
      <c r="E126" s="1" t="inlineStr">
        <is>
          <t>Россия, Алтайский край, г. Барнаул, Комсомольский просп., д. 80, оф. 206</t>
        </is>
      </c>
      <c r="F126" s="1" t="inlineStr">
        <is>
          <t>http://orantamed.com</t>
        </is>
      </c>
      <c r="G126" s="1" t="inlineStr">
        <is>
          <t>chesnov_pa@mail.ru</t>
        </is>
      </c>
      <c r="H126" s="2" t="inlineStr">
        <is>
          <t>Производство и продажа костылей и тростей из сплава Д16Т, беспилотных транспортных платформ и летательных аппаратов сопровождения (ретрансляторов), костюмов и накидок «антитепловизор», систем эвакуации.</t>
        </is>
      </c>
      <c r="I126" s="2" t="inlineStr">
        <is>
          <t>Реабилитационное оборудование; Средства, облегчающие передвижения; Ортопедическое оборудование и инструменты</t>
        </is>
      </c>
      <c r="J126" s="1">
        <f>IFERROR(__xludf.DUMMYFUNCTION("AI(Prompt!$B$6, H126:I126)"),"Производитель")</f>
        <v/>
      </c>
      <c r="K126" s="1">
        <f>IFERROR(__xludf.DUMMYFUNCTION("AI(Prompt!$B$12, H126:J126)"),"OK")</f>
        <v/>
      </c>
      <c r="L126" s="2">
        <f>IFERROR(__xludf.DUMMYFUNCTION("AI(Prompt!$B$17, H126:I126)"),"костыли, трости, беспилотники и костюмы")</f>
        <v/>
      </c>
      <c r="M126" s="5" t="inlineStr">
        <is>
          <t>ЗДОРОВЫЙ ОБРАЗ ЖИЗНИ-2025</t>
        </is>
      </c>
      <c r="N126" s="7" t="inlineStr">
        <is>
          <t>https://www.zdravo-expo.ru/</t>
        </is>
      </c>
      <c r="O126" s="1">
        <f>IFERROR(__xludf.DUMMYFUNCTION("AI(Prompt!$B$21,A126)"),"ИП Чеснов")</f>
        <v/>
      </c>
    </row>
    <row r="127" ht="15.75" customHeight="1">
      <c r="A127" s="1" t="inlineStr">
        <is>
          <t>ЭКЗО ГРУПП, ООО</t>
        </is>
      </c>
      <c r="B127" s="8" t="n">
        <v>1.1e+131</v>
      </c>
      <c r="C127" s="1" t="inlineStr">
        <is>
          <t>Россия</t>
        </is>
      </c>
      <c r="D127" s="1" t="inlineStr">
        <is>
          <t>Тольятти</t>
        </is>
      </c>
      <c r="E127" s="1" t="inlineStr">
        <is>
          <t>Россия, 445043, Самарская обл., г. Тольятти, Южное ш., зд. 163а, комн. 34</t>
        </is>
      </c>
      <c r="F127" s="1" t="inlineStr">
        <is>
          <t>https://экзотерапия.рф</t>
        </is>
      </c>
      <c r="G127" s="1" t="inlineStr">
        <is>
          <t>info@exotherapy.ru</t>
        </is>
      </c>
      <c r="H127" s="2" t="inlineStr">
        <is>
          <t>«Экзо Групп» — российский завод инновационного медицинского оборудования для реабилитации и оздоровления.Технология «Экзотерапия» успешно прошла клинические испытания в области лечения невралгии и коксартроза.</t>
        </is>
      </c>
      <c r="I127" s="2" t="inlineStr">
        <is>
          <t>Оборудование для ударно-волновой терапии; Оборудование для магнитотерапии; Спортивные тренажеры и оборудование</t>
        </is>
      </c>
      <c r="J127" s="1">
        <f>IFERROR(__xludf.DUMMYFUNCTION("AI(Prompt!$B$6, H127:I127)"),"Производитель")</f>
        <v/>
      </c>
      <c r="K127" s="1">
        <f>IFERROR(__xludf.DUMMYFUNCTION("AI(Prompt!$B$12, H127:J127)"),"OK")</f>
        <v/>
      </c>
      <c r="L127" s="2">
        <f>IFERROR(__xludf.DUMMYFUNCTION("AI(Prompt!$B$17, H127:I127)"),"медицинское оборудование, тренажеры и оборудование")</f>
        <v/>
      </c>
      <c r="M127" s="5" t="inlineStr">
        <is>
          <t>ЗДОРОВЫЙ ОБРАЗ ЖИЗНИ-2025</t>
        </is>
      </c>
      <c r="N127" s="7" t="inlineStr">
        <is>
          <t>https://www.zdravo-expo.ru/</t>
        </is>
      </c>
      <c r="O127" s="1">
        <f>IFERROR(__xludf.DUMMYFUNCTION("AI(Prompt!$B$21,A127)"),"Экзо Групп")</f>
        <v/>
      </c>
    </row>
    <row r="128" ht="15.75" customHeight="1">
      <c r="A128" s="1" t="inlineStr">
        <is>
          <t>ЭКЗОАТЛЕТ, ООО</t>
        </is>
      </c>
      <c r="B128" s="1" t="inlineStr">
        <is>
          <t>11C108</t>
        </is>
      </c>
      <c r="C128" s="1" t="inlineStr">
        <is>
          <t>Россия</t>
        </is>
      </c>
      <c r="D128" s="1" t="inlineStr">
        <is>
          <t>Москва</t>
        </is>
      </c>
      <c r="E128" s="1" t="inlineStr">
        <is>
          <t>Россия, 119121, г. Москва, 1-й Тружеников пер., д. 15, оф. 1</t>
        </is>
      </c>
      <c r="F128" s="1" t="inlineStr">
        <is>
          <t>http://www.exoatlet.com</t>
        </is>
      </c>
      <c r="G128" s="1" t="inlineStr">
        <is>
          <t>info@exoatlet.com</t>
        </is>
      </c>
      <c r="H128" s="2" t="inlineStr">
        <is>
          <t>ООО «ЭкзоАтлет» – российский разработчик и производитель экзоскелетов для реабилитации взрослых и детей с различными травмами и заболеваниями. На данный момент — более 300 оснащенных клиник в мире.</t>
        </is>
      </c>
      <c r="I128" s="2" t="inlineStr">
        <is>
          <t>Производство медицинских изделий; Реабилитационное оборудование; Тренажеры; Медицинские изделия для домашнего применения</t>
        </is>
      </c>
      <c r="J128" s="1">
        <f>IFERROR(__xludf.DUMMYFUNCTION("AI(Prompt!$B$6, H128:I128)"),"Производитель")</f>
        <v/>
      </c>
      <c r="K128" s="1">
        <f>IFERROR(__xludf.DUMMYFUNCTION("AI(Prompt!$B$12, H128:J128)"),"OK")</f>
        <v/>
      </c>
      <c r="L128" s="2">
        <f>IFERROR(__xludf.DUMMYFUNCTION("AI(Prompt!$B$17, H128:I128)"),"экзоскелеты, тренажеры и медицинские изделия")</f>
        <v/>
      </c>
      <c r="M128" s="5" t="inlineStr">
        <is>
          <t>ЗДОРОВЫЙ ОБРАЗ ЖИЗНИ-2025</t>
        </is>
      </c>
      <c r="N128" s="7" t="inlineStr">
        <is>
          <t>https://www.zdravo-expo.ru/</t>
        </is>
      </c>
      <c r="O128" s="1">
        <f>IFERROR(__xludf.DUMMYFUNCTION("AI(Prompt!$B$21,A128)"),"Экзоатлет")</f>
        <v/>
      </c>
    </row>
    <row r="129" hidden="1" ht="15.75" customHeight="1">
      <c r="A129" s="1" t="inlineStr">
        <is>
          <t>ЭЛАСТИКУМ, ООО</t>
        </is>
      </c>
      <c r="B129" s="1" t="inlineStr">
        <is>
          <t>11D052</t>
        </is>
      </c>
      <c r="C129" s="1" t="inlineStr">
        <is>
          <t>Республика Узбекистан</t>
        </is>
      </c>
      <c r="D129" s="1" t="inlineStr">
        <is>
          <t>Ташкент</t>
        </is>
      </c>
      <c r="E129" s="1" t="inlineStr">
        <is>
          <t>Республика Узбекистан, 100057, г. Ташкент, ул. Байроктол, д. 15</t>
        </is>
      </c>
      <c r="F129" s="1" t="inlineStr">
        <is>
          <t>http://elastikum.com</t>
        </is>
      </c>
      <c r="G129" s="1" t="inlineStr">
        <is>
          <t>d.elastikum@mail.ru</t>
        </is>
      </c>
      <c r="H129" s="1" t="inlineStr">
        <is>
          <t>Elastikum выпускает перевязочные материалы: марлю, бинты, вату, эластичные изделия. Имеет РУ в странах СНГ, сертификат ISO 9001:2015, проходит регистрацию ISO 13485:2016 и имеет СЕ-маркировку.</t>
        </is>
      </c>
      <c r="I129" s="1" t="inlineStr">
        <is>
          <t>Производство медицинских изделий; Ортопедические бандажи и корсеты</t>
        </is>
      </c>
      <c r="J129" s="1">
        <f>IFERROR(__xludf.DUMMYFUNCTION("AI(Prompt!$B$6, H129:I129)"),"Производитель")</f>
        <v/>
      </c>
      <c r="K129" s="1">
        <f>IFERROR(__xludf.DUMMYFUNCTION("AI(Prompt!$B$12, H129:J129)"),"OK")</f>
        <v/>
      </c>
      <c r="L129" s="2">
        <f>IFERROR(__xludf.DUMMYFUNCTION("AI(Prompt!$B$17, H129:I129)"),"перевязочные материалы, эластичные изделия, бандажи и корсеты")</f>
        <v/>
      </c>
      <c r="M129" s="5" t="inlineStr">
        <is>
          <t>ЗДОРОВЫЙ ОБРАЗ ЖИЗНИ-2025</t>
        </is>
      </c>
      <c r="N129" s="7" t="inlineStr">
        <is>
          <t>https://www.zdravo-expo.ru/</t>
        </is>
      </c>
      <c r="O129" s="1">
        <f>IFERROR(__xludf.DUMMYFUNCTION("AI(Prompt!$B$21,A129)"),"Эластикум")</f>
        <v/>
      </c>
    </row>
    <row r="130" ht="15.75" customHeight="1">
      <c r="A130" s="1" t="inlineStr">
        <is>
          <t>ЭЛИКСИ, ООО</t>
        </is>
      </c>
      <c r="B130" s="1" t="inlineStr">
        <is>
          <t>11D008</t>
        </is>
      </c>
      <c r="C130" s="1" t="inlineStr">
        <is>
          <t>Россия</t>
        </is>
      </c>
      <c r="D130" s="1" t="inlineStr">
        <is>
          <t>Москва</t>
        </is>
      </c>
      <c r="E130" s="1" t="inlineStr">
        <is>
          <t>Россия, 129226, г. Москва, ул. Сельскохозяйственная, д. 11, корп. 3, этаж 1, пом. II, оф. 86</t>
        </is>
      </c>
      <c r="F130" s="1" t="inlineStr">
        <is>
          <t>http://www.prolejnei.net</t>
        </is>
      </c>
      <c r="G130" s="1" t="inlineStr">
        <is>
          <t>eliksee@mail.ru</t>
        </is>
      </c>
      <c r="H130" s="2" t="inlineStr">
        <is>
          <t>Производство средств гигиены и ухода за кожей лежачих больных, людей с ограниченной подвижностью и стомированных пациентов. Производство изделий медицинского назначения из нетканых материалов.</t>
        </is>
      </c>
      <c r="I130" s="2" t="inlineStr">
        <is>
          <t>Средства ухода за стомой; Гигиенические изделия для больниц; Одноразовые медицинские изделия прочие; Производство медицинских изделий; Лечебная косметика; Средства для личной гигиены и ухода</t>
        </is>
      </c>
      <c r="J130" s="1">
        <f>IFERROR(__xludf.DUMMYFUNCTION("AI(Prompt!$B$6, H130:I130)"),"Производитель")</f>
        <v/>
      </c>
      <c r="K130" s="1">
        <f>IFERROR(__xludf.DUMMYFUNCTION("AI(Prompt!$B$12, H130:J130)"),"OK")</f>
        <v/>
      </c>
      <c r="L130" s="2">
        <f>IFERROR(__xludf.DUMMYFUNCTION("AI(Prompt!$B$17, H130:I130)"),"средства гигиены, средства для стомы и медицинские изделия")</f>
        <v/>
      </c>
      <c r="M130" s="5" t="inlineStr">
        <is>
          <t>ЗДОРОВЫЙ ОБРАЗ ЖИЗНИ-2025</t>
        </is>
      </c>
      <c r="N130" s="7" t="inlineStr">
        <is>
          <t>https://www.zdravo-expo.ru/</t>
        </is>
      </c>
      <c r="O130" s="1">
        <f>IFERROR(__xludf.DUMMYFUNCTION("AI(Prompt!$B$21,A130)"),"Эликси")</f>
        <v/>
      </c>
    </row>
    <row r="131" ht="15.75" customHeight="1">
      <c r="A131" s="1" t="inlineStr">
        <is>
          <t>ЭМРА, ООО</t>
        </is>
      </c>
      <c r="B131" s="1" t="inlineStr">
        <is>
          <t>11A125</t>
        </is>
      </c>
      <c r="C131" s="1" t="inlineStr">
        <is>
          <t>Россия</t>
        </is>
      </c>
      <c r="E131" s="1" t="inlineStr">
        <is>
          <t>Россия</t>
        </is>
      </c>
      <c r="F131" s="1" t="inlineStr">
        <is>
          <t>https://emra.life</t>
        </is>
      </c>
      <c r="G131" s="1" t="inlineStr">
        <is>
          <t>info@emra.life</t>
        </is>
      </c>
      <c r="H131" s="2" t="inlineStr">
        <is>
          <t>- Очищающая пенка Diamond Mousse;— зубная паста Moonlight Brightening;— ополаскиватель Extra Whitening;— таблетки для чистки ортодонтических конструкций Denture Cleanser;— скребок для языка;— гель для языка.</t>
        </is>
      </c>
      <c r="I131" s="2" t="inlineStr">
        <is>
          <t>Средства личной гигиены; Средства гигиены полости рта</t>
        </is>
      </c>
      <c r="J131" s="1">
        <f>IFERROR(__xludf.DUMMYFUNCTION("AI(Prompt!$B$6, H131:I131)"),"Производитель")</f>
        <v/>
      </c>
      <c r="K131" s="1">
        <f>IFERROR(__xludf.DUMMYFUNCTION("AI(Prompt!$B$12, H131:J131)"),"OK")</f>
        <v/>
      </c>
      <c r="L131" s="2">
        <f>IFERROR(__xludf.DUMMYFUNCTION("AI(Prompt!$B$17, H131:I131)"),"зубные пасты, ополаскиватели и скребки")</f>
        <v/>
      </c>
      <c r="M131" s="5" t="inlineStr">
        <is>
          <t>ЗДОРОВЫЙ ОБРАЗ ЖИЗНИ-2025</t>
        </is>
      </c>
      <c r="N131" s="7" t="inlineStr">
        <is>
          <t>https://www.zdravo-expo.ru/</t>
        </is>
      </c>
      <c r="O131" s="1">
        <f>IFERROR(__xludf.DUMMYFUNCTION("AI(Prompt!$B$21,A131)"),"ЭМРА")</f>
        <v/>
      </c>
    </row>
    <row r="132" ht="15.75" customHeight="1">
      <c r="A132" s="1" t="inlineStr">
        <is>
          <t>ЭРСИЛОН, НПК, ООО</t>
        </is>
      </c>
      <c r="B132" s="1" t="inlineStr">
        <is>
          <t>11G010</t>
        </is>
      </c>
      <c r="C132" s="1" t="inlineStr">
        <is>
          <t>Россия</t>
        </is>
      </c>
      <c r="E132" s="1" t="inlineStr">
        <is>
          <t>Россия, Ленинградская обл., индустриальный парк «Разметелево», ул. Строителей, д. 5Б, пом. 105</t>
        </is>
      </c>
      <c r="F132" s="1" t="inlineStr">
        <is>
          <t>https://ersilon.ru</t>
        </is>
      </c>
      <c r="G132" s="1" t="inlineStr">
        <is>
          <t>sale@ersilon.ru</t>
        </is>
      </c>
      <c r="H132" s="2" t="inlineStr">
        <is>
          <t>Производство медицинских аппаратов ударно-волновой терапии. Реабилитационное оборудование с использованием высокоинтенсивного электромагнитного воздействия. Барокамера для восстановления организма.</t>
        </is>
      </c>
      <c r="I132" s="2" t="inlineStr">
        <is>
          <t>Производство медицинских изделий; Оборудование для ударно-волновой терапии; Оборудование для эстетической медицины; Ортопедическое оборудование и инструменты; Ортопедическое оборудование и инструменты</t>
        </is>
      </c>
      <c r="J132" s="1">
        <f>IFERROR(__xludf.DUMMYFUNCTION("AI(Prompt!$B$6, H132:I132)"),"Производитель")</f>
        <v/>
      </c>
      <c r="K132" s="1">
        <f>IFERROR(__xludf.DUMMYFUNCTION("AI(Prompt!$B$12, H132:J132)"),"OK")</f>
        <v/>
      </c>
      <c r="L132" s="2">
        <f>IFERROR(__xludf.DUMMYFUNCTION("AI(Prompt!$B$17, H132:I132)"),"медицинские аппараты, реабилитационное оборудование и барокамеры")</f>
        <v/>
      </c>
      <c r="M132" s="5" t="inlineStr">
        <is>
          <t>ЗДОРОВЫЙ ОБРАЗ ЖИЗНИ-2025</t>
        </is>
      </c>
      <c r="N132" s="7" t="inlineStr">
        <is>
          <t>https://www.zdravo-expo.ru/</t>
        </is>
      </c>
      <c r="O132" s="1">
        <f>IFERROR(__xludf.DUMMYFUNCTION("AI(Prompt!$B$21,A132)"),"Эрсилон, НПК")</f>
        <v/>
      </c>
    </row>
    <row r="133" ht="15.75" customHeight="1">
      <c r="A133" s="1" t="inlineStr">
        <is>
          <t>ЭТЕРНАЛ ОРТО, ОРТОПЕДИЧЕСКАЯ ПРОИЗВОДСТВЕННАЯ КОМПАНИЯ</t>
        </is>
      </c>
      <c r="B133" s="1" t="inlineStr">
        <is>
          <t>11G110</t>
        </is>
      </c>
      <c r="C133" s="1" t="inlineStr">
        <is>
          <t>Россия</t>
        </is>
      </c>
      <c r="D133" s="1" t="inlineStr">
        <is>
          <t>Уфа</t>
        </is>
      </c>
      <c r="E133" s="1" t="inlineStr">
        <is>
          <t>Россия, 450000, Республика Башкортостан, г. Уфа, ул. Цюрупы, д. 145/1</t>
        </is>
      </c>
      <c r="F133" s="1" t="inlineStr">
        <is>
          <t>https://www.eternalorto.ru</t>
        </is>
      </c>
      <c r="G133" s="1" t="inlineStr">
        <is>
          <t>ortoluxe@yandex.ru</t>
        </is>
      </c>
      <c r="H133" s="2" t="inlineStr">
        <is>
          <t>ETERNAL ORTO — современная российская компания, специализирующаяся на цифровом 3D-проектировании и производстве индивидуальных ортопедических стелек. Мы используем высокоточные технологии сканирования стоп, анализ походки и 3D-печать, создавая персонализированные решения, направленные на повышение комфорта, коррекцию осанки и улучшение здоровья опорно-двигательного аппарата человека.</t>
        </is>
      </c>
      <c r="I133" s="2" t="inlineStr">
        <is>
          <t>Средства, облегчающие передвижения; Ортопедические средства для ног, стельки и др.; Ортопедическое оборудование и инструменты; Ортезы; Ортопедическая и спортивная обувь; Ортезы</t>
        </is>
      </c>
      <c r="J133" s="1">
        <f>IFERROR(__xludf.DUMMYFUNCTION("AI(Prompt!$B$6, H133:I133)"),"Производитель")</f>
        <v/>
      </c>
      <c r="K133" s="1">
        <f>IFERROR(__xludf.DUMMYFUNCTION("AI(Prompt!$B$12, H133:J133)"),"OK")</f>
        <v/>
      </c>
      <c r="L133" s="2">
        <f>IFERROR(__xludf.DUMMYFUNCTION("AI(Prompt!$B$17, H133:I133)"),"стельки, ортезы, обувь и оборудование")</f>
        <v/>
      </c>
      <c r="M133" s="5" t="inlineStr">
        <is>
          <t>ЗДОРОВЫЙ ОБРАЗ ЖИЗНИ-2025</t>
        </is>
      </c>
      <c r="N133" s="7" t="inlineStr">
        <is>
          <t>https://www.zdravo-expo.ru/</t>
        </is>
      </c>
      <c r="O133" s="1">
        <f>IFERROR(__xludf.DUMMYFUNCTION("AI(Prompt!$B$21,A133)"),"Этернал Орто")</f>
        <v/>
      </c>
    </row>
    <row r="134" ht="15.75" customHeight="1">
      <c r="H134" s="2" t="n"/>
      <c r="I134" s="2" t="n"/>
    </row>
    <row r="135" ht="15.75" customHeight="1">
      <c r="H135" s="2" t="n"/>
      <c r="I135" s="2" t="n"/>
    </row>
    <row r="136" ht="15.75" customHeight="1">
      <c r="H136" s="2" t="n"/>
      <c r="I136" s="2" t="n"/>
    </row>
    <row r="137" ht="15.75" customHeight="1">
      <c r="H137" s="2" t="n"/>
      <c r="I137" s="2" t="n"/>
    </row>
    <row r="138" ht="15.75" customHeight="1">
      <c r="H138" s="2" t="n"/>
      <c r="I138" s="2" t="n"/>
    </row>
    <row r="139" ht="15.75" customHeight="1">
      <c r="H139" s="2" t="n"/>
      <c r="I139" s="2" t="n"/>
    </row>
    <row r="140" ht="15.75" customHeight="1">
      <c r="H140" s="2" t="n"/>
      <c r="I140" s="2" t="n"/>
    </row>
    <row r="141" ht="15.75" customHeight="1">
      <c r="H141" s="2" t="n"/>
      <c r="I141" s="2" t="n"/>
    </row>
    <row r="142" ht="15.75" customHeight="1">
      <c r="H142" s="2" t="n"/>
      <c r="I142" s="2" t="n"/>
    </row>
    <row r="143" ht="15.75" customHeight="1">
      <c r="H143" s="2" t="n"/>
      <c r="I143" s="2" t="n"/>
    </row>
    <row r="144" ht="15.75" customHeight="1">
      <c r="H144" s="2" t="n"/>
      <c r="I144" s="2" t="n"/>
    </row>
    <row r="145" ht="15.75" customHeight="1">
      <c r="H145" s="2" t="n"/>
      <c r="I145" s="2" t="n"/>
    </row>
    <row r="146" ht="15.75" customHeight="1">
      <c r="H146" s="2" t="n"/>
      <c r="I146" s="2" t="n"/>
    </row>
    <row r="147" ht="15.75" customHeight="1">
      <c r="H147" s="2" t="n"/>
      <c r="I147" s="2" t="n"/>
    </row>
    <row r="148" ht="15.75" customHeight="1">
      <c r="H148" s="2" t="n"/>
      <c r="I148" s="2" t="n"/>
    </row>
    <row r="149" ht="15.75" customHeight="1">
      <c r="H149" s="2" t="n"/>
      <c r="I149" s="2" t="n"/>
    </row>
    <row r="150" ht="15.75" customHeight="1">
      <c r="H150" s="2" t="n"/>
      <c r="I150" s="2" t="n"/>
    </row>
    <row r="151" ht="15.75" customHeight="1">
      <c r="H151" s="2" t="n"/>
      <c r="I151" s="2" t="n"/>
    </row>
    <row r="152" ht="15.75" customHeight="1">
      <c r="H152" s="2" t="n"/>
      <c r="I152" s="2" t="n"/>
    </row>
    <row r="153" ht="15.75" customHeight="1">
      <c r="H153" s="2" t="n"/>
      <c r="I153" s="2" t="n"/>
    </row>
    <row r="154" ht="15.75" customHeight="1">
      <c r="H154" s="2" t="n"/>
      <c r="I154" s="2" t="n"/>
    </row>
    <row r="155" ht="15.75" customHeight="1">
      <c r="H155" s="2" t="n"/>
      <c r="I155" s="2" t="n"/>
    </row>
    <row r="156" ht="15.75" customHeight="1">
      <c r="H156" s="2" t="n"/>
      <c r="I156" s="2" t="n"/>
    </row>
    <row r="157" ht="15.75" customHeight="1">
      <c r="H157" s="2" t="n"/>
      <c r="I157" s="2" t="n"/>
    </row>
    <row r="158" ht="15.75" customHeight="1">
      <c r="H158" s="2" t="n"/>
      <c r="I158" s="2" t="n"/>
    </row>
    <row r="159" ht="15.75" customHeight="1">
      <c r="H159" s="2" t="n"/>
      <c r="I159" s="2" t="n"/>
    </row>
    <row r="160" ht="15.75" customHeight="1">
      <c r="H160" s="2" t="n"/>
      <c r="I160" s="2" t="n"/>
    </row>
    <row r="161" ht="15.75" customHeight="1">
      <c r="H161" s="2" t="n"/>
      <c r="I161" s="2" t="n"/>
    </row>
    <row r="162" ht="15.75" customHeight="1">
      <c r="H162" s="2" t="n"/>
      <c r="I162" s="2" t="n"/>
    </row>
    <row r="163" ht="15.75" customHeight="1">
      <c r="H163" s="2" t="n"/>
      <c r="I163" s="2" t="n"/>
    </row>
    <row r="164" ht="15.75" customHeight="1">
      <c r="H164" s="2" t="n"/>
      <c r="I164" s="2" t="n"/>
    </row>
    <row r="165" ht="15.75" customHeight="1">
      <c r="H165" s="2" t="n"/>
      <c r="I165" s="2" t="n"/>
    </row>
    <row r="166" ht="15.75" customHeight="1">
      <c r="H166" s="2" t="n"/>
      <c r="I166" s="2" t="n"/>
    </row>
    <row r="167" ht="15.75" customHeight="1">
      <c r="H167" s="2" t="n"/>
      <c r="I167" s="2" t="n"/>
    </row>
    <row r="168" ht="15.75" customHeight="1">
      <c r="H168" s="2" t="n"/>
      <c r="I168" s="2" t="n"/>
    </row>
    <row r="169" ht="15.75" customHeight="1">
      <c r="H169" s="2" t="n"/>
      <c r="I169" s="2" t="n"/>
    </row>
    <row r="170" ht="15.75" customHeight="1">
      <c r="H170" s="2" t="n"/>
      <c r="I170" s="2" t="n"/>
    </row>
    <row r="171" ht="15.75" customHeight="1">
      <c r="H171" s="2" t="n"/>
      <c r="I171" s="2" t="n"/>
    </row>
    <row r="172" ht="15.75" customHeight="1">
      <c r="H172" s="2" t="n"/>
      <c r="I172" s="2" t="n"/>
    </row>
    <row r="173" ht="15.75" customHeight="1">
      <c r="H173" s="2" t="n"/>
      <c r="I173" s="2" t="n"/>
    </row>
    <row r="174" ht="15.75" customHeight="1">
      <c r="H174" s="2" t="n"/>
      <c r="I174" s="2" t="n"/>
    </row>
    <row r="175" ht="15.75" customHeight="1">
      <c r="H175" s="2" t="n"/>
      <c r="I175" s="2" t="n"/>
    </row>
    <row r="176" ht="15.75" customHeight="1">
      <c r="H176" s="2" t="n"/>
      <c r="I176" s="2" t="n"/>
    </row>
    <row r="177" ht="15.75" customHeight="1">
      <c r="H177" s="2" t="n"/>
      <c r="I177" s="2" t="n"/>
    </row>
    <row r="178" ht="15.75" customHeight="1">
      <c r="H178" s="2" t="n"/>
      <c r="I178" s="2" t="n"/>
    </row>
    <row r="179" ht="15.75" customHeight="1">
      <c r="H179" s="2" t="n"/>
      <c r="I179" s="2" t="n"/>
    </row>
    <row r="180" ht="15.75" customHeight="1">
      <c r="H180" s="2" t="n"/>
      <c r="I180" s="2" t="n"/>
    </row>
    <row r="181" ht="15.75" customHeight="1">
      <c r="H181" s="2" t="n"/>
      <c r="I181" s="2" t="n"/>
    </row>
    <row r="182" ht="15.75" customHeight="1">
      <c r="H182" s="2" t="n"/>
      <c r="I182" s="2" t="n"/>
    </row>
    <row r="183" ht="15.75" customHeight="1">
      <c r="H183" s="2" t="n"/>
      <c r="I183" s="2" t="n"/>
    </row>
    <row r="184" ht="15.75" customHeight="1">
      <c r="H184" s="2" t="n"/>
      <c r="I184" s="2" t="n"/>
    </row>
    <row r="185" ht="15.75" customHeight="1">
      <c r="H185" s="2" t="n"/>
      <c r="I185" s="2" t="n"/>
    </row>
    <row r="186" ht="15.75" customHeight="1">
      <c r="H186" s="2" t="n"/>
      <c r="I186" s="2" t="n"/>
    </row>
    <row r="187" ht="15.75" customHeight="1">
      <c r="H187" s="2" t="n"/>
      <c r="I187" s="2" t="n"/>
    </row>
    <row r="188" ht="15.75" customHeight="1">
      <c r="H188" s="2" t="n"/>
      <c r="I188" s="2" t="n"/>
    </row>
    <row r="189" ht="15.75" customHeight="1">
      <c r="H189" s="2" t="n"/>
      <c r="I189" s="2" t="n"/>
    </row>
    <row r="190" ht="15.75" customHeight="1">
      <c r="H190" s="2" t="n"/>
      <c r="I190" s="2" t="n"/>
    </row>
    <row r="191" ht="15.75" customHeight="1">
      <c r="H191" s="2" t="n"/>
      <c r="I191" s="2" t="n"/>
    </row>
    <row r="192" ht="15.75" customHeight="1">
      <c r="H192" s="2" t="n"/>
      <c r="I192" s="2" t="n"/>
    </row>
    <row r="193" ht="15.75" customHeight="1">
      <c r="H193" s="2" t="n"/>
      <c r="I193" s="2" t="n"/>
    </row>
    <row r="194" ht="15.75" customHeight="1">
      <c r="H194" s="2" t="n"/>
      <c r="I194" s="2" t="n"/>
    </row>
    <row r="195" ht="15.75" customHeight="1">
      <c r="H195" s="2" t="n"/>
      <c r="I195" s="2" t="n"/>
    </row>
    <row r="196" ht="15.75" customHeight="1">
      <c r="H196" s="2" t="n"/>
      <c r="I196" s="2" t="n"/>
    </row>
    <row r="197" ht="15.75" customHeight="1">
      <c r="H197" s="2" t="n"/>
      <c r="I197" s="2" t="n"/>
    </row>
    <row r="198" ht="15.75" customHeight="1">
      <c r="H198" s="2" t="n"/>
      <c r="I198" s="2" t="n"/>
    </row>
    <row r="199" ht="15.75" customHeight="1">
      <c r="H199" s="2" t="n"/>
      <c r="I199" s="2" t="n"/>
    </row>
    <row r="200" ht="15.75" customHeight="1">
      <c r="H200" s="2" t="n"/>
      <c r="I200" s="2" t="n"/>
    </row>
    <row r="201" ht="15.75" customHeight="1">
      <c r="H201" s="2" t="n"/>
      <c r="I201" s="2" t="n"/>
    </row>
    <row r="202" ht="15.75" customHeight="1">
      <c r="H202" s="2" t="n"/>
      <c r="I202" s="2" t="n"/>
    </row>
    <row r="203" ht="15.75" customHeight="1">
      <c r="H203" s="2" t="n"/>
      <c r="I203" s="2" t="n"/>
    </row>
    <row r="204" ht="15.75" customHeight="1">
      <c r="H204" s="2" t="n"/>
      <c r="I204" s="2" t="n"/>
    </row>
    <row r="205" ht="15.75" customHeight="1">
      <c r="H205" s="2" t="n"/>
      <c r="I205" s="2" t="n"/>
    </row>
    <row r="206" ht="15.75" customHeight="1">
      <c r="H206" s="2" t="n"/>
      <c r="I206" s="2" t="n"/>
    </row>
    <row r="207" ht="15.75" customHeight="1">
      <c r="H207" s="2" t="n"/>
      <c r="I207" s="2" t="n"/>
    </row>
    <row r="208" ht="15.75" customHeight="1">
      <c r="H208" s="2" t="n"/>
      <c r="I208" s="2" t="n"/>
    </row>
    <row r="209" ht="15.75" customHeight="1">
      <c r="H209" s="2" t="n"/>
      <c r="I209" s="2" t="n"/>
    </row>
    <row r="210" ht="15.75" customHeight="1">
      <c r="H210" s="2" t="n"/>
      <c r="I210" s="2" t="n"/>
    </row>
    <row r="211" ht="15.75" customHeight="1">
      <c r="H211" s="2" t="n"/>
      <c r="I211" s="2" t="n"/>
    </row>
    <row r="212" ht="15.75" customHeight="1">
      <c r="H212" s="2" t="n"/>
      <c r="I212" s="2" t="n"/>
    </row>
    <row r="213" ht="15.75" customHeight="1">
      <c r="H213" s="2" t="n"/>
      <c r="I213" s="2" t="n"/>
    </row>
    <row r="214" ht="15.75" customHeight="1">
      <c r="H214" s="2" t="n"/>
      <c r="I214" s="2" t="n"/>
    </row>
    <row r="215" ht="15.75" customHeight="1">
      <c r="H215" s="2" t="n"/>
      <c r="I215" s="2" t="n"/>
    </row>
    <row r="216" ht="15.75" customHeight="1">
      <c r="H216" s="2" t="n"/>
      <c r="I216" s="2" t="n"/>
    </row>
    <row r="217" ht="15.75" customHeight="1">
      <c r="H217" s="2" t="n"/>
      <c r="I217" s="2" t="n"/>
    </row>
    <row r="218" ht="15.75" customHeight="1">
      <c r="H218" s="2" t="n"/>
      <c r="I218" s="2" t="n"/>
    </row>
    <row r="219" ht="15.75" customHeight="1">
      <c r="H219" s="2" t="n"/>
      <c r="I219" s="2" t="n"/>
    </row>
    <row r="220" ht="15.75" customHeight="1">
      <c r="H220" s="2" t="n"/>
      <c r="I220" s="2" t="n"/>
    </row>
    <row r="221" ht="15.75" customHeight="1">
      <c r="H221" s="2" t="n"/>
      <c r="I221" s="2" t="n"/>
    </row>
    <row r="222" ht="15.75" customHeight="1">
      <c r="H222" s="2" t="n"/>
      <c r="I222" s="2" t="n"/>
    </row>
    <row r="223" ht="15.75" customHeight="1">
      <c r="H223" s="2" t="n"/>
      <c r="I223" s="2" t="n"/>
    </row>
    <row r="224" ht="15.75" customHeight="1">
      <c r="H224" s="2" t="n"/>
      <c r="I224" s="2" t="n"/>
    </row>
    <row r="225" ht="15.75" customHeight="1">
      <c r="H225" s="2" t="n"/>
      <c r="I225" s="2" t="n"/>
    </row>
    <row r="226" ht="15.75" customHeight="1">
      <c r="H226" s="2" t="n"/>
      <c r="I226" s="2" t="n"/>
    </row>
    <row r="227" ht="15.75" customHeight="1">
      <c r="H227" s="2" t="n"/>
      <c r="I227" s="2" t="n"/>
    </row>
    <row r="228" ht="15.75" customHeight="1">
      <c r="H228" s="2" t="n"/>
      <c r="I228" s="2" t="n"/>
    </row>
    <row r="229" ht="15.75" customHeight="1">
      <c r="H229" s="2" t="n"/>
      <c r="I229" s="2" t="n"/>
    </row>
    <row r="230" ht="15.75" customHeight="1">
      <c r="H230" s="2" t="n"/>
      <c r="I230" s="2" t="n"/>
    </row>
    <row r="231" ht="15.75" customHeight="1">
      <c r="H231" s="2" t="n"/>
      <c r="I231" s="2" t="n"/>
    </row>
    <row r="232" ht="15.75" customHeight="1">
      <c r="H232" s="2" t="n"/>
      <c r="I232" s="2" t="n"/>
    </row>
    <row r="233" ht="15.75" customHeight="1">
      <c r="H233" s="2" t="n"/>
      <c r="I233" s="2" t="n"/>
    </row>
    <row r="234" ht="15.75" customHeight="1">
      <c r="H234" s="2" t="n"/>
      <c r="I234" s="2" t="n"/>
    </row>
    <row r="235" ht="15.75" customHeight="1">
      <c r="H235" s="2" t="n"/>
      <c r="I235" s="2" t="n"/>
    </row>
    <row r="236" ht="15.75" customHeight="1">
      <c r="H236" s="2" t="n"/>
      <c r="I236" s="2" t="n"/>
    </row>
    <row r="237" ht="15.75" customHeight="1">
      <c r="H237" s="2" t="n"/>
      <c r="I237" s="2" t="n"/>
    </row>
    <row r="238" ht="15.75" customHeight="1">
      <c r="H238" s="2" t="n"/>
      <c r="I238" s="2" t="n"/>
    </row>
    <row r="239" ht="15.75" customHeight="1">
      <c r="H239" s="2" t="n"/>
      <c r="I239" s="2" t="n"/>
    </row>
    <row r="240" ht="15.75" customHeight="1">
      <c r="H240" s="2" t="n"/>
      <c r="I240" s="2" t="n"/>
    </row>
    <row r="241" ht="15.75" customHeight="1">
      <c r="H241" s="2" t="n"/>
      <c r="I241" s="2" t="n"/>
    </row>
    <row r="242" ht="15.75" customHeight="1">
      <c r="H242" s="2" t="n"/>
      <c r="I242" s="2" t="n"/>
    </row>
    <row r="243" ht="15.75" customHeight="1">
      <c r="H243" s="2" t="n"/>
      <c r="I243" s="2" t="n"/>
    </row>
    <row r="244" ht="15.75" customHeight="1">
      <c r="H244" s="2" t="n"/>
      <c r="I244" s="2" t="n"/>
    </row>
    <row r="245" ht="15.75" customHeight="1">
      <c r="H245" s="2" t="n"/>
      <c r="I245" s="2" t="n"/>
    </row>
    <row r="246" ht="15.75" customHeight="1">
      <c r="H246" s="2" t="n"/>
      <c r="I246" s="2" t="n"/>
    </row>
    <row r="247" ht="15.75" customHeight="1">
      <c r="H247" s="2" t="n"/>
      <c r="I247" s="2" t="n"/>
    </row>
    <row r="248" ht="15.75" customHeight="1">
      <c r="H248" s="2" t="n"/>
      <c r="I248" s="2" t="n"/>
    </row>
    <row r="249" ht="15.75" customHeight="1">
      <c r="H249" s="2" t="n"/>
      <c r="I249" s="2" t="n"/>
    </row>
    <row r="250" ht="15.75" customHeight="1">
      <c r="H250" s="2" t="n"/>
      <c r="I250" s="2" t="n"/>
    </row>
    <row r="251" ht="15.75" customHeight="1">
      <c r="H251" s="2" t="n"/>
      <c r="I251" s="2" t="n"/>
    </row>
    <row r="252" ht="15.75" customHeight="1">
      <c r="H252" s="2" t="n"/>
      <c r="I252" s="2" t="n"/>
    </row>
    <row r="253" ht="15.75" customHeight="1">
      <c r="H253" s="2" t="n"/>
      <c r="I253" s="2" t="n"/>
    </row>
    <row r="254" ht="15.75" customHeight="1">
      <c r="H254" s="2" t="n"/>
      <c r="I254" s="2" t="n"/>
    </row>
    <row r="255" ht="15.75" customHeight="1">
      <c r="H255" s="2" t="n"/>
      <c r="I255" s="2" t="n"/>
    </row>
    <row r="256" ht="15.75" customHeight="1">
      <c r="H256" s="2" t="n"/>
      <c r="I256" s="2" t="n"/>
    </row>
    <row r="257" ht="15.75" customHeight="1">
      <c r="H257" s="2" t="n"/>
      <c r="I257" s="2" t="n"/>
    </row>
    <row r="258" ht="15.75" customHeight="1">
      <c r="H258" s="2" t="n"/>
      <c r="I258" s="2" t="n"/>
    </row>
    <row r="259" ht="15.75" customHeight="1">
      <c r="H259" s="2" t="n"/>
      <c r="I259" s="2" t="n"/>
    </row>
    <row r="260" ht="15.75" customHeight="1">
      <c r="H260" s="2" t="n"/>
      <c r="I260" s="2" t="n"/>
    </row>
    <row r="261" ht="15.75" customHeight="1">
      <c r="H261" s="2" t="n"/>
      <c r="I261" s="2" t="n"/>
    </row>
    <row r="262" ht="15.75" customHeight="1">
      <c r="H262" s="2" t="n"/>
      <c r="I262" s="2" t="n"/>
    </row>
    <row r="263" ht="15.75" customHeight="1">
      <c r="H263" s="2" t="n"/>
      <c r="I263" s="2" t="n"/>
    </row>
    <row r="264" ht="15.75" customHeight="1">
      <c r="H264" s="2" t="n"/>
      <c r="I264" s="2" t="n"/>
    </row>
    <row r="265" ht="15.75" customHeight="1">
      <c r="H265" s="2" t="n"/>
      <c r="I265" s="2" t="n"/>
    </row>
    <row r="266" ht="15.75" customHeight="1">
      <c r="H266" s="2" t="n"/>
      <c r="I266" s="2" t="n"/>
    </row>
    <row r="267" ht="15.75" customHeight="1">
      <c r="H267" s="2" t="n"/>
      <c r="I267" s="2" t="n"/>
    </row>
    <row r="268" ht="15.75" customHeight="1">
      <c r="H268" s="2" t="n"/>
      <c r="I268" s="2" t="n"/>
    </row>
    <row r="269" ht="15.75" customHeight="1">
      <c r="H269" s="2" t="n"/>
      <c r="I269" s="2" t="n"/>
    </row>
    <row r="270" ht="15.75" customHeight="1">
      <c r="H270" s="2" t="n"/>
      <c r="I270" s="2" t="n"/>
    </row>
    <row r="271" ht="15.75" customHeight="1">
      <c r="H271" s="2" t="n"/>
      <c r="I271" s="2" t="n"/>
    </row>
    <row r="272" ht="15.75" customHeight="1">
      <c r="H272" s="2" t="n"/>
      <c r="I272" s="2" t="n"/>
    </row>
    <row r="273" ht="15.75" customHeight="1">
      <c r="H273" s="2" t="n"/>
      <c r="I273" s="2" t="n"/>
    </row>
    <row r="274" ht="15.75" customHeight="1">
      <c r="H274" s="2" t="n"/>
      <c r="I274" s="2" t="n"/>
    </row>
    <row r="275" ht="15.75" customHeight="1">
      <c r="H275" s="2" t="n"/>
      <c r="I275" s="2" t="n"/>
    </row>
    <row r="276" ht="15.75" customHeight="1">
      <c r="H276" s="2" t="n"/>
      <c r="I276" s="2" t="n"/>
    </row>
    <row r="277" ht="15.75" customHeight="1">
      <c r="H277" s="2" t="n"/>
      <c r="I277" s="2" t="n"/>
    </row>
    <row r="278" ht="15.75" customHeight="1">
      <c r="H278" s="2" t="n"/>
      <c r="I278" s="2" t="n"/>
    </row>
    <row r="279" ht="15.75" customHeight="1">
      <c r="H279" s="2" t="n"/>
      <c r="I279" s="2" t="n"/>
    </row>
    <row r="280" ht="15.75" customHeight="1">
      <c r="H280" s="2" t="n"/>
      <c r="I280" s="2" t="n"/>
    </row>
    <row r="281" ht="15.75" customHeight="1">
      <c r="H281" s="2" t="n"/>
      <c r="I281" s="2" t="n"/>
    </row>
    <row r="282" ht="15.75" customHeight="1">
      <c r="H282" s="2" t="n"/>
      <c r="I282" s="2" t="n"/>
    </row>
    <row r="283" ht="15.75" customHeight="1">
      <c r="H283" s="2" t="n"/>
      <c r="I283" s="2" t="n"/>
    </row>
    <row r="284" ht="15.75" customHeight="1">
      <c r="H284" s="2" t="n"/>
      <c r="I284" s="2" t="n"/>
    </row>
    <row r="285" ht="15.75" customHeight="1">
      <c r="H285" s="2" t="n"/>
      <c r="I285" s="2" t="n"/>
    </row>
    <row r="286" ht="15.75" customHeight="1">
      <c r="H286" s="2" t="n"/>
      <c r="I286" s="2" t="n"/>
    </row>
    <row r="287" ht="15.75" customHeight="1">
      <c r="H287" s="2" t="n"/>
      <c r="I287" s="2" t="n"/>
    </row>
    <row r="288" ht="15.75" customHeight="1">
      <c r="H288" s="2" t="n"/>
      <c r="I288" s="2" t="n"/>
    </row>
    <row r="289" ht="15.75" customHeight="1">
      <c r="H289" s="2" t="n"/>
      <c r="I289" s="2" t="n"/>
    </row>
    <row r="290" ht="15.75" customHeight="1">
      <c r="H290" s="2" t="n"/>
      <c r="I290" s="2" t="n"/>
    </row>
    <row r="291" ht="15.75" customHeight="1">
      <c r="H291" s="2" t="n"/>
      <c r="I291" s="2" t="n"/>
    </row>
    <row r="292" ht="15.75" customHeight="1">
      <c r="H292" s="2" t="n"/>
      <c r="I292" s="2" t="n"/>
    </row>
    <row r="293" ht="15.75" customHeight="1">
      <c r="H293" s="2" t="n"/>
      <c r="I293" s="2" t="n"/>
    </row>
    <row r="294" ht="15.75" customHeight="1">
      <c r="H294" s="2" t="n"/>
      <c r="I294" s="2" t="n"/>
    </row>
    <row r="295" ht="15.75" customHeight="1">
      <c r="H295" s="2" t="n"/>
      <c r="I295" s="2" t="n"/>
    </row>
    <row r="296" ht="15.75" customHeight="1">
      <c r="H296" s="2" t="n"/>
      <c r="I296" s="2" t="n"/>
    </row>
    <row r="297" ht="15.75" customHeight="1">
      <c r="H297" s="2" t="n"/>
      <c r="I297" s="2" t="n"/>
    </row>
    <row r="298" ht="15.75" customHeight="1">
      <c r="H298" s="2" t="n"/>
      <c r="I298" s="2" t="n"/>
    </row>
    <row r="299" ht="15.75" customHeight="1">
      <c r="H299" s="2" t="n"/>
      <c r="I299" s="2" t="n"/>
    </row>
    <row r="300" ht="15.75" customHeight="1">
      <c r="H300" s="2" t="n"/>
      <c r="I300" s="2" t="n"/>
    </row>
    <row r="301" ht="15.75" customHeight="1">
      <c r="H301" s="2" t="n"/>
      <c r="I301" s="2" t="n"/>
    </row>
    <row r="302" ht="15.75" customHeight="1">
      <c r="H302" s="2" t="n"/>
      <c r="I302" s="2" t="n"/>
    </row>
    <row r="303" ht="15.75" customHeight="1">
      <c r="H303" s="2" t="n"/>
      <c r="I303" s="2" t="n"/>
    </row>
    <row r="304" ht="15.75" customHeight="1">
      <c r="H304" s="2" t="n"/>
      <c r="I304" s="2" t="n"/>
    </row>
    <row r="305" ht="15.75" customHeight="1">
      <c r="H305" s="2" t="n"/>
      <c r="I305" s="2" t="n"/>
    </row>
    <row r="306" ht="15.75" customHeight="1">
      <c r="H306" s="2" t="n"/>
      <c r="I306" s="2" t="n"/>
    </row>
    <row r="307" ht="15.75" customHeight="1">
      <c r="H307" s="2" t="n"/>
      <c r="I307" s="2" t="n"/>
    </row>
    <row r="308" ht="15.75" customHeight="1">
      <c r="H308" s="2" t="n"/>
      <c r="I308" s="2" t="n"/>
    </row>
    <row r="309" ht="15.75" customHeight="1">
      <c r="H309" s="2" t="n"/>
      <c r="I309" s="2" t="n"/>
    </row>
    <row r="310" ht="15.75" customHeight="1">
      <c r="H310" s="2" t="n"/>
      <c r="I310" s="2" t="n"/>
    </row>
    <row r="311" ht="15.75" customHeight="1">
      <c r="H311" s="2" t="n"/>
      <c r="I311" s="2" t="n"/>
    </row>
    <row r="312" ht="15.75" customHeight="1">
      <c r="H312" s="2" t="n"/>
      <c r="I312" s="2" t="n"/>
    </row>
    <row r="313" ht="15.75" customHeight="1">
      <c r="H313" s="2" t="n"/>
      <c r="I313" s="2" t="n"/>
    </row>
    <row r="314" ht="15.75" customHeight="1">
      <c r="H314" s="2" t="n"/>
      <c r="I314" s="2" t="n"/>
    </row>
    <row r="315" ht="15.75" customHeight="1">
      <c r="H315" s="2" t="n"/>
      <c r="I315" s="2" t="n"/>
    </row>
    <row r="316" ht="15.75" customHeight="1">
      <c r="H316" s="2" t="n"/>
      <c r="I316" s="2" t="n"/>
    </row>
    <row r="317" ht="15.75" customHeight="1">
      <c r="H317" s="2" t="n"/>
      <c r="I317" s="2" t="n"/>
    </row>
    <row r="318" ht="15.75" customHeight="1">
      <c r="H318" s="2" t="n"/>
      <c r="I318" s="2" t="n"/>
    </row>
    <row r="319" ht="15.75" customHeight="1">
      <c r="H319" s="2" t="n"/>
      <c r="I319" s="2" t="n"/>
    </row>
    <row r="320" ht="15.75" customHeight="1">
      <c r="H320" s="2" t="n"/>
      <c r="I320" s="2" t="n"/>
    </row>
    <row r="321" ht="15.75" customHeight="1">
      <c r="H321" s="2" t="n"/>
      <c r="I321" s="2" t="n"/>
    </row>
    <row r="322" ht="15.75" customHeight="1">
      <c r="H322" s="2" t="n"/>
      <c r="I322" s="2" t="n"/>
    </row>
    <row r="323" ht="15.75" customHeight="1">
      <c r="H323" s="2" t="n"/>
      <c r="I323" s="2" t="n"/>
    </row>
    <row r="324" ht="15.75" customHeight="1">
      <c r="H324" s="2" t="n"/>
      <c r="I324" s="2" t="n"/>
    </row>
    <row r="325" ht="15.75" customHeight="1">
      <c r="H325" s="2" t="n"/>
      <c r="I325" s="2" t="n"/>
    </row>
    <row r="326" ht="15.75" customHeight="1">
      <c r="H326" s="2" t="n"/>
      <c r="I326" s="2" t="n"/>
    </row>
    <row r="327" ht="15.75" customHeight="1">
      <c r="H327" s="2" t="n"/>
      <c r="I327" s="2" t="n"/>
    </row>
    <row r="328" ht="15.75" customHeight="1">
      <c r="H328" s="2" t="n"/>
      <c r="I328" s="2" t="n"/>
    </row>
    <row r="329" ht="15.75" customHeight="1">
      <c r="H329" s="2" t="n"/>
      <c r="I329" s="2" t="n"/>
    </row>
    <row r="330" ht="15.75" customHeight="1">
      <c r="H330" s="2" t="n"/>
      <c r="I330" s="2" t="n"/>
    </row>
    <row r="331" ht="15.75" customHeight="1">
      <c r="H331" s="2" t="n"/>
      <c r="I331" s="2" t="n"/>
    </row>
    <row r="332" ht="15.75" customHeight="1">
      <c r="H332" s="2" t="n"/>
      <c r="I332" s="2" t="n"/>
    </row>
    <row r="333" ht="15.75" customHeight="1">
      <c r="H333" s="2" t="n"/>
      <c r="I333" s="2" t="n"/>
    </row>
    <row r="334" ht="15.75" customHeight="1">
      <c r="H334" s="2" t="n"/>
      <c r="I334" s="2" t="n"/>
    </row>
    <row r="335" ht="15.75" customHeight="1">
      <c r="H335" s="2" t="n"/>
      <c r="I335" s="2" t="n"/>
    </row>
    <row r="336" ht="15.75" customHeight="1">
      <c r="H336" s="2" t="n"/>
      <c r="I336" s="2" t="n"/>
    </row>
    <row r="337" ht="15.75" customHeight="1">
      <c r="H337" s="2" t="n"/>
      <c r="I337" s="2" t="n"/>
    </row>
    <row r="338" ht="15.75" customHeight="1">
      <c r="H338" s="2" t="n"/>
      <c r="I338" s="2" t="n"/>
    </row>
    <row r="339" ht="15.75" customHeight="1">
      <c r="H339" s="2" t="n"/>
      <c r="I339" s="2" t="n"/>
    </row>
    <row r="340" ht="15.75" customHeight="1">
      <c r="H340" s="2" t="n"/>
      <c r="I340" s="2" t="n"/>
    </row>
    <row r="341" ht="15.75" customHeight="1">
      <c r="H341" s="2" t="n"/>
      <c r="I341" s="2" t="n"/>
    </row>
    <row r="342" ht="15.75" customHeight="1">
      <c r="H342" s="2" t="n"/>
      <c r="I342" s="2" t="n"/>
    </row>
    <row r="343" ht="15.75" customHeight="1">
      <c r="H343" s="2" t="n"/>
      <c r="I343" s="2" t="n"/>
    </row>
    <row r="344" ht="15.75" customHeight="1">
      <c r="H344" s="2" t="n"/>
      <c r="I344" s="2" t="n"/>
    </row>
    <row r="345" ht="15.75" customHeight="1">
      <c r="H345" s="2" t="n"/>
      <c r="I345" s="2" t="n"/>
    </row>
    <row r="346" ht="15.75" customHeight="1">
      <c r="H346" s="2" t="n"/>
      <c r="I346" s="2" t="n"/>
    </row>
    <row r="347" ht="15.75" customHeight="1">
      <c r="H347" s="2" t="n"/>
      <c r="I347" s="2" t="n"/>
    </row>
    <row r="348" ht="15.75" customHeight="1">
      <c r="H348" s="2" t="n"/>
      <c r="I348" s="2" t="n"/>
    </row>
    <row r="349" ht="15.75" customHeight="1">
      <c r="H349" s="2" t="n"/>
      <c r="I349" s="2" t="n"/>
    </row>
    <row r="350" ht="15.75" customHeight="1">
      <c r="H350" s="2" t="n"/>
      <c r="I350" s="2" t="n"/>
    </row>
    <row r="351" ht="15.75" customHeight="1">
      <c r="H351" s="2" t="n"/>
      <c r="I351" s="2" t="n"/>
    </row>
    <row r="352" ht="15.75" customHeight="1">
      <c r="H352" s="2" t="n"/>
      <c r="I352" s="2" t="n"/>
    </row>
    <row r="353" ht="15.75" customHeight="1">
      <c r="H353" s="2" t="n"/>
      <c r="I353" s="2" t="n"/>
    </row>
    <row r="354" ht="15.75" customHeight="1">
      <c r="H354" s="2" t="n"/>
      <c r="I354" s="2" t="n"/>
    </row>
    <row r="355" ht="15.75" customHeight="1">
      <c r="H355" s="2" t="n"/>
      <c r="I355" s="2" t="n"/>
    </row>
    <row r="356" ht="15.75" customHeight="1">
      <c r="H356" s="2" t="n"/>
      <c r="I356" s="2" t="n"/>
    </row>
    <row r="357" ht="15.75" customHeight="1">
      <c r="H357" s="2" t="n"/>
      <c r="I357" s="2" t="n"/>
    </row>
    <row r="358" ht="15.75" customHeight="1">
      <c r="H358" s="2" t="n"/>
      <c r="I358" s="2" t="n"/>
    </row>
    <row r="359" ht="15.75" customHeight="1">
      <c r="H359" s="2" t="n"/>
      <c r="I359" s="2" t="n"/>
    </row>
    <row r="360" ht="15.75" customHeight="1">
      <c r="H360" s="2" t="n"/>
      <c r="I360" s="2" t="n"/>
    </row>
    <row r="361" ht="15.75" customHeight="1">
      <c r="H361" s="2" t="n"/>
      <c r="I361" s="2" t="n"/>
    </row>
    <row r="362" ht="15.75" customHeight="1">
      <c r="H362" s="2" t="n"/>
      <c r="I362" s="2" t="n"/>
    </row>
    <row r="363" ht="15.75" customHeight="1">
      <c r="H363" s="2" t="n"/>
      <c r="I363" s="2" t="n"/>
    </row>
    <row r="364" ht="15.75" customHeight="1">
      <c r="H364" s="2" t="n"/>
      <c r="I364" s="2" t="n"/>
    </row>
    <row r="365" ht="15.75" customHeight="1">
      <c r="H365" s="2" t="n"/>
      <c r="I365" s="2" t="n"/>
    </row>
    <row r="366" ht="15.75" customHeight="1">
      <c r="H366" s="2" t="n"/>
      <c r="I366" s="2" t="n"/>
    </row>
    <row r="367" ht="15.75" customHeight="1">
      <c r="H367" s="2" t="n"/>
      <c r="I367" s="2" t="n"/>
    </row>
    <row r="368" ht="15.75" customHeight="1">
      <c r="H368" s="2" t="n"/>
      <c r="I368" s="2" t="n"/>
    </row>
    <row r="369" ht="15.75" customHeight="1">
      <c r="H369" s="2" t="n"/>
      <c r="I369" s="2" t="n"/>
    </row>
    <row r="370" ht="15.75" customHeight="1">
      <c r="H370" s="2" t="n"/>
      <c r="I370" s="2" t="n"/>
    </row>
    <row r="371" ht="15.75" customHeight="1">
      <c r="H371" s="2" t="n"/>
      <c r="I371" s="2" t="n"/>
    </row>
    <row r="372" ht="15.75" customHeight="1">
      <c r="H372" s="2" t="n"/>
      <c r="I372" s="2" t="n"/>
    </row>
    <row r="373" ht="15.75" customHeight="1">
      <c r="H373" s="2" t="n"/>
      <c r="I373" s="2" t="n"/>
    </row>
    <row r="374" ht="15.75" customHeight="1">
      <c r="H374" s="2" t="n"/>
      <c r="I374" s="2" t="n"/>
    </row>
    <row r="375" ht="15.75" customHeight="1">
      <c r="H375" s="2" t="n"/>
      <c r="I375" s="2" t="n"/>
    </row>
    <row r="376" ht="15.75" customHeight="1">
      <c r="H376" s="2" t="n"/>
      <c r="I376" s="2" t="n"/>
    </row>
    <row r="377" ht="15.75" customHeight="1">
      <c r="H377" s="2" t="n"/>
      <c r="I377" s="2" t="n"/>
    </row>
    <row r="378" ht="15.75" customHeight="1">
      <c r="H378" s="2" t="n"/>
      <c r="I378" s="2" t="n"/>
    </row>
    <row r="379" ht="15.75" customHeight="1">
      <c r="H379" s="2" t="n"/>
      <c r="I379" s="2" t="n"/>
    </row>
    <row r="380" ht="15.75" customHeight="1">
      <c r="H380" s="2" t="n"/>
      <c r="I380" s="2" t="n"/>
    </row>
    <row r="381" ht="15.75" customHeight="1">
      <c r="H381" s="2" t="n"/>
      <c r="I381" s="2" t="n"/>
    </row>
    <row r="382" ht="15.75" customHeight="1">
      <c r="H382" s="2" t="n"/>
      <c r="I382" s="2" t="n"/>
    </row>
    <row r="383" ht="15.75" customHeight="1">
      <c r="H383" s="2" t="n"/>
      <c r="I383" s="2" t="n"/>
    </row>
    <row r="384" ht="15.75" customHeight="1">
      <c r="H384" s="2" t="n"/>
      <c r="I384" s="2" t="n"/>
    </row>
    <row r="385" ht="15.75" customHeight="1">
      <c r="H385" s="2" t="n"/>
      <c r="I385" s="2" t="n"/>
    </row>
    <row r="386" ht="15.75" customHeight="1">
      <c r="H386" s="2" t="n"/>
      <c r="I386" s="2" t="n"/>
    </row>
    <row r="387" ht="15.75" customHeight="1">
      <c r="H387" s="2" t="n"/>
      <c r="I387" s="2" t="n"/>
    </row>
    <row r="388" ht="15.75" customHeight="1">
      <c r="H388" s="2" t="n"/>
      <c r="I388" s="2" t="n"/>
    </row>
    <row r="389" ht="15.75" customHeight="1">
      <c r="H389" s="2" t="n"/>
      <c r="I389" s="2" t="n"/>
    </row>
    <row r="390" ht="15.75" customHeight="1">
      <c r="H390" s="2" t="n"/>
      <c r="I390" s="2" t="n"/>
    </row>
    <row r="391" ht="15.75" customHeight="1">
      <c r="H391" s="2" t="n"/>
      <c r="I391" s="2" t="n"/>
    </row>
    <row r="392" ht="15.75" customHeight="1">
      <c r="H392" s="2" t="n"/>
      <c r="I392" s="2" t="n"/>
    </row>
    <row r="393" ht="15.75" customHeight="1">
      <c r="H393" s="2" t="n"/>
      <c r="I393" s="2" t="n"/>
    </row>
    <row r="394" ht="15.75" customHeight="1">
      <c r="H394" s="2" t="n"/>
      <c r="I394" s="2" t="n"/>
    </row>
    <row r="395" ht="15.75" customHeight="1">
      <c r="H395" s="2" t="n"/>
      <c r="I395" s="2" t="n"/>
    </row>
    <row r="396" ht="15.75" customHeight="1">
      <c r="H396" s="2" t="n"/>
      <c r="I396" s="2" t="n"/>
    </row>
    <row r="397" ht="15.75" customHeight="1">
      <c r="H397" s="2" t="n"/>
      <c r="I397" s="2" t="n"/>
    </row>
    <row r="398" ht="15.75" customHeight="1">
      <c r="H398" s="2" t="n"/>
      <c r="I398" s="2" t="n"/>
    </row>
    <row r="399" ht="15.75" customHeight="1">
      <c r="H399" s="2" t="n"/>
      <c r="I399" s="2" t="n"/>
    </row>
    <row r="400" ht="15.75" customHeight="1">
      <c r="H400" s="2" t="n"/>
      <c r="I400" s="2" t="n"/>
    </row>
    <row r="401" ht="15.75" customHeight="1">
      <c r="H401" s="2" t="n"/>
      <c r="I401" s="2" t="n"/>
    </row>
    <row r="402" ht="15.75" customHeight="1">
      <c r="H402" s="2" t="n"/>
      <c r="I402" s="2" t="n"/>
    </row>
    <row r="403" ht="15.75" customHeight="1">
      <c r="H403" s="2" t="n"/>
      <c r="I403" s="2" t="n"/>
    </row>
    <row r="404" ht="15.75" customHeight="1">
      <c r="H404" s="2" t="n"/>
      <c r="I404" s="2" t="n"/>
    </row>
    <row r="405" ht="15.75" customHeight="1">
      <c r="H405" s="2" t="n"/>
      <c r="I405" s="2" t="n"/>
    </row>
    <row r="406" ht="15.75" customHeight="1">
      <c r="H406" s="2" t="n"/>
      <c r="I406" s="2" t="n"/>
    </row>
    <row r="407" ht="15.75" customHeight="1">
      <c r="H407" s="2" t="n"/>
      <c r="I407" s="2" t="n"/>
    </row>
    <row r="408" ht="15.75" customHeight="1">
      <c r="H408" s="2" t="n"/>
      <c r="I408" s="2" t="n"/>
    </row>
    <row r="409" ht="15.75" customHeight="1">
      <c r="H409" s="2" t="n"/>
      <c r="I409" s="2" t="n"/>
    </row>
    <row r="410" ht="15.75" customHeight="1">
      <c r="H410" s="2" t="n"/>
      <c r="I410" s="2" t="n"/>
    </row>
    <row r="411" ht="15.75" customHeight="1">
      <c r="H411" s="2" t="n"/>
      <c r="I411" s="2" t="n"/>
    </row>
    <row r="412" ht="15.75" customHeight="1">
      <c r="H412" s="2" t="n"/>
      <c r="I412" s="2" t="n"/>
    </row>
    <row r="413" ht="15.75" customHeight="1">
      <c r="H413" s="2" t="n"/>
      <c r="I413" s="2" t="n"/>
    </row>
    <row r="414" ht="15.75" customHeight="1">
      <c r="H414" s="2" t="n"/>
      <c r="I414" s="2" t="n"/>
    </row>
    <row r="415" ht="15.75" customHeight="1">
      <c r="H415" s="2" t="n"/>
      <c r="I415" s="2" t="n"/>
    </row>
    <row r="416" ht="15.75" customHeight="1">
      <c r="H416" s="2" t="n"/>
      <c r="I416" s="2" t="n"/>
    </row>
    <row r="417" ht="15.75" customHeight="1">
      <c r="H417" s="2" t="n"/>
      <c r="I417" s="2" t="n"/>
    </row>
    <row r="418" ht="15.75" customHeight="1">
      <c r="H418" s="2" t="n"/>
      <c r="I418" s="2" t="n"/>
    </row>
    <row r="419" ht="15.75" customHeight="1">
      <c r="H419" s="2" t="n"/>
      <c r="I419" s="2" t="n"/>
    </row>
    <row r="420" ht="15.75" customHeight="1">
      <c r="H420" s="2" t="n"/>
      <c r="I420" s="2" t="n"/>
    </row>
    <row r="421" ht="15.75" customHeight="1">
      <c r="H421" s="2" t="n"/>
      <c r="I421" s="2" t="n"/>
    </row>
    <row r="422" ht="15.75" customHeight="1">
      <c r="H422" s="2" t="n"/>
      <c r="I422" s="2" t="n"/>
    </row>
    <row r="423" ht="15.75" customHeight="1">
      <c r="H423" s="2" t="n"/>
      <c r="I423" s="2" t="n"/>
    </row>
    <row r="424" ht="15.75" customHeight="1">
      <c r="H424" s="2" t="n"/>
      <c r="I424" s="2" t="n"/>
    </row>
    <row r="425" ht="15.75" customHeight="1">
      <c r="H425" s="2" t="n"/>
      <c r="I425" s="2" t="n"/>
    </row>
    <row r="426" ht="15.75" customHeight="1">
      <c r="H426" s="2" t="n"/>
      <c r="I426" s="2" t="n"/>
    </row>
    <row r="427" ht="15.75" customHeight="1">
      <c r="H427" s="2" t="n"/>
      <c r="I427" s="2" t="n"/>
    </row>
    <row r="428" ht="15.75" customHeight="1">
      <c r="H428" s="2" t="n"/>
      <c r="I428" s="2" t="n"/>
    </row>
    <row r="429" ht="15.75" customHeight="1">
      <c r="H429" s="2" t="n"/>
      <c r="I429" s="2" t="n"/>
    </row>
    <row r="430" ht="15.75" customHeight="1">
      <c r="H430" s="2" t="n"/>
      <c r="I430" s="2" t="n"/>
    </row>
    <row r="431" ht="15.75" customHeight="1">
      <c r="H431" s="2" t="n"/>
      <c r="I431" s="2" t="n"/>
    </row>
    <row r="432" ht="15.75" customHeight="1">
      <c r="H432" s="2" t="n"/>
      <c r="I432" s="2" t="n"/>
    </row>
    <row r="433" ht="15.75" customHeight="1">
      <c r="H433" s="2" t="n"/>
      <c r="I433" s="2" t="n"/>
    </row>
    <row r="434" ht="15.75" customHeight="1">
      <c r="H434" s="2" t="n"/>
      <c r="I434" s="2" t="n"/>
    </row>
    <row r="435" ht="15.75" customHeight="1">
      <c r="H435" s="2" t="n"/>
      <c r="I435" s="2" t="n"/>
    </row>
    <row r="436" ht="15.75" customHeight="1">
      <c r="H436" s="2" t="n"/>
      <c r="I436" s="2" t="n"/>
    </row>
    <row r="437" ht="15.75" customHeight="1">
      <c r="H437" s="2" t="n"/>
      <c r="I437" s="2" t="n"/>
    </row>
    <row r="438" ht="15.75" customHeight="1">
      <c r="H438" s="2" t="n"/>
      <c r="I438" s="2" t="n"/>
    </row>
    <row r="439" ht="15.75" customHeight="1">
      <c r="H439" s="2" t="n"/>
      <c r="I439" s="2" t="n"/>
    </row>
    <row r="440" ht="15.75" customHeight="1">
      <c r="H440" s="2" t="n"/>
      <c r="I440" s="2" t="n"/>
    </row>
    <row r="441" ht="15.75" customHeight="1">
      <c r="H441" s="2" t="n"/>
      <c r="I441" s="2" t="n"/>
    </row>
    <row r="442" ht="15.75" customHeight="1">
      <c r="H442" s="2" t="n"/>
      <c r="I442" s="2" t="n"/>
    </row>
    <row r="443" ht="15.75" customHeight="1">
      <c r="H443" s="2" t="n"/>
      <c r="I443" s="2" t="n"/>
    </row>
    <row r="444" ht="15.75" customHeight="1">
      <c r="H444" s="2" t="n"/>
      <c r="I444" s="2" t="n"/>
    </row>
    <row r="445" ht="15.75" customHeight="1">
      <c r="H445" s="2" t="n"/>
      <c r="I445" s="2" t="n"/>
    </row>
    <row r="446" ht="15.75" customHeight="1">
      <c r="H446" s="2" t="n"/>
      <c r="I446" s="2" t="n"/>
    </row>
    <row r="447" ht="15.75" customHeight="1">
      <c r="H447" s="2" t="n"/>
      <c r="I447" s="2" t="n"/>
    </row>
    <row r="448" ht="15.75" customHeight="1">
      <c r="H448" s="2" t="n"/>
      <c r="I448" s="2" t="n"/>
    </row>
    <row r="449" ht="15.75" customHeight="1">
      <c r="H449" s="2" t="n"/>
      <c r="I449" s="2" t="n"/>
    </row>
    <row r="450" ht="15.75" customHeight="1">
      <c r="H450" s="2" t="n"/>
      <c r="I450" s="2" t="n"/>
    </row>
    <row r="451" ht="15.75" customHeight="1">
      <c r="H451" s="2" t="n"/>
      <c r="I451" s="2" t="n"/>
    </row>
    <row r="452" ht="15.75" customHeight="1">
      <c r="H452" s="2" t="n"/>
      <c r="I452" s="2" t="n"/>
    </row>
    <row r="453" ht="15.75" customHeight="1">
      <c r="H453" s="2" t="n"/>
      <c r="I453" s="2" t="n"/>
    </row>
    <row r="454" ht="15.75" customHeight="1">
      <c r="H454" s="2" t="n"/>
      <c r="I454" s="2" t="n"/>
    </row>
    <row r="455" ht="15.75" customHeight="1">
      <c r="H455" s="2" t="n"/>
      <c r="I455" s="2" t="n"/>
    </row>
    <row r="456" ht="15.75" customHeight="1">
      <c r="H456" s="2" t="n"/>
      <c r="I456" s="2" t="n"/>
    </row>
    <row r="457" ht="15.75" customHeight="1">
      <c r="H457" s="2" t="n"/>
      <c r="I457" s="2" t="n"/>
    </row>
    <row r="458" ht="15.75" customHeight="1">
      <c r="H458" s="2" t="n"/>
      <c r="I458" s="2" t="n"/>
    </row>
    <row r="459" ht="15.75" customHeight="1">
      <c r="H459" s="2" t="n"/>
      <c r="I459" s="2" t="n"/>
    </row>
    <row r="460" ht="15.75" customHeight="1">
      <c r="H460" s="2" t="n"/>
      <c r="I460" s="2" t="n"/>
    </row>
    <row r="461" ht="15.75" customHeight="1">
      <c r="H461" s="2" t="n"/>
      <c r="I461" s="2" t="n"/>
    </row>
    <row r="462" ht="15.75" customHeight="1">
      <c r="H462" s="2" t="n"/>
      <c r="I462" s="2" t="n"/>
    </row>
    <row r="463" ht="15.75" customHeight="1">
      <c r="H463" s="2" t="n"/>
      <c r="I463" s="2" t="n"/>
    </row>
    <row r="464" ht="15.75" customHeight="1">
      <c r="H464" s="2" t="n"/>
      <c r="I464" s="2" t="n"/>
    </row>
    <row r="465" ht="15.75" customHeight="1">
      <c r="H465" s="2" t="n"/>
      <c r="I465" s="2" t="n"/>
    </row>
    <row r="466" ht="15.75" customHeight="1">
      <c r="H466" s="2" t="n"/>
      <c r="I466" s="2" t="n"/>
    </row>
    <row r="467" ht="15.75" customHeight="1">
      <c r="H467" s="2" t="n"/>
      <c r="I467" s="2" t="n"/>
    </row>
    <row r="468" ht="15.75" customHeight="1">
      <c r="H468" s="2" t="n"/>
      <c r="I468" s="2" t="n"/>
    </row>
    <row r="469" ht="15.75" customHeight="1">
      <c r="H469" s="2" t="n"/>
      <c r="I469" s="2" t="n"/>
    </row>
    <row r="470" ht="15.75" customHeight="1">
      <c r="H470" s="2" t="n"/>
      <c r="I470" s="2" t="n"/>
    </row>
    <row r="471" ht="15.75" customHeight="1">
      <c r="H471" s="2" t="n"/>
      <c r="I471" s="2" t="n"/>
    </row>
    <row r="472" ht="15.75" customHeight="1">
      <c r="H472" s="2" t="n"/>
      <c r="I472" s="2" t="n"/>
    </row>
    <row r="473" ht="15.75" customHeight="1">
      <c r="H473" s="2" t="n"/>
      <c r="I473" s="2" t="n"/>
    </row>
    <row r="474" ht="15.75" customHeight="1">
      <c r="H474" s="2" t="n"/>
      <c r="I474" s="2" t="n"/>
    </row>
    <row r="475" ht="15.75" customHeight="1">
      <c r="H475" s="2" t="n"/>
      <c r="I475" s="2" t="n"/>
    </row>
    <row r="476" ht="15.75" customHeight="1">
      <c r="H476" s="2" t="n"/>
      <c r="I476" s="2" t="n"/>
    </row>
    <row r="477" ht="15.75" customHeight="1">
      <c r="H477" s="2" t="n"/>
      <c r="I477" s="2" t="n"/>
    </row>
    <row r="478" ht="15.75" customHeight="1">
      <c r="H478" s="2" t="n"/>
      <c r="I478" s="2" t="n"/>
    </row>
    <row r="479" ht="15.75" customHeight="1">
      <c r="H479" s="2" t="n"/>
      <c r="I479" s="2" t="n"/>
    </row>
    <row r="480" ht="15.75" customHeight="1">
      <c r="H480" s="2" t="n"/>
      <c r="I480" s="2" t="n"/>
    </row>
    <row r="481" ht="15.75" customHeight="1">
      <c r="H481" s="2" t="n"/>
      <c r="I481" s="2" t="n"/>
    </row>
    <row r="482" ht="15.75" customHeight="1">
      <c r="H482" s="2" t="n"/>
      <c r="I482" s="2" t="n"/>
    </row>
    <row r="483" ht="15.75" customHeight="1">
      <c r="H483" s="2" t="n"/>
      <c r="I483" s="2" t="n"/>
    </row>
    <row r="484" ht="15.75" customHeight="1">
      <c r="H484" s="2" t="n"/>
      <c r="I484" s="2" t="n"/>
    </row>
    <row r="485" ht="15.75" customHeight="1">
      <c r="H485" s="2" t="n"/>
      <c r="I485" s="2" t="n"/>
    </row>
    <row r="486" ht="15.75" customHeight="1">
      <c r="H486" s="2" t="n"/>
      <c r="I486" s="2" t="n"/>
    </row>
    <row r="487" ht="15.75" customHeight="1">
      <c r="H487" s="2" t="n"/>
      <c r="I487" s="2" t="n"/>
    </row>
    <row r="488" ht="15.75" customHeight="1">
      <c r="H488" s="2" t="n"/>
      <c r="I488" s="2" t="n"/>
    </row>
    <row r="489" ht="15.75" customHeight="1">
      <c r="H489" s="2" t="n"/>
      <c r="I489" s="2" t="n"/>
    </row>
    <row r="490" ht="15.75" customHeight="1">
      <c r="H490" s="2" t="n"/>
      <c r="I490" s="2" t="n"/>
    </row>
    <row r="491" ht="15.75" customHeight="1">
      <c r="H491" s="2" t="n"/>
      <c r="I491" s="2" t="n"/>
    </row>
    <row r="492" ht="15.75" customHeight="1">
      <c r="H492" s="2" t="n"/>
      <c r="I492" s="2" t="n"/>
    </row>
    <row r="493" ht="15.75" customHeight="1">
      <c r="H493" s="2" t="n"/>
      <c r="I493" s="2" t="n"/>
    </row>
    <row r="494" ht="15.75" customHeight="1">
      <c r="H494" s="2" t="n"/>
      <c r="I494" s="2" t="n"/>
    </row>
    <row r="495" ht="15.75" customHeight="1">
      <c r="H495" s="2" t="n"/>
      <c r="I495" s="2" t="n"/>
    </row>
    <row r="496" ht="15.75" customHeight="1">
      <c r="H496" s="2" t="n"/>
      <c r="I496" s="2" t="n"/>
    </row>
    <row r="497" ht="15.75" customHeight="1">
      <c r="H497" s="2" t="n"/>
      <c r="I497" s="2" t="n"/>
    </row>
    <row r="498" ht="15.75" customHeight="1">
      <c r="H498" s="2" t="n"/>
      <c r="I498" s="2" t="n"/>
    </row>
    <row r="499" ht="15.75" customHeight="1">
      <c r="H499" s="2" t="n"/>
      <c r="I499" s="2" t="n"/>
    </row>
    <row r="500" ht="15.75" customHeight="1">
      <c r="H500" s="2" t="n"/>
      <c r="I500" s="2" t="n"/>
    </row>
    <row r="501" ht="15.75" customHeight="1">
      <c r="H501" s="2" t="n"/>
      <c r="I501" s="2" t="n"/>
    </row>
    <row r="502" ht="15.75" customHeight="1">
      <c r="H502" s="2" t="n"/>
      <c r="I502" s="2" t="n"/>
    </row>
    <row r="503" ht="15.75" customHeight="1">
      <c r="H503" s="2" t="n"/>
      <c r="I503" s="2" t="n"/>
    </row>
    <row r="504" ht="15.75" customHeight="1">
      <c r="H504" s="2" t="n"/>
      <c r="I504" s="2" t="n"/>
    </row>
    <row r="505" ht="15.75" customHeight="1">
      <c r="H505" s="2" t="n"/>
      <c r="I505" s="2" t="n"/>
    </row>
    <row r="506" ht="15.75" customHeight="1">
      <c r="H506" s="2" t="n"/>
      <c r="I506" s="2" t="n"/>
    </row>
    <row r="507" ht="15.75" customHeight="1">
      <c r="H507" s="2" t="n"/>
      <c r="I507" s="2" t="n"/>
    </row>
    <row r="508" ht="15.75" customHeight="1">
      <c r="H508" s="2" t="n"/>
      <c r="I508" s="2" t="n"/>
    </row>
    <row r="509" ht="15.75" customHeight="1">
      <c r="H509" s="2" t="n"/>
      <c r="I509" s="2" t="n"/>
    </row>
    <row r="510" ht="15.75" customHeight="1">
      <c r="H510" s="2" t="n"/>
      <c r="I510" s="2" t="n"/>
    </row>
    <row r="511" ht="15.75" customHeight="1">
      <c r="H511" s="2" t="n"/>
      <c r="I511" s="2" t="n"/>
    </row>
    <row r="512" ht="15.75" customHeight="1">
      <c r="H512" s="2" t="n"/>
      <c r="I512" s="2" t="n"/>
    </row>
    <row r="513" ht="15.75" customHeight="1">
      <c r="H513" s="2" t="n"/>
      <c r="I513" s="2" t="n"/>
    </row>
    <row r="514" ht="15.75" customHeight="1">
      <c r="H514" s="2" t="n"/>
      <c r="I514" s="2" t="n"/>
    </row>
    <row r="515" ht="15.75" customHeight="1">
      <c r="H515" s="2" t="n"/>
      <c r="I515" s="2" t="n"/>
    </row>
    <row r="516" ht="15.75" customHeight="1">
      <c r="H516" s="2" t="n"/>
      <c r="I516" s="2" t="n"/>
    </row>
    <row r="517" ht="15.75" customHeight="1">
      <c r="H517" s="2" t="n"/>
      <c r="I517" s="2" t="n"/>
    </row>
    <row r="518" ht="15.75" customHeight="1">
      <c r="H518" s="2" t="n"/>
      <c r="I518" s="2" t="n"/>
    </row>
    <row r="519" ht="15.75" customHeight="1">
      <c r="H519" s="2" t="n"/>
      <c r="I519" s="2" t="n"/>
    </row>
    <row r="520" ht="15.75" customHeight="1">
      <c r="H520" s="2" t="n"/>
      <c r="I520" s="2" t="n"/>
    </row>
    <row r="521" ht="15.75" customHeight="1">
      <c r="H521" s="2" t="n"/>
      <c r="I521" s="2" t="n"/>
    </row>
    <row r="522" ht="15.75" customHeight="1">
      <c r="H522" s="2" t="n"/>
      <c r="I522" s="2" t="n"/>
    </row>
    <row r="523" ht="15.75" customHeight="1">
      <c r="H523" s="2" t="n"/>
      <c r="I523" s="2" t="n"/>
    </row>
    <row r="524" ht="15.75" customHeight="1">
      <c r="H524" s="2" t="n"/>
      <c r="I524" s="2" t="n"/>
    </row>
    <row r="525" ht="15.75" customHeight="1">
      <c r="H525" s="2" t="n"/>
      <c r="I525" s="2" t="n"/>
    </row>
    <row r="526" ht="15.75" customHeight="1">
      <c r="H526" s="2" t="n"/>
      <c r="I526" s="2" t="n"/>
    </row>
    <row r="527" ht="15.75" customHeight="1">
      <c r="H527" s="2" t="n"/>
      <c r="I527" s="2" t="n"/>
    </row>
    <row r="528" ht="15.75" customHeight="1">
      <c r="H528" s="2" t="n"/>
      <c r="I528" s="2" t="n"/>
    </row>
    <row r="529" ht="15.75" customHeight="1">
      <c r="H529" s="2" t="n"/>
      <c r="I529" s="2" t="n"/>
    </row>
    <row r="530" ht="15.75" customHeight="1">
      <c r="H530" s="2" t="n"/>
      <c r="I530" s="2" t="n"/>
    </row>
    <row r="531" ht="15.75" customHeight="1">
      <c r="H531" s="2" t="n"/>
      <c r="I531" s="2" t="n"/>
    </row>
    <row r="532" ht="15.75" customHeight="1">
      <c r="H532" s="2" t="n"/>
      <c r="I532" s="2" t="n"/>
    </row>
    <row r="533" ht="15.75" customHeight="1">
      <c r="H533" s="2" t="n"/>
      <c r="I533" s="2" t="n"/>
    </row>
    <row r="534" ht="15.75" customHeight="1">
      <c r="H534" s="2" t="n"/>
      <c r="I534" s="2" t="n"/>
    </row>
    <row r="535" ht="15.75" customHeight="1">
      <c r="H535" s="2" t="n"/>
      <c r="I535" s="2" t="n"/>
    </row>
    <row r="536" ht="15.75" customHeight="1">
      <c r="H536" s="2" t="n"/>
      <c r="I536" s="2" t="n"/>
    </row>
    <row r="537" ht="15.75" customHeight="1">
      <c r="H537" s="2" t="n"/>
      <c r="I537" s="2" t="n"/>
    </row>
    <row r="538" ht="15.75" customHeight="1">
      <c r="H538" s="2" t="n"/>
      <c r="I538" s="2" t="n"/>
    </row>
    <row r="539" ht="15.75" customHeight="1">
      <c r="H539" s="2" t="n"/>
      <c r="I539" s="2" t="n"/>
    </row>
    <row r="540" ht="15.75" customHeight="1">
      <c r="H540" s="2" t="n"/>
      <c r="I540" s="2" t="n"/>
    </row>
    <row r="541" ht="15.75" customHeight="1">
      <c r="H541" s="2" t="n"/>
      <c r="I541" s="2" t="n"/>
    </row>
    <row r="542" ht="15.75" customHeight="1">
      <c r="H542" s="2" t="n"/>
      <c r="I542" s="2" t="n"/>
    </row>
    <row r="543" ht="15.75" customHeight="1">
      <c r="H543" s="2" t="n"/>
      <c r="I543" s="2" t="n"/>
    </row>
    <row r="544" ht="15.75" customHeight="1">
      <c r="H544" s="2" t="n"/>
      <c r="I544" s="2" t="n"/>
    </row>
    <row r="545" ht="15.75" customHeight="1">
      <c r="H545" s="2" t="n"/>
      <c r="I545" s="2" t="n"/>
    </row>
    <row r="546" ht="15.75" customHeight="1">
      <c r="H546" s="2" t="n"/>
      <c r="I546" s="2" t="n"/>
    </row>
    <row r="547" ht="15.75" customHeight="1">
      <c r="H547" s="2" t="n"/>
      <c r="I547" s="2" t="n"/>
    </row>
    <row r="548" ht="15.75" customHeight="1">
      <c r="H548" s="2" t="n"/>
      <c r="I548" s="2" t="n"/>
    </row>
    <row r="549" ht="15.75" customHeight="1">
      <c r="H549" s="2" t="n"/>
      <c r="I549" s="2" t="n"/>
    </row>
    <row r="550" ht="15.75" customHeight="1">
      <c r="H550" s="2" t="n"/>
      <c r="I550" s="2" t="n"/>
    </row>
    <row r="551" ht="15.75" customHeight="1">
      <c r="H551" s="2" t="n"/>
      <c r="I551" s="2" t="n"/>
    </row>
    <row r="552" ht="15.75" customHeight="1">
      <c r="H552" s="2" t="n"/>
      <c r="I552" s="2" t="n"/>
    </row>
    <row r="553" ht="15.75" customHeight="1">
      <c r="H553" s="2" t="n"/>
      <c r="I553" s="2" t="n"/>
    </row>
    <row r="554" ht="15.75" customHeight="1">
      <c r="H554" s="2" t="n"/>
      <c r="I554" s="2" t="n"/>
    </row>
    <row r="555" ht="15.75" customHeight="1">
      <c r="H555" s="2" t="n"/>
      <c r="I555" s="2" t="n"/>
    </row>
    <row r="556" ht="15.75" customHeight="1">
      <c r="H556" s="2" t="n"/>
      <c r="I556" s="2" t="n"/>
    </row>
    <row r="557" ht="15.75" customHeight="1">
      <c r="H557" s="2" t="n"/>
      <c r="I557" s="2" t="n"/>
    </row>
    <row r="558" ht="15.75" customHeight="1">
      <c r="H558" s="2" t="n"/>
      <c r="I558" s="2" t="n"/>
    </row>
    <row r="559" ht="15.75" customHeight="1">
      <c r="H559" s="2" t="n"/>
      <c r="I559" s="2" t="n"/>
    </row>
    <row r="560" ht="15.75" customHeight="1">
      <c r="H560" s="2" t="n"/>
      <c r="I560" s="2" t="n"/>
    </row>
    <row r="561" ht="15.75" customHeight="1">
      <c r="H561" s="2" t="n"/>
      <c r="I561" s="2" t="n"/>
    </row>
    <row r="562" ht="15.75" customHeight="1">
      <c r="H562" s="2" t="n"/>
      <c r="I562" s="2" t="n"/>
    </row>
    <row r="563" ht="15.75" customHeight="1">
      <c r="H563" s="2" t="n"/>
      <c r="I563" s="2" t="n"/>
    </row>
    <row r="564" ht="15.75" customHeight="1">
      <c r="H564" s="2" t="n"/>
      <c r="I564" s="2" t="n"/>
    </row>
    <row r="565" ht="15.75" customHeight="1">
      <c r="H565" s="2" t="n"/>
      <c r="I565" s="2" t="n"/>
    </row>
    <row r="566" ht="15.75" customHeight="1">
      <c r="H566" s="2" t="n"/>
      <c r="I566" s="2" t="n"/>
    </row>
    <row r="567" ht="15.75" customHeight="1">
      <c r="H567" s="2" t="n"/>
      <c r="I567" s="2" t="n"/>
    </row>
    <row r="568" ht="15.75" customHeight="1">
      <c r="H568" s="2" t="n"/>
      <c r="I568" s="2" t="n"/>
    </row>
    <row r="569" ht="15.75" customHeight="1">
      <c r="H569" s="2" t="n"/>
      <c r="I569" s="2" t="n"/>
    </row>
    <row r="570" ht="15.75" customHeight="1">
      <c r="H570" s="2" t="n"/>
      <c r="I570" s="2" t="n"/>
    </row>
    <row r="571" ht="15.75" customHeight="1">
      <c r="H571" s="2" t="n"/>
      <c r="I571" s="2" t="n"/>
    </row>
    <row r="572" ht="15.75" customHeight="1">
      <c r="H572" s="2" t="n"/>
      <c r="I572" s="2" t="n"/>
    </row>
    <row r="573" ht="15.75" customHeight="1">
      <c r="H573" s="2" t="n"/>
      <c r="I573" s="2" t="n"/>
    </row>
    <row r="574" ht="15.75" customHeight="1">
      <c r="H574" s="2" t="n"/>
      <c r="I574" s="2" t="n"/>
    </row>
    <row r="575" ht="15.75" customHeight="1">
      <c r="H575" s="2" t="n"/>
      <c r="I575" s="2" t="n"/>
    </row>
    <row r="576" ht="15.75" customHeight="1">
      <c r="H576" s="2" t="n"/>
      <c r="I576" s="2" t="n"/>
    </row>
    <row r="577" ht="15.75" customHeight="1">
      <c r="H577" s="2" t="n"/>
      <c r="I577" s="2" t="n"/>
    </row>
    <row r="578" ht="15.75" customHeight="1">
      <c r="H578" s="2" t="n"/>
      <c r="I578" s="2" t="n"/>
    </row>
    <row r="579" ht="15.75" customHeight="1">
      <c r="H579" s="2" t="n"/>
      <c r="I579" s="2" t="n"/>
    </row>
    <row r="580" ht="15.75" customHeight="1">
      <c r="H580" s="2" t="n"/>
      <c r="I580" s="2" t="n"/>
    </row>
    <row r="581" ht="15.75" customHeight="1">
      <c r="H581" s="2" t="n"/>
      <c r="I581" s="2" t="n"/>
    </row>
    <row r="582" ht="15.75" customHeight="1">
      <c r="H582" s="2" t="n"/>
      <c r="I582" s="2" t="n"/>
    </row>
    <row r="583" ht="15.75" customHeight="1">
      <c r="H583" s="2" t="n"/>
      <c r="I583" s="2" t="n"/>
    </row>
    <row r="584" ht="15.75" customHeight="1">
      <c r="H584" s="2" t="n"/>
      <c r="I584" s="2" t="n"/>
    </row>
    <row r="585" ht="15.75" customHeight="1">
      <c r="H585" s="2" t="n"/>
      <c r="I585" s="2" t="n"/>
    </row>
    <row r="586" ht="15.75" customHeight="1">
      <c r="H586" s="2" t="n"/>
      <c r="I586" s="2" t="n"/>
    </row>
    <row r="587" ht="15.75" customHeight="1">
      <c r="H587" s="2" t="n"/>
      <c r="I587" s="2" t="n"/>
    </row>
    <row r="588" ht="15.75" customHeight="1">
      <c r="H588" s="2" t="n"/>
      <c r="I588" s="2" t="n"/>
    </row>
    <row r="589" ht="15.75" customHeight="1">
      <c r="H589" s="2" t="n"/>
      <c r="I589" s="2" t="n"/>
    </row>
    <row r="590" ht="15.75" customHeight="1">
      <c r="H590" s="2" t="n"/>
      <c r="I590" s="2" t="n"/>
    </row>
    <row r="591" ht="15.75" customHeight="1">
      <c r="H591" s="2" t="n"/>
      <c r="I591" s="2" t="n"/>
    </row>
    <row r="592" ht="15.75" customHeight="1">
      <c r="H592" s="2" t="n"/>
      <c r="I592" s="2" t="n"/>
    </row>
    <row r="593" ht="15.75" customHeight="1">
      <c r="H593" s="2" t="n"/>
      <c r="I593" s="2" t="n"/>
    </row>
    <row r="594" ht="15.75" customHeight="1">
      <c r="H594" s="2" t="n"/>
      <c r="I594" s="2" t="n"/>
    </row>
    <row r="595" ht="15.75" customHeight="1">
      <c r="H595" s="2" t="n"/>
      <c r="I595" s="2" t="n"/>
    </row>
    <row r="596" ht="15.75" customHeight="1">
      <c r="H596" s="2" t="n"/>
      <c r="I596" s="2" t="n"/>
    </row>
    <row r="597" ht="15.75" customHeight="1">
      <c r="H597" s="2" t="n"/>
      <c r="I597" s="2" t="n"/>
    </row>
    <row r="598" ht="15.75" customHeight="1">
      <c r="H598" s="2" t="n"/>
      <c r="I598" s="2" t="n"/>
    </row>
    <row r="599" ht="15.75" customHeight="1">
      <c r="H599" s="2" t="n"/>
      <c r="I599" s="2" t="n"/>
    </row>
    <row r="600" ht="15.75" customHeight="1">
      <c r="H600" s="2" t="n"/>
      <c r="I600" s="2" t="n"/>
    </row>
    <row r="601" ht="15.75" customHeight="1">
      <c r="H601" s="2" t="n"/>
      <c r="I601" s="2" t="n"/>
    </row>
    <row r="602" ht="15.75" customHeight="1">
      <c r="H602" s="2" t="n"/>
      <c r="I602" s="2" t="n"/>
    </row>
    <row r="603" ht="15.75" customHeight="1">
      <c r="H603" s="2" t="n"/>
      <c r="I603" s="2" t="n"/>
    </row>
    <row r="604" ht="15.75" customHeight="1">
      <c r="H604" s="2" t="n"/>
      <c r="I604" s="2" t="n"/>
    </row>
    <row r="605" ht="15.75" customHeight="1">
      <c r="H605" s="2" t="n"/>
      <c r="I605" s="2" t="n"/>
    </row>
    <row r="606" ht="15.75" customHeight="1">
      <c r="H606" s="2" t="n"/>
      <c r="I606" s="2" t="n"/>
    </row>
    <row r="607" ht="15.75" customHeight="1">
      <c r="H607" s="2" t="n"/>
      <c r="I607" s="2" t="n"/>
    </row>
    <row r="608" ht="15.75" customHeight="1">
      <c r="H608" s="2" t="n"/>
      <c r="I608" s="2" t="n"/>
    </row>
    <row r="609" ht="15.75" customHeight="1">
      <c r="H609" s="2" t="n"/>
      <c r="I609" s="2" t="n"/>
    </row>
    <row r="610" ht="15.75" customHeight="1">
      <c r="H610" s="2" t="n"/>
      <c r="I610" s="2" t="n"/>
    </row>
    <row r="611" ht="15.75" customHeight="1">
      <c r="H611" s="2" t="n"/>
      <c r="I611" s="2" t="n"/>
    </row>
    <row r="612" ht="15.75" customHeight="1">
      <c r="H612" s="2" t="n"/>
      <c r="I612" s="2" t="n"/>
    </row>
    <row r="613" ht="15.75" customHeight="1">
      <c r="H613" s="2" t="n"/>
      <c r="I613" s="2" t="n"/>
    </row>
    <row r="614" ht="15.75" customHeight="1">
      <c r="H614" s="2" t="n"/>
      <c r="I614" s="2" t="n"/>
    </row>
    <row r="615" ht="15.75" customHeight="1">
      <c r="H615" s="2" t="n"/>
      <c r="I615" s="2" t="n"/>
    </row>
    <row r="616" ht="15.75" customHeight="1">
      <c r="H616" s="2" t="n"/>
      <c r="I616" s="2" t="n"/>
    </row>
    <row r="617" ht="15.75" customHeight="1">
      <c r="H617" s="2" t="n"/>
      <c r="I617" s="2" t="n"/>
    </row>
    <row r="618" ht="15.75" customHeight="1">
      <c r="H618" s="2" t="n"/>
      <c r="I618" s="2" t="n"/>
    </row>
    <row r="619" ht="15.75" customHeight="1">
      <c r="H619" s="2" t="n"/>
      <c r="I619" s="2" t="n"/>
    </row>
    <row r="620" ht="15.75" customHeight="1">
      <c r="H620" s="2" t="n"/>
      <c r="I620" s="2" t="n"/>
    </row>
    <row r="621" ht="15.75" customHeight="1">
      <c r="H621" s="2" t="n"/>
      <c r="I621" s="2" t="n"/>
    </row>
    <row r="622" ht="15.75" customHeight="1">
      <c r="H622" s="2" t="n"/>
      <c r="I622" s="2" t="n"/>
    </row>
    <row r="623" ht="15.75" customHeight="1">
      <c r="H623" s="2" t="n"/>
      <c r="I623" s="2" t="n"/>
    </row>
    <row r="624" ht="15.75" customHeight="1">
      <c r="H624" s="2" t="n"/>
      <c r="I624" s="2" t="n"/>
    </row>
    <row r="625" ht="15.75" customHeight="1">
      <c r="H625" s="2" t="n"/>
      <c r="I625" s="2" t="n"/>
    </row>
    <row r="626" ht="15.75" customHeight="1">
      <c r="H626" s="2" t="n"/>
      <c r="I626" s="2" t="n"/>
    </row>
    <row r="627" ht="15.75" customHeight="1">
      <c r="H627" s="2" t="n"/>
      <c r="I627" s="2" t="n"/>
    </row>
    <row r="628" ht="15.75" customHeight="1">
      <c r="H628" s="2" t="n"/>
      <c r="I628" s="2" t="n"/>
    </row>
    <row r="629" ht="15.75" customHeight="1">
      <c r="H629" s="2" t="n"/>
      <c r="I629" s="2" t="n"/>
    </row>
    <row r="630" ht="15.75" customHeight="1">
      <c r="H630" s="2" t="n"/>
      <c r="I630" s="2" t="n"/>
    </row>
    <row r="631" ht="15.75" customHeight="1">
      <c r="H631" s="2" t="n"/>
      <c r="I631" s="2" t="n"/>
    </row>
    <row r="632" ht="15.75" customHeight="1">
      <c r="H632" s="2" t="n"/>
      <c r="I632" s="2" t="n"/>
    </row>
    <row r="633" ht="15.75" customHeight="1">
      <c r="H633" s="2" t="n"/>
      <c r="I633" s="2" t="n"/>
    </row>
    <row r="634" ht="15.75" customHeight="1">
      <c r="H634" s="2" t="n"/>
      <c r="I634" s="2" t="n"/>
    </row>
    <row r="635" ht="15.75" customHeight="1">
      <c r="H635" s="2" t="n"/>
      <c r="I635" s="2" t="n"/>
    </row>
    <row r="636" ht="15.75" customHeight="1">
      <c r="H636" s="2" t="n"/>
      <c r="I636" s="2" t="n"/>
    </row>
    <row r="637" ht="15.75" customHeight="1">
      <c r="H637" s="2" t="n"/>
      <c r="I637" s="2" t="n"/>
    </row>
    <row r="638" ht="15.75" customHeight="1">
      <c r="H638" s="2" t="n"/>
      <c r="I638" s="2" t="n"/>
    </row>
    <row r="639" ht="15.75" customHeight="1">
      <c r="H639" s="2" t="n"/>
      <c r="I639" s="2" t="n"/>
    </row>
    <row r="640" ht="15.75" customHeight="1">
      <c r="H640" s="2" t="n"/>
      <c r="I640" s="2" t="n"/>
    </row>
    <row r="641" ht="15.75" customHeight="1">
      <c r="H641" s="2" t="n"/>
      <c r="I641" s="2" t="n"/>
    </row>
    <row r="642" ht="15.75" customHeight="1">
      <c r="H642" s="2" t="n"/>
      <c r="I642" s="2" t="n"/>
    </row>
    <row r="643" ht="15.75" customHeight="1">
      <c r="H643" s="2" t="n"/>
      <c r="I643" s="2" t="n"/>
    </row>
    <row r="644" ht="15.75" customHeight="1">
      <c r="H644" s="2" t="n"/>
      <c r="I644" s="2" t="n"/>
    </row>
    <row r="645" ht="15.75" customHeight="1">
      <c r="H645" s="2" t="n"/>
      <c r="I645" s="2" t="n"/>
    </row>
    <row r="646" ht="15.75" customHeight="1">
      <c r="H646" s="2" t="n"/>
      <c r="I646" s="2" t="n"/>
    </row>
    <row r="647" ht="15.75" customHeight="1">
      <c r="H647" s="2" t="n"/>
      <c r="I647" s="2" t="n"/>
    </row>
    <row r="648" ht="15.75" customHeight="1">
      <c r="H648" s="2" t="n"/>
      <c r="I648" s="2" t="n"/>
    </row>
    <row r="649" ht="15.75" customHeight="1">
      <c r="H649" s="2" t="n"/>
      <c r="I649" s="2" t="n"/>
    </row>
    <row r="650" ht="15.75" customHeight="1">
      <c r="H650" s="2" t="n"/>
      <c r="I650" s="2" t="n"/>
    </row>
    <row r="651" ht="15.75" customHeight="1">
      <c r="H651" s="2" t="n"/>
      <c r="I651" s="2" t="n"/>
    </row>
    <row r="652" ht="15.75" customHeight="1">
      <c r="H652" s="2" t="n"/>
      <c r="I652" s="2" t="n"/>
    </row>
    <row r="653" ht="15.75" customHeight="1">
      <c r="H653" s="2" t="n"/>
      <c r="I653" s="2" t="n"/>
    </row>
    <row r="654" ht="15.75" customHeight="1">
      <c r="H654" s="2" t="n"/>
      <c r="I654" s="2" t="n"/>
    </row>
    <row r="655" ht="15.75" customHeight="1">
      <c r="H655" s="2" t="n"/>
      <c r="I655" s="2" t="n"/>
    </row>
    <row r="656" ht="15.75" customHeight="1">
      <c r="H656" s="2" t="n"/>
      <c r="I656" s="2" t="n"/>
    </row>
    <row r="657" ht="15.75" customHeight="1">
      <c r="H657" s="2" t="n"/>
      <c r="I657" s="2" t="n"/>
    </row>
    <row r="658" ht="15.75" customHeight="1">
      <c r="H658" s="2" t="n"/>
      <c r="I658" s="2" t="n"/>
    </row>
    <row r="659" ht="15.75" customHeight="1">
      <c r="H659" s="2" t="n"/>
      <c r="I659" s="2" t="n"/>
    </row>
    <row r="660" ht="15.75" customHeight="1">
      <c r="H660" s="2" t="n"/>
      <c r="I660" s="2" t="n"/>
    </row>
    <row r="661" ht="15.75" customHeight="1">
      <c r="H661" s="2" t="n"/>
      <c r="I661" s="2" t="n"/>
    </row>
    <row r="662" ht="15.75" customHeight="1">
      <c r="H662" s="2" t="n"/>
      <c r="I662" s="2" t="n"/>
    </row>
    <row r="663" ht="15.75" customHeight="1">
      <c r="H663" s="2" t="n"/>
      <c r="I663" s="2" t="n"/>
    </row>
    <row r="664" ht="15.75" customHeight="1">
      <c r="H664" s="2" t="n"/>
      <c r="I664" s="2" t="n"/>
    </row>
    <row r="665" ht="15.75" customHeight="1">
      <c r="H665" s="2" t="n"/>
      <c r="I665" s="2" t="n"/>
    </row>
    <row r="666" ht="15.75" customHeight="1">
      <c r="H666" s="2" t="n"/>
      <c r="I666" s="2" t="n"/>
    </row>
    <row r="667" ht="15.75" customHeight="1">
      <c r="H667" s="2" t="n"/>
      <c r="I667" s="2" t="n"/>
    </row>
    <row r="668" ht="15.75" customHeight="1">
      <c r="H668" s="2" t="n"/>
      <c r="I668" s="2" t="n"/>
    </row>
    <row r="669" ht="15.75" customHeight="1">
      <c r="H669" s="2" t="n"/>
      <c r="I669" s="2" t="n"/>
    </row>
    <row r="670" ht="15.75" customHeight="1">
      <c r="H670" s="2" t="n"/>
      <c r="I670" s="2" t="n"/>
    </row>
    <row r="671" ht="15.75" customHeight="1">
      <c r="H671" s="2" t="n"/>
      <c r="I671" s="2" t="n"/>
    </row>
    <row r="672" ht="15.75" customHeight="1">
      <c r="H672" s="2" t="n"/>
      <c r="I672" s="2" t="n"/>
    </row>
    <row r="673" ht="15.75" customHeight="1">
      <c r="H673" s="2" t="n"/>
      <c r="I673" s="2" t="n"/>
    </row>
    <row r="674" ht="15.75" customHeight="1">
      <c r="H674" s="2" t="n"/>
      <c r="I674" s="2" t="n"/>
    </row>
    <row r="675" ht="15.75" customHeight="1">
      <c r="H675" s="2" t="n"/>
      <c r="I675" s="2" t="n"/>
    </row>
    <row r="676" ht="15.75" customHeight="1">
      <c r="H676" s="2" t="n"/>
      <c r="I676" s="2" t="n"/>
    </row>
    <row r="677" ht="15.75" customHeight="1">
      <c r="H677" s="2" t="n"/>
      <c r="I677" s="2" t="n"/>
    </row>
    <row r="678" ht="15.75" customHeight="1">
      <c r="H678" s="2" t="n"/>
      <c r="I678" s="2" t="n"/>
    </row>
    <row r="679" ht="15.75" customHeight="1">
      <c r="H679" s="2" t="n"/>
      <c r="I679" s="2" t="n"/>
    </row>
    <row r="680" ht="15.75" customHeight="1">
      <c r="H680" s="2" t="n"/>
      <c r="I680" s="2" t="n"/>
    </row>
    <row r="681" ht="15.75" customHeight="1">
      <c r="H681" s="2" t="n"/>
      <c r="I681" s="2" t="n"/>
    </row>
    <row r="682" ht="15.75" customHeight="1">
      <c r="H682" s="2" t="n"/>
      <c r="I682" s="2" t="n"/>
    </row>
    <row r="683" ht="15.75" customHeight="1">
      <c r="H683" s="2" t="n"/>
      <c r="I683" s="2" t="n"/>
    </row>
    <row r="684" ht="15.75" customHeight="1">
      <c r="H684" s="2" t="n"/>
      <c r="I684" s="2" t="n"/>
    </row>
    <row r="685" ht="15.75" customHeight="1">
      <c r="H685" s="2" t="n"/>
      <c r="I685" s="2" t="n"/>
    </row>
    <row r="686" ht="15.75" customHeight="1">
      <c r="H686" s="2" t="n"/>
      <c r="I686" s="2" t="n"/>
    </row>
    <row r="687" ht="15.75" customHeight="1">
      <c r="H687" s="2" t="n"/>
      <c r="I687" s="2" t="n"/>
    </row>
    <row r="688" ht="15.75" customHeight="1">
      <c r="H688" s="2" t="n"/>
      <c r="I688" s="2" t="n"/>
    </row>
    <row r="689" ht="15.75" customHeight="1">
      <c r="H689" s="2" t="n"/>
      <c r="I689" s="2" t="n"/>
    </row>
    <row r="690" ht="15.75" customHeight="1">
      <c r="H690" s="2" t="n"/>
      <c r="I690" s="2" t="n"/>
    </row>
    <row r="691" ht="15.75" customHeight="1">
      <c r="H691" s="2" t="n"/>
      <c r="I691" s="2" t="n"/>
    </row>
    <row r="692" ht="15.75" customHeight="1">
      <c r="H692" s="2" t="n"/>
      <c r="I692" s="2" t="n"/>
    </row>
    <row r="693" ht="15.75" customHeight="1">
      <c r="H693" s="2" t="n"/>
      <c r="I693" s="2" t="n"/>
    </row>
    <row r="694" ht="15.75" customHeight="1">
      <c r="H694" s="2" t="n"/>
      <c r="I694" s="2" t="n"/>
    </row>
    <row r="695" ht="15.75" customHeight="1">
      <c r="H695" s="2" t="n"/>
      <c r="I695" s="2" t="n"/>
    </row>
    <row r="696" ht="15.75" customHeight="1">
      <c r="H696" s="2" t="n"/>
      <c r="I696" s="2" t="n"/>
    </row>
    <row r="697" ht="15.75" customHeight="1">
      <c r="H697" s="2" t="n"/>
      <c r="I697" s="2" t="n"/>
    </row>
    <row r="698" ht="15.75" customHeight="1">
      <c r="H698" s="2" t="n"/>
      <c r="I698" s="2" t="n"/>
    </row>
    <row r="699" ht="15.75" customHeight="1">
      <c r="H699" s="2" t="n"/>
      <c r="I699" s="2" t="n"/>
    </row>
    <row r="700" ht="15.75" customHeight="1">
      <c r="H700" s="2" t="n"/>
      <c r="I700" s="2" t="n"/>
    </row>
    <row r="701" ht="15.75" customHeight="1">
      <c r="H701" s="2" t="n"/>
      <c r="I701" s="2" t="n"/>
    </row>
    <row r="702" ht="15.75" customHeight="1">
      <c r="H702" s="2" t="n"/>
      <c r="I702" s="2" t="n"/>
    </row>
    <row r="703" ht="15.75" customHeight="1">
      <c r="H703" s="2" t="n"/>
      <c r="I703" s="2" t="n"/>
    </row>
    <row r="704" ht="15.75" customHeight="1">
      <c r="H704" s="2" t="n"/>
      <c r="I704" s="2" t="n"/>
    </row>
    <row r="705" ht="15.75" customHeight="1">
      <c r="H705" s="2" t="n"/>
      <c r="I705" s="2" t="n"/>
    </row>
    <row r="706" ht="15.75" customHeight="1">
      <c r="H706" s="2" t="n"/>
      <c r="I706" s="2" t="n"/>
    </row>
    <row r="707" ht="15.75" customHeight="1">
      <c r="H707" s="2" t="n"/>
      <c r="I707" s="2" t="n"/>
    </row>
    <row r="708" ht="15.75" customHeight="1">
      <c r="H708" s="2" t="n"/>
      <c r="I708" s="2" t="n"/>
    </row>
    <row r="709" ht="15.75" customHeight="1">
      <c r="H709" s="2" t="n"/>
      <c r="I709" s="2" t="n"/>
    </row>
    <row r="710" ht="15.75" customHeight="1">
      <c r="H710" s="2" t="n"/>
      <c r="I710" s="2" t="n"/>
    </row>
    <row r="711" ht="15.75" customHeight="1">
      <c r="H711" s="2" t="n"/>
      <c r="I711" s="2" t="n"/>
    </row>
    <row r="712" ht="15.75" customHeight="1">
      <c r="H712" s="2" t="n"/>
      <c r="I712" s="2" t="n"/>
    </row>
    <row r="713" ht="15.75" customHeight="1">
      <c r="H713" s="2" t="n"/>
      <c r="I713" s="2" t="n"/>
    </row>
    <row r="714" ht="15.75" customHeight="1">
      <c r="H714" s="2" t="n"/>
      <c r="I714" s="2" t="n"/>
    </row>
    <row r="715" ht="15.75" customHeight="1">
      <c r="H715" s="2" t="n"/>
      <c r="I715" s="2" t="n"/>
    </row>
    <row r="716" ht="15.75" customHeight="1">
      <c r="H716" s="2" t="n"/>
      <c r="I716" s="2" t="n"/>
    </row>
    <row r="717" ht="15.75" customHeight="1">
      <c r="H717" s="2" t="n"/>
      <c r="I717" s="2" t="n"/>
    </row>
    <row r="718" ht="15.75" customHeight="1">
      <c r="H718" s="2" t="n"/>
      <c r="I718" s="2" t="n"/>
    </row>
    <row r="719" ht="15.75" customHeight="1">
      <c r="H719" s="2" t="n"/>
      <c r="I719" s="2" t="n"/>
    </row>
    <row r="720" ht="15.75" customHeight="1">
      <c r="H720" s="2" t="n"/>
      <c r="I720" s="2" t="n"/>
    </row>
    <row r="721" ht="15.75" customHeight="1">
      <c r="H721" s="2" t="n"/>
      <c r="I721" s="2" t="n"/>
    </row>
    <row r="722" ht="15.75" customHeight="1">
      <c r="H722" s="2" t="n"/>
      <c r="I722" s="2" t="n"/>
    </row>
    <row r="723" ht="15.75" customHeight="1">
      <c r="H723" s="2" t="n"/>
      <c r="I723" s="2" t="n"/>
    </row>
    <row r="724" ht="15.75" customHeight="1">
      <c r="H724" s="2" t="n"/>
      <c r="I724" s="2" t="n"/>
    </row>
    <row r="725" ht="15.75" customHeight="1">
      <c r="H725" s="2" t="n"/>
      <c r="I725" s="2" t="n"/>
    </row>
    <row r="726" ht="15.75" customHeight="1">
      <c r="H726" s="2" t="n"/>
      <c r="I726" s="2" t="n"/>
    </row>
    <row r="727" ht="15.75" customHeight="1">
      <c r="H727" s="2" t="n"/>
      <c r="I727" s="2" t="n"/>
    </row>
    <row r="728" ht="15.75" customHeight="1">
      <c r="H728" s="2" t="n"/>
      <c r="I728" s="2" t="n"/>
    </row>
    <row r="729" ht="15.75" customHeight="1">
      <c r="H729" s="2" t="n"/>
      <c r="I729" s="2" t="n"/>
    </row>
    <row r="730" ht="15.75" customHeight="1">
      <c r="H730" s="2" t="n"/>
      <c r="I730" s="2" t="n"/>
    </row>
    <row r="731" ht="15.75" customHeight="1">
      <c r="H731" s="2" t="n"/>
      <c r="I731" s="2" t="n"/>
    </row>
    <row r="732" ht="15.75" customHeight="1">
      <c r="H732" s="2" t="n"/>
      <c r="I732" s="2" t="n"/>
    </row>
    <row r="733" ht="15.75" customHeight="1">
      <c r="H733" s="2" t="n"/>
      <c r="I733" s="2" t="n"/>
    </row>
    <row r="734" ht="15.75" customHeight="1">
      <c r="H734" s="2" t="n"/>
      <c r="I734" s="2" t="n"/>
    </row>
    <row r="735" ht="15.75" customHeight="1">
      <c r="H735" s="2" t="n"/>
      <c r="I735" s="2" t="n"/>
    </row>
    <row r="736" ht="15.75" customHeight="1">
      <c r="H736" s="2" t="n"/>
      <c r="I736" s="2" t="n"/>
    </row>
    <row r="737" ht="15.75" customHeight="1">
      <c r="H737" s="2" t="n"/>
      <c r="I737" s="2" t="n"/>
    </row>
    <row r="738" ht="15.75" customHeight="1">
      <c r="H738" s="2" t="n"/>
      <c r="I738" s="2" t="n"/>
    </row>
    <row r="739" ht="15.75" customHeight="1">
      <c r="H739" s="2" t="n"/>
      <c r="I739" s="2" t="n"/>
    </row>
    <row r="740" ht="15.75" customHeight="1">
      <c r="H740" s="2" t="n"/>
      <c r="I740" s="2" t="n"/>
    </row>
    <row r="741" ht="15.75" customHeight="1">
      <c r="H741" s="2" t="n"/>
      <c r="I741" s="2" t="n"/>
    </row>
    <row r="742" ht="15.75" customHeight="1">
      <c r="H742" s="2" t="n"/>
      <c r="I742" s="2" t="n"/>
    </row>
    <row r="743" ht="15.75" customHeight="1">
      <c r="H743" s="2" t="n"/>
      <c r="I743" s="2" t="n"/>
    </row>
    <row r="744" ht="15.75" customHeight="1">
      <c r="H744" s="2" t="n"/>
      <c r="I744" s="2" t="n"/>
    </row>
    <row r="745" ht="15.75" customHeight="1">
      <c r="H745" s="2" t="n"/>
      <c r="I745" s="2" t="n"/>
    </row>
    <row r="746" ht="15.75" customHeight="1">
      <c r="H746" s="2" t="n"/>
      <c r="I746" s="2" t="n"/>
    </row>
    <row r="747" ht="15.75" customHeight="1">
      <c r="H747" s="2" t="n"/>
      <c r="I747" s="2" t="n"/>
    </row>
    <row r="748" ht="15.75" customHeight="1">
      <c r="H748" s="2" t="n"/>
      <c r="I748" s="2" t="n"/>
    </row>
    <row r="749" ht="15.75" customHeight="1">
      <c r="H749" s="2" t="n"/>
      <c r="I749" s="2" t="n"/>
    </row>
    <row r="750" ht="15.75" customHeight="1">
      <c r="H750" s="2" t="n"/>
      <c r="I750" s="2" t="n"/>
    </row>
    <row r="751" ht="15.75" customHeight="1">
      <c r="H751" s="2" t="n"/>
      <c r="I751" s="2" t="n"/>
    </row>
    <row r="752" ht="15.75" customHeight="1">
      <c r="H752" s="2" t="n"/>
      <c r="I752" s="2" t="n"/>
    </row>
    <row r="753" ht="15.75" customHeight="1">
      <c r="H753" s="2" t="n"/>
      <c r="I753" s="2" t="n"/>
    </row>
    <row r="754" ht="15.75" customHeight="1">
      <c r="H754" s="2" t="n"/>
      <c r="I754" s="2" t="n"/>
    </row>
    <row r="755" ht="15.75" customHeight="1">
      <c r="H755" s="2" t="n"/>
      <c r="I755" s="2" t="n"/>
    </row>
    <row r="756" ht="15.75" customHeight="1">
      <c r="H756" s="2" t="n"/>
      <c r="I756" s="2" t="n"/>
    </row>
    <row r="757" ht="15.75" customHeight="1">
      <c r="H757" s="2" t="n"/>
      <c r="I757" s="2" t="n"/>
    </row>
    <row r="758" ht="15.75" customHeight="1">
      <c r="H758" s="2" t="n"/>
      <c r="I758" s="2" t="n"/>
    </row>
    <row r="759" ht="15.75" customHeight="1">
      <c r="H759" s="2" t="n"/>
      <c r="I759" s="2" t="n"/>
    </row>
    <row r="760" ht="15.75" customHeight="1">
      <c r="H760" s="2" t="n"/>
      <c r="I760" s="2" t="n"/>
    </row>
    <row r="761" ht="15.75" customHeight="1">
      <c r="H761" s="2" t="n"/>
      <c r="I761" s="2" t="n"/>
    </row>
    <row r="762" ht="15.75" customHeight="1">
      <c r="H762" s="2" t="n"/>
      <c r="I762" s="2" t="n"/>
    </row>
    <row r="763" ht="15.75" customHeight="1">
      <c r="H763" s="2" t="n"/>
      <c r="I763" s="2" t="n"/>
    </row>
    <row r="764" ht="15.75" customHeight="1">
      <c r="H764" s="2" t="n"/>
      <c r="I764" s="2" t="n"/>
    </row>
    <row r="765" ht="15.75" customHeight="1">
      <c r="H765" s="2" t="n"/>
      <c r="I765" s="2" t="n"/>
    </row>
    <row r="766" ht="15.75" customHeight="1">
      <c r="H766" s="2" t="n"/>
      <c r="I766" s="2" t="n"/>
    </row>
    <row r="767" ht="15.75" customHeight="1">
      <c r="H767" s="2" t="n"/>
      <c r="I767" s="2" t="n"/>
    </row>
    <row r="768" ht="15.75" customHeight="1">
      <c r="H768" s="2" t="n"/>
      <c r="I768" s="2" t="n"/>
    </row>
    <row r="769" ht="15.75" customHeight="1">
      <c r="H769" s="2" t="n"/>
      <c r="I769" s="2" t="n"/>
    </row>
    <row r="770" ht="15.75" customHeight="1">
      <c r="H770" s="2" t="n"/>
      <c r="I770" s="2" t="n"/>
    </row>
    <row r="771" ht="15.75" customHeight="1">
      <c r="H771" s="2" t="n"/>
      <c r="I771" s="2" t="n"/>
    </row>
    <row r="772" ht="15.75" customHeight="1">
      <c r="H772" s="2" t="n"/>
      <c r="I772" s="2" t="n"/>
    </row>
    <row r="773" ht="15.75" customHeight="1">
      <c r="H773" s="2" t="n"/>
      <c r="I773" s="2" t="n"/>
    </row>
    <row r="774" ht="15.75" customHeight="1">
      <c r="H774" s="2" t="n"/>
      <c r="I774" s="2" t="n"/>
    </row>
    <row r="775" ht="15.75" customHeight="1">
      <c r="H775" s="2" t="n"/>
      <c r="I775" s="2" t="n"/>
    </row>
    <row r="776" ht="15.75" customHeight="1">
      <c r="H776" s="2" t="n"/>
      <c r="I776" s="2" t="n"/>
    </row>
    <row r="777" ht="15.75" customHeight="1">
      <c r="H777" s="2" t="n"/>
      <c r="I777" s="2" t="n"/>
    </row>
    <row r="778" ht="15.75" customHeight="1">
      <c r="H778" s="2" t="n"/>
      <c r="I778" s="2" t="n"/>
    </row>
    <row r="779" ht="15.75" customHeight="1">
      <c r="H779" s="2" t="n"/>
      <c r="I779" s="2" t="n"/>
    </row>
    <row r="780" ht="15.75" customHeight="1">
      <c r="H780" s="2" t="n"/>
      <c r="I780" s="2" t="n"/>
    </row>
    <row r="781" ht="15.75" customHeight="1">
      <c r="H781" s="2" t="n"/>
      <c r="I781" s="2" t="n"/>
    </row>
    <row r="782" ht="15.75" customHeight="1">
      <c r="H782" s="2" t="n"/>
      <c r="I782" s="2" t="n"/>
    </row>
    <row r="783" ht="15.75" customHeight="1">
      <c r="H783" s="2" t="n"/>
      <c r="I783" s="2" t="n"/>
    </row>
    <row r="784" ht="15.75" customHeight="1">
      <c r="H784" s="2" t="n"/>
      <c r="I784" s="2" t="n"/>
    </row>
    <row r="785" ht="15.75" customHeight="1">
      <c r="H785" s="2" t="n"/>
      <c r="I785" s="2" t="n"/>
    </row>
    <row r="786" ht="15.75" customHeight="1">
      <c r="H786" s="2" t="n"/>
      <c r="I786" s="2" t="n"/>
    </row>
    <row r="787" ht="15.75" customHeight="1">
      <c r="H787" s="2" t="n"/>
      <c r="I787" s="2" t="n"/>
    </row>
    <row r="788" ht="15.75" customHeight="1">
      <c r="H788" s="2" t="n"/>
      <c r="I788" s="2" t="n"/>
    </row>
    <row r="789" ht="15.75" customHeight="1">
      <c r="H789" s="2" t="n"/>
      <c r="I789" s="2" t="n"/>
    </row>
    <row r="790" ht="15.75" customHeight="1">
      <c r="H790" s="2" t="n"/>
      <c r="I790" s="2" t="n"/>
    </row>
    <row r="791" ht="15.75" customHeight="1">
      <c r="H791" s="2" t="n"/>
      <c r="I791" s="2" t="n"/>
    </row>
    <row r="792" ht="15.75" customHeight="1">
      <c r="H792" s="2" t="n"/>
      <c r="I792" s="2" t="n"/>
    </row>
    <row r="793" ht="15.75" customHeight="1">
      <c r="H793" s="2" t="n"/>
      <c r="I793" s="2" t="n"/>
    </row>
    <row r="794" ht="15.75" customHeight="1">
      <c r="H794" s="2" t="n"/>
      <c r="I794" s="2" t="n"/>
    </row>
    <row r="795" ht="15.75" customHeight="1">
      <c r="H795" s="2" t="n"/>
      <c r="I795" s="2" t="n"/>
    </row>
    <row r="796" ht="15.75" customHeight="1">
      <c r="H796" s="2" t="n"/>
      <c r="I796" s="2" t="n"/>
    </row>
    <row r="797" ht="15.75" customHeight="1">
      <c r="H797" s="2" t="n"/>
      <c r="I797" s="2" t="n"/>
    </row>
    <row r="798" ht="15.75" customHeight="1">
      <c r="H798" s="2" t="n"/>
      <c r="I798" s="2" t="n"/>
    </row>
    <row r="799" ht="15.75" customHeight="1">
      <c r="H799" s="2" t="n"/>
      <c r="I799" s="2" t="n"/>
    </row>
    <row r="800" ht="15.75" customHeight="1">
      <c r="H800" s="2" t="n"/>
      <c r="I800" s="2" t="n"/>
    </row>
    <row r="801" ht="15.75" customHeight="1">
      <c r="H801" s="2" t="n"/>
      <c r="I801" s="2" t="n"/>
    </row>
    <row r="802" ht="15.75" customHeight="1">
      <c r="H802" s="2" t="n"/>
      <c r="I802" s="2" t="n"/>
    </row>
    <row r="803" ht="15.75" customHeight="1">
      <c r="H803" s="2" t="n"/>
      <c r="I803" s="2" t="n"/>
    </row>
    <row r="804" ht="15.75" customHeight="1">
      <c r="H804" s="2" t="n"/>
      <c r="I804" s="2" t="n"/>
    </row>
    <row r="805" ht="15.75" customHeight="1">
      <c r="H805" s="2" t="n"/>
      <c r="I805" s="2" t="n"/>
    </row>
    <row r="806" ht="15.75" customHeight="1">
      <c r="H806" s="2" t="n"/>
      <c r="I806" s="2" t="n"/>
    </row>
    <row r="807" ht="15.75" customHeight="1">
      <c r="H807" s="2" t="n"/>
      <c r="I807" s="2" t="n"/>
    </row>
    <row r="808" ht="15.75" customHeight="1">
      <c r="H808" s="2" t="n"/>
      <c r="I808" s="2" t="n"/>
    </row>
    <row r="809" ht="15.75" customHeight="1">
      <c r="H809" s="2" t="n"/>
      <c r="I809" s="2" t="n"/>
    </row>
    <row r="810" ht="15.75" customHeight="1">
      <c r="H810" s="2" t="n"/>
      <c r="I810" s="2" t="n"/>
    </row>
    <row r="811" ht="15.75" customHeight="1">
      <c r="H811" s="2" t="n"/>
      <c r="I811" s="2" t="n"/>
    </row>
    <row r="812" ht="15.75" customHeight="1">
      <c r="H812" s="2" t="n"/>
      <c r="I812" s="2" t="n"/>
    </row>
    <row r="813" ht="15.75" customHeight="1">
      <c r="H813" s="2" t="n"/>
      <c r="I813" s="2" t="n"/>
    </row>
    <row r="814" ht="15.75" customHeight="1">
      <c r="H814" s="2" t="n"/>
      <c r="I814" s="2" t="n"/>
    </row>
    <row r="815" ht="15.75" customHeight="1">
      <c r="H815" s="2" t="n"/>
      <c r="I815" s="2" t="n"/>
    </row>
    <row r="816" ht="15.75" customHeight="1">
      <c r="H816" s="2" t="n"/>
      <c r="I816" s="2" t="n"/>
    </row>
    <row r="817" ht="15.75" customHeight="1">
      <c r="H817" s="2" t="n"/>
      <c r="I817" s="2" t="n"/>
    </row>
    <row r="818" ht="15.75" customHeight="1">
      <c r="H818" s="2" t="n"/>
      <c r="I818" s="2" t="n"/>
    </row>
    <row r="819" ht="15.75" customHeight="1">
      <c r="H819" s="2" t="n"/>
      <c r="I819" s="2" t="n"/>
    </row>
    <row r="820" ht="15.75" customHeight="1">
      <c r="H820" s="2" t="n"/>
      <c r="I820" s="2" t="n"/>
    </row>
    <row r="821" ht="15.75" customHeight="1">
      <c r="H821" s="2" t="n"/>
      <c r="I821" s="2" t="n"/>
    </row>
    <row r="822" ht="15.75" customHeight="1">
      <c r="H822" s="2" t="n"/>
      <c r="I822" s="2" t="n"/>
    </row>
    <row r="823" ht="15.75" customHeight="1">
      <c r="H823" s="2" t="n"/>
      <c r="I823" s="2" t="n"/>
    </row>
    <row r="824" ht="15.75" customHeight="1">
      <c r="H824" s="2" t="n"/>
      <c r="I824" s="2" t="n"/>
    </row>
    <row r="825" ht="15.75" customHeight="1">
      <c r="H825" s="2" t="n"/>
      <c r="I825" s="2" t="n"/>
    </row>
    <row r="826" ht="15.75" customHeight="1">
      <c r="H826" s="2" t="n"/>
      <c r="I826" s="2" t="n"/>
    </row>
    <row r="827" ht="15.75" customHeight="1">
      <c r="H827" s="2" t="n"/>
      <c r="I827" s="2" t="n"/>
    </row>
    <row r="828" ht="15.75" customHeight="1">
      <c r="H828" s="2" t="n"/>
      <c r="I828" s="2" t="n"/>
    </row>
    <row r="829" ht="15.75" customHeight="1">
      <c r="H829" s="2" t="n"/>
      <c r="I829" s="2" t="n"/>
    </row>
    <row r="830" ht="15.75" customHeight="1">
      <c r="H830" s="2" t="n"/>
      <c r="I830" s="2" t="n"/>
    </row>
    <row r="831" ht="15.75" customHeight="1">
      <c r="H831" s="2" t="n"/>
      <c r="I831" s="2" t="n"/>
    </row>
    <row r="832" ht="15.75" customHeight="1">
      <c r="H832" s="2" t="n"/>
      <c r="I832" s="2" t="n"/>
    </row>
    <row r="833" ht="15.75" customHeight="1">
      <c r="H833" s="2" t="n"/>
      <c r="I833" s="2" t="n"/>
    </row>
    <row r="834" ht="15.75" customHeight="1">
      <c r="H834" s="2" t="n"/>
      <c r="I834" s="2" t="n"/>
    </row>
    <row r="835" ht="15.75" customHeight="1">
      <c r="H835" s="2" t="n"/>
      <c r="I835" s="2" t="n"/>
    </row>
    <row r="836" ht="15.75" customHeight="1">
      <c r="H836" s="2" t="n"/>
      <c r="I836" s="2" t="n"/>
    </row>
    <row r="837" ht="15.75" customHeight="1">
      <c r="H837" s="2" t="n"/>
      <c r="I837" s="2" t="n"/>
    </row>
    <row r="838" ht="15.75" customHeight="1">
      <c r="H838" s="2" t="n"/>
      <c r="I838" s="2" t="n"/>
    </row>
    <row r="839" ht="15.75" customHeight="1">
      <c r="H839" s="2" t="n"/>
      <c r="I839" s="2" t="n"/>
    </row>
    <row r="840" ht="15.75" customHeight="1">
      <c r="H840" s="2" t="n"/>
      <c r="I840" s="2" t="n"/>
    </row>
    <row r="841" ht="15.75" customHeight="1">
      <c r="H841" s="2" t="n"/>
      <c r="I841" s="2" t="n"/>
    </row>
    <row r="842" ht="15.75" customHeight="1">
      <c r="H842" s="2" t="n"/>
      <c r="I842" s="2" t="n"/>
    </row>
    <row r="843" ht="15.75" customHeight="1">
      <c r="H843" s="2" t="n"/>
      <c r="I843" s="2" t="n"/>
    </row>
    <row r="844" ht="15.75" customHeight="1">
      <c r="H844" s="2" t="n"/>
      <c r="I844" s="2" t="n"/>
    </row>
    <row r="845" ht="15.75" customHeight="1">
      <c r="H845" s="2" t="n"/>
      <c r="I845" s="2" t="n"/>
    </row>
    <row r="846" ht="15.75" customHeight="1">
      <c r="H846" s="2" t="n"/>
      <c r="I846" s="2" t="n"/>
    </row>
    <row r="847" ht="15.75" customHeight="1">
      <c r="H847" s="2" t="n"/>
      <c r="I847" s="2" t="n"/>
    </row>
    <row r="848" ht="15.75" customHeight="1">
      <c r="H848" s="2" t="n"/>
      <c r="I848" s="2" t="n"/>
    </row>
    <row r="849" ht="15.75" customHeight="1">
      <c r="H849" s="2" t="n"/>
      <c r="I849" s="2" t="n"/>
    </row>
    <row r="850" ht="15.75" customHeight="1">
      <c r="H850" s="2" t="n"/>
      <c r="I850" s="2" t="n"/>
    </row>
    <row r="851" ht="15.75" customHeight="1">
      <c r="H851" s="2" t="n"/>
      <c r="I851" s="2" t="n"/>
    </row>
    <row r="852" ht="15.75" customHeight="1">
      <c r="H852" s="2" t="n"/>
      <c r="I852" s="2" t="n"/>
    </row>
    <row r="853" ht="15.75" customHeight="1">
      <c r="H853" s="2" t="n"/>
      <c r="I853" s="2" t="n"/>
    </row>
    <row r="854" ht="15.75" customHeight="1">
      <c r="H854" s="2" t="n"/>
      <c r="I854" s="2" t="n"/>
    </row>
    <row r="855" ht="15.75" customHeight="1">
      <c r="H855" s="2" t="n"/>
      <c r="I855" s="2" t="n"/>
    </row>
    <row r="856" ht="15.75" customHeight="1">
      <c r="H856" s="2" t="n"/>
      <c r="I856" s="2" t="n"/>
    </row>
    <row r="857" ht="15.75" customHeight="1">
      <c r="H857" s="2" t="n"/>
      <c r="I857" s="2" t="n"/>
    </row>
    <row r="858" ht="15.75" customHeight="1">
      <c r="H858" s="2" t="n"/>
      <c r="I858" s="2" t="n"/>
    </row>
    <row r="859" ht="15.75" customHeight="1">
      <c r="H859" s="2" t="n"/>
      <c r="I859" s="2" t="n"/>
    </row>
    <row r="860" ht="15.75" customHeight="1">
      <c r="H860" s="2" t="n"/>
      <c r="I860" s="2" t="n"/>
    </row>
    <row r="861" ht="15.75" customHeight="1">
      <c r="H861" s="2" t="n"/>
      <c r="I861" s="2" t="n"/>
    </row>
    <row r="862" ht="15.75" customHeight="1">
      <c r="H862" s="2" t="n"/>
      <c r="I862" s="2" t="n"/>
    </row>
    <row r="863" ht="15.75" customHeight="1">
      <c r="H863" s="2" t="n"/>
      <c r="I863" s="2" t="n"/>
    </row>
    <row r="864" ht="15.75" customHeight="1">
      <c r="H864" s="2" t="n"/>
      <c r="I864" s="2" t="n"/>
    </row>
    <row r="865" ht="15.75" customHeight="1">
      <c r="H865" s="2" t="n"/>
      <c r="I865" s="2" t="n"/>
    </row>
    <row r="866" ht="15.75" customHeight="1">
      <c r="H866" s="2" t="n"/>
      <c r="I866" s="2" t="n"/>
    </row>
    <row r="867" ht="15.75" customHeight="1">
      <c r="H867" s="2" t="n"/>
      <c r="I867" s="2" t="n"/>
    </row>
    <row r="868" ht="15.75" customHeight="1">
      <c r="H868" s="2" t="n"/>
      <c r="I868" s="2" t="n"/>
    </row>
    <row r="869" ht="15.75" customHeight="1">
      <c r="H869" s="2" t="n"/>
      <c r="I869" s="2" t="n"/>
    </row>
    <row r="870" ht="15.75" customHeight="1">
      <c r="H870" s="2" t="n"/>
      <c r="I870" s="2" t="n"/>
    </row>
    <row r="871" ht="15.75" customHeight="1">
      <c r="H871" s="2" t="n"/>
      <c r="I871" s="2" t="n"/>
    </row>
    <row r="872" ht="15.75" customHeight="1">
      <c r="H872" s="2" t="n"/>
      <c r="I872" s="2" t="n"/>
    </row>
    <row r="873" ht="15.75" customHeight="1">
      <c r="H873" s="2" t="n"/>
      <c r="I873" s="2" t="n"/>
    </row>
    <row r="874" ht="15.75" customHeight="1">
      <c r="H874" s="2" t="n"/>
      <c r="I874" s="2" t="n"/>
    </row>
    <row r="875" ht="15.75" customHeight="1">
      <c r="H875" s="2" t="n"/>
      <c r="I875" s="2" t="n"/>
    </row>
    <row r="876" ht="15.75" customHeight="1">
      <c r="H876" s="2" t="n"/>
      <c r="I876" s="2" t="n"/>
    </row>
    <row r="877" ht="15.75" customHeight="1">
      <c r="H877" s="2" t="n"/>
      <c r="I877" s="2" t="n"/>
    </row>
    <row r="878" ht="15.75" customHeight="1">
      <c r="H878" s="2" t="n"/>
      <c r="I878" s="2" t="n"/>
    </row>
    <row r="879" ht="15.75" customHeight="1">
      <c r="H879" s="2" t="n"/>
      <c r="I879" s="2" t="n"/>
    </row>
    <row r="880" ht="15.75" customHeight="1">
      <c r="H880" s="2" t="n"/>
      <c r="I880" s="2" t="n"/>
    </row>
    <row r="881" ht="15.75" customHeight="1">
      <c r="H881" s="2" t="n"/>
      <c r="I881" s="2" t="n"/>
    </row>
    <row r="882" ht="15.75" customHeight="1">
      <c r="H882" s="2" t="n"/>
      <c r="I882" s="2" t="n"/>
    </row>
    <row r="883" ht="15.75" customHeight="1">
      <c r="H883" s="2" t="n"/>
      <c r="I883" s="2" t="n"/>
    </row>
    <row r="884" ht="15.75" customHeight="1">
      <c r="H884" s="2" t="n"/>
      <c r="I884" s="2" t="n"/>
    </row>
    <row r="885" ht="15.75" customHeight="1">
      <c r="H885" s="2" t="n"/>
      <c r="I885" s="2" t="n"/>
    </row>
    <row r="886" ht="15.75" customHeight="1">
      <c r="H886" s="2" t="n"/>
      <c r="I886" s="2" t="n"/>
    </row>
    <row r="887" ht="15.75" customHeight="1">
      <c r="H887" s="2" t="n"/>
      <c r="I887" s="2" t="n"/>
    </row>
    <row r="888" ht="15.75" customHeight="1">
      <c r="H888" s="2" t="n"/>
      <c r="I888" s="2" t="n"/>
    </row>
    <row r="889" ht="15.75" customHeight="1">
      <c r="H889" s="2" t="n"/>
      <c r="I889" s="2" t="n"/>
    </row>
    <row r="890" ht="15.75" customHeight="1">
      <c r="H890" s="2" t="n"/>
      <c r="I890" s="2" t="n"/>
    </row>
    <row r="891" ht="15.75" customHeight="1">
      <c r="H891" s="2" t="n"/>
      <c r="I891" s="2" t="n"/>
    </row>
    <row r="892" ht="15.75" customHeight="1">
      <c r="H892" s="2" t="n"/>
      <c r="I892" s="2" t="n"/>
    </row>
    <row r="893" ht="15.75" customHeight="1">
      <c r="H893" s="2" t="n"/>
      <c r="I893" s="2" t="n"/>
    </row>
    <row r="894" ht="15.75" customHeight="1">
      <c r="H894" s="2" t="n"/>
      <c r="I894" s="2" t="n"/>
    </row>
    <row r="895" ht="15.75" customHeight="1">
      <c r="H895" s="2" t="n"/>
      <c r="I895" s="2" t="n"/>
    </row>
    <row r="896" ht="15.75" customHeight="1">
      <c r="H896" s="2" t="n"/>
      <c r="I896" s="2" t="n"/>
    </row>
    <row r="897" ht="15.75" customHeight="1">
      <c r="H897" s="2" t="n"/>
      <c r="I897" s="2" t="n"/>
    </row>
    <row r="898" ht="15.75" customHeight="1">
      <c r="H898" s="2" t="n"/>
      <c r="I898" s="2" t="n"/>
    </row>
    <row r="899" ht="15.75" customHeight="1">
      <c r="H899" s="2" t="n"/>
      <c r="I899" s="2" t="n"/>
    </row>
    <row r="900" ht="15.75" customHeight="1">
      <c r="H900" s="2" t="n"/>
      <c r="I900" s="2" t="n"/>
    </row>
    <row r="901" ht="15.75" customHeight="1">
      <c r="H901" s="2" t="n"/>
      <c r="I901" s="2" t="n"/>
    </row>
    <row r="902" ht="15.75" customHeight="1">
      <c r="H902" s="2" t="n"/>
      <c r="I902" s="2" t="n"/>
    </row>
    <row r="903" ht="15.75" customHeight="1">
      <c r="H903" s="2" t="n"/>
      <c r="I903" s="2" t="n"/>
    </row>
    <row r="904" ht="15.75" customHeight="1">
      <c r="H904" s="2" t="n"/>
      <c r="I904" s="2" t="n"/>
    </row>
    <row r="905" ht="15.75" customHeight="1">
      <c r="H905" s="2" t="n"/>
      <c r="I905" s="2" t="n"/>
    </row>
    <row r="906" ht="15.75" customHeight="1">
      <c r="H906" s="2" t="n"/>
      <c r="I906" s="2" t="n"/>
    </row>
    <row r="907" ht="15.75" customHeight="1">
      <c r="H907" s="2" t="n"/>
      <c r="I907" s="2" t="n"/>
    </row>
    <row r="908" ht="15.75" customHeight="1">
      <c r="H908" s="2" t="n"/>
      <c r="I908" s="2" t="n"/>
    </row>
    <row r="909" ht="15.75" customHeight="1">
      <c r="H909" s="2" t="n"/>
      <c r="I909" s="2" t="n"/>
    </row>
    <row r="910" ht="15.75" customHeight="1">
      <c r="H910" s="2" t="n"/>
      <c r="I910" s="2" t="n"/>
    </row>
    <row r="911" ht="15.75" customHeight="1">
      <c r="H911" s="2" t="n"/>
      <c r="I911" s="2" t="n"/>
    </row>
    <row r="912" ht="15.75" customHeight="1">
      <c r="H912" s="2" t="n"/>
      <c r="I912" s="2" t="n"/>
    </row>
    <row r="913" ht="15.75" customHeight="1">
      <c r="H913" s="2" t="n"/>
      <c r="I913" s="2" t="n"/>
    </row>
    <row r="914" ht="15.75" customHeight="1">
      <c r="H914" s="2" t="n"/>
      <c r="I914" s="2" t="n"/>
    </row>
    <row r="915" ht="15.75" customHeight="1">
      <c r="H915" s="2" t="n"/>
      <c r="I915" s="2" t="n"/>
    </row>
    <row r="916" ht="15.75" customHeight="1">
      <c r="H916" s="2" t="n"/>
      <c r="I916" s="2" t="n"/>
    </row>
    <row r="917" ht="15.75" customHeight="1">
      <c r="H917" s="2" t="n"/>
      <c r="I917" s="2" t="n"/>
    </row>
    <row r="918" ht="15.75" customHeight="1">
      <c r="H918" s="2" t="n"/>
      <c r="I918" s="2" t="n"/>
    </row>
    <row r="919" ht="15.75" customHeight="1">
      <c r="H919" s="2" t="n"/>
      <c r="I919" s="2" t="n"/>
    </row>
    <row r="920" ht="15.75" customHeight="1">
      <c r="H920" s="2" t="n"/>
      <c r="I920" s="2" t="n"/>
    </row>
    <row r="921" ht="15.75" customHeight="1">
      <c r="H921" s="2" t="n"/>
      <c r="I921" s="2" t="n"/>
    </row>
    <row r="922" ht="15.75" customHeight="1">
      <c r="H922" s="2" t="n"/>
      <c r="I922" s="2" t="n"/>
    </row>
    <row r="923" ht="15.75" customHeight="1">
      <c r="H923" s="2" t="n"/>
      <c r="I923" s="2" t="n"/>
    </row>
    <row r="924" ht="15.75" customHeight="1">
      <c r="H924" s="2" t="n"/>
      <c r="I924" s="2" t="n"/>
    </row>
    <row r="925" ht="15.75" customHeight="1">
      <c r="H925" s="2" t="n"/>
      <c r="I925" s="2" t="n"/>
    </row>
    <row r="926" ht="15.75" customHeight="1">
      <c r="H926" s="2" t="n"/>
      <c r="I926" s="2" t="n"/>
    </row>
    <row r="927" ht="15.75" customHeight="1">
      <c r="H927" s="2" t="n"/>
      <c r="I927" s="2" t="n"/>
    </row>
    <row r="928" ht="15.75" customHeight="1">
      <c r="H928" s="2" t="n"/>
      <c r="I928" s="2" t="n"/>
    </row>
    <row r="929" ht="15.75" customHeight="1">
      <c r="H929" s="2" t="n"/>
      <c r="I929" s="2" t="n"/>
    </row>
    <row r="930" ht="15.75" customHeight="1">
      <c r="H930" s="2" t="n"/>
      <c r="I930" s="2" t="n"/>
    </row>
    <row r="931" ht="15.75" customHeight="1">
      <c r="H931" s="2" t="n"/>
      <c r="I931" s="2" t="n"/>
    </row>
    <row r="932" ht="15.75" customHeight="1">
      <c r="H932" s="2" t="n"/>
      <c r="I932" s="2" t="n"/>
    </row>
    <row r="933" ht="15.75" customHeight="1">
      <c r="H933" s="2" t="n"/>
      <c r="I933" s="2" t="n"/>
    </row>
    <row r="934" ht="15.75" customHeight="1">
      <c r="H934" s="2" t="n"/>
      <c r="I934" s="2" t="n"/>
    </row>
    <row r="935" ht="15.75" customHeight="1">
      <c r="H935" s="2" t="n"/>
      <c r="I935" s="2" t="n"/>
    </row>
    <row r="936" ht="15.75" customHeight="1">
      <c r="H936" s="2" t="n"/>
      <c r="I936" s="2" t="n"/>
    </row>
    <row r="937" ht="15.75" customHeight="1">
      <c r="H937" s="2" t="n"/>
      <c r="I937" s="2" t="n"/>
    </row>
    <row r="938" ht="15.75" customHeight="1">
      <c r="H938" s="2" t="n"/>
      <c r="I938" s="2" t="n"/>
    </row>
    <row r="939" ht="15.75" customHeight="1">
      <c r="H939" s="2" t="n"/>
      <c r="I939" s="2" t="n"/>
    </row>
    <row r="940" ht="15.75" customHeight="1">
      <c r="H940" s="2" t="n"/>
      <c r="I940" s="2" t="n"/>
    </row>
    <row r="941" ht="15.75" customHeight="1">
      <c r="H941" s="2" t="n"/>
      <c r="I941" s="2" t="n"/>
    </row>
    <row r="942" ht="15.75" customHeight="1">
      <c r="H942" s="2" t="n"/>
      <c r="I942" s="2" t="n"/>
    </row>
    <row r="943" ht="15.75" customHeight="1">
      <c r="H943" s="2" t="n"/>
      <c r="I943" s="2" t="n"/>
    </row>
    <row r="944" ht="15.75" customHeight="1">
      <c r="H944" s="2" t="n"/>
      <c r="I944" s="2" t="n"/>
    </row>
    <row r="945" ht="15.75" customHeight="1">
      <c r="H945" s="2" t="n"/>
      <c r="I945" s="2" t="n"/>
    </row>
    <row r="946" ht="15.75" customHeight="1">
      <c r="H946" s="2" t="n"/>
      <c r="I946" s="2" t="n"/>
    </row>
    <row r="947" ht="15.75" customHeight="1">
      <c r="H947" s="2" t="n"/>
      <c r="I947" s="2" t="n"/>
    </row>
    <row r="948" ht="15.75" customHeight="1">
      <c r="H948" s="2" t="n"/>
      <c r="I948" s="2" t="n"/>
    </row>
    <row r="949" ht="15.75" customHeight="1">
      <c r="H949" s="2" t="n"/>
      <c r="I949" s="2" t="n"/>
    </row>
    <row r="950" ht="15.75" customHeight="1">
      <c r="H950" s="2" t="n"/>
      <c r="I950" s="2" t="n"/>
    </row>
    <row r="951" ht="15.75" customHeight="1">
      <c r="H951" s="2" t="n"/>
      <c r="I951" s="2" t="n"/>
    </row>
    <row r="952" ht="15.75" customHeight="1">
      <c r="H952" s="2" t="n"/>
      <c r="I952" s="2" t="n"/>
    </row>
    <row r="953" ht="15.75" customHeight="1">
      <c r="H953" s="2" t="n"/>
      <c r="I953" s="2" t="n"/>
    </row>
    <row r="954" ht="15.75" customHeight="1">
      <c r="H954" s="2" t="n"/>
      <c r="I954" s="2" t="n"/>
    </row>
    <row r="955" ht="15.75" customHeight="1">
      <c r="H955" s="2" t="n"/>
      <c r="I955" s="2" t="n"/>
    </row>
    <row r="956" ht="15.75" customHeight="1">
      <c r="H956" s="2" t="n"/>
      <c r="I956" s="2" t="n"/>
    </row>
    <row r="957" ht="15.75" customHeight="1">
      <c r="H957" s="2" t="n"/>
      <c r="I957" s="2" t="n"/>
    </row>
    <row r="958" ht="15.75" customHeight="1">
      <c r="H958" s="2" t="n"/>
      <c r="I958" s="2" t="n"/>
    </row>
    <row r="959" ht="15.75" customHeight="1">
      <c r="H959" s="2" t="n"/>
      <c r="I959" s="2" t="n"/>
    </row>
    <row r="960" ht="15.75" customHeight="1">
      <c r="H960" s="2" t="n"/>
      <c r="I960" s="2" t="n"/>
    </row>
    <row r="961" ht="15.75" customHeight="1">
      <c r="H961" s="2" t="n"/>
      <c r="I961" s="2" t="n"/>
    </row>
    <row r="962" ht="15.75" customHeight="1">
      <c r="H962" s="2" t="n"/>
      <c r="I962" s="2" t="n"/>
    </row>
    <row r="963" ht="15.75" customHeight="1">
      <c r="H963" s="2" t="n"/>
      <c r="I963" s="2" t="n"/>
    </row>
    <row r="964" ht="15.75" customHeight="1">
      <c r="H964" s="2" t="n"/>
      <c r="I964" s="2" t="n"/>
    </row>
    <row r="965" ht="15.75" customHeight="1">
      <c r="H965" s="2" t="n"/>
      <c r="I965" s="2" t="n"/>
    </row>
    <row r="966" ht="15.75" customHeight="1">
      <c r="H966" s="2" t="n"/>
      <c r="I966" s="2" t="n"/>
    </row>
    <row r="967" ht="15.75" customHeight="1">
      <c r="H967" s="2" t="n"/>
      <c r="I967" s="2" t="n"/>
    </row>
    <row r="968" ht="15.75" customHeight="1">
      <c r="H968" s="2" t="n"/>
      <c r="I968" s="2" t="n"/>
    </row>
    <row r="969" ht="15.75" customHeight="1">
      <c r="H969" s="2" t="n"/>
      <c r="I969" s="2" t="n"/>
    </row>
    <row r="970" ht="15.75" customHeight="1">
      <c r="H970" s="2" t="n"/>
      <c r="I970" s="2" t="n"/>
    </row>
    <row r="971" ht="15.75" customHeight="1">
      <c r="H971" s="2" t="n"/>
      <c r="I971" s="2" t="n"/>
    </row>
    <row r="972" ht="15.75" customHeight="1">
      <c r="H972" s="2" t="n"/>
      <c r="I972" s="2" t="n"/>
    </row>
    <row r="973" ht="15.75" customHeight="1">
      <c r="H973" s="2" t="n"/>
      <c r="I973" s="2" t="n"/>
    </row>
    <row r="974" ht="15.75" customHeight="1">
      <c r="H974" s="2" t="n"/>
      <c r="I974" s="2" t="n"/>
    </row>
    <row r="975" ht="15.75" customHeight="1">
      <c r="H975" s="2" t="n"/>
      <c r="I975" s="2" t="n"/>
    </row>
    <row r="976" ht="15.75" customHeight="1">
      <c r="H976" s="2" t="n"/>
      <c r="I976" s="2" t="n"/>
    </row>
    <row r="977" ht="15.75" customHeight="1">
      <c r="H977" s="2" t="n"/>
      <c r="I977" s="2" t="n"/>
    </row>
    <row r="978" ht="15.75" customHeight="1">
      <c r="H978" s="2" t="n"/>
      <c r="I978" s="2" t="n"/>
    </row>
    <row r="979" ht="15.75" customHeight="1">
      <c r="H979" s="2" t="n"/>
      <c r="I979" s="2" t="n"/>
    </row>
    <row r="980" ht="15.75" customHeight="1">
      <c r="H980" s="2" t="n"/>
      <c r="I980" s="2" t="n"/>
    </row>
    <row r="981" ht="15.75" customHeight="1">
      <c r="H981" s="2" t="n"/>
      <c r="I981" s="2" t="n"/>
    </row>
    <row r="982" ht="15.75" customHeight="1">
      <c r="H982" s="2" t="n"/>
      <c r="I982" s="2" t="n"/>
    </row>
    <row r="983" ht="15.75" customHeight="1">
      <c r="H983" s="2" t="n"/>
      <c r="I983" s="2" t="n"/>
    </row>
    <row r="984" ht="15.75" customHeight="1">
      <c r="H984" s="2" t="n"/>
      <c r="I984" s="2" t="n"/>
    </row>
    <row r="985" ht="15.75" customHeight="1">
      <c r="H985" s="2" t="n"/>
      <c r="I985" s="2" t="n"/>
    </row>
    <row r="986" ht="15.75" customHeight="1">
      <c r="H986" s="2" t="n"/>
      <c r="I986" s="2" t="n"/>
    </row>
    <row r="987" ht="15.75" customHeight="1">
      <c r="H987" s="2" t="n"/>
      <c r="I987" s="2" t="n"/>
    </row>
    <row r="988" ht="15.75" customHeight="1">
      <c r="H988" s="2" t="n"/>
      <c r="I988" s="2" t="n"/>
    </row>
    <row r="989" ht="15.75" customHeight="1">
      <c r="H989" s="2" t="n"/>
      <c r="I989" s="2" t="n"/>
    </row>
    <row r="990" ht="15.75" customHeight="1">
      <c r="H990" s="2" t="n"/>
      <c r="I990" s="2" t="n"/>
    </row>
    <row r="991" ht="15.75" customHeight="1">
      <c r="H991" s="2" t="n"/>
      <c r="I991" s="2" t="n"/>
    </row>
    <row r="992" ht="15.75" customHeight="1">
      <c r="H992" s="2" t="n"/>
      <c r="I992" s="2" t="n"/>
    </row>
    <row r="993" ht="15.75" customHeight="1">
      <c r="H993" s="2" t="n"/>
      <c r="I993" s="2" t="n"/>
    </row>
    <row r="994" ht="15.75" customHeight="1">
      <c r="H994" s="2" t="n"/>
      <c r="I994" s="2" t="n"/>
    </row>
    <row r="995" ht="15.75" customHeight="1">
      <c r="H995" s="2" t="n"/>
      <c r="I995" s="2" t="n"/>
    </row>
    <row r="996" ht="15.75" customHeight="1">
      <c r="H996" s="2" t="n"/>
      <c r="I996" s="2" t="n"/>
    </row>
    <row r="997" ht="15.75" customHeight="1">
      <c r="H997" s="2" t="n"/>
      <c r="I997" s="2" t="n"/>
    </row>
    <row r="998" ht="15.75" customHeight="1">
      <c r="H998" s="2" t="n"/>
      <c r="I998" s="2" t="n"/>
    </row>
    <row r="999" ht="15.75" customHeight="1">
      <c r="H999" s="2" t="n"/>
      <c r="I999" s="2" t="n"/>
    </row>
    <row r="1000" ht="15.75" customHeight="1">
      <c r="H1000" s="2" t="n"/>
      <c r="I1000" s="2" t="n"/>
    </row>
  </sheetData>
  <autoFilter ref="A1:O133">
    <filterColumn colId="2" hiddenButton="0" showButton="1">
      <filters>
        <filter val="Россия"/>
      </filters>
    </filterColumn>
  </autoFilter>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s>
  <pageMargins left="0.7" right="0.7" top="0.75" bottom="0.75" header="0" footer="0"/>
  <pageSetup orientation="landscape"/>
</worksheet>
</file>

<file path=xl/worksheets/sheet2.xml><?xml version="1.0" encoding="utf-8"?>
<worksheet xmlns="http://schemas.openxmlformats.org/spreadsheetml/2006/main">
  <sheetPr filterMode="1">
    <outlinePr summaryBelow="0" summaryRight="0"/>
    <pageSetUpPr/>
  </sheetPr>
  <dimension ref="A1:O518"/>
  <sheetViews>
    <sheetView tabSelected="1" topLeftCell="A465" workbookViewId="0">
      <selection activeCell="H484" sqref="H484"/>
    </sheetView>
  </sheetViews>
  <sheetFormatPr baseColWidth="10" defaultColWidth="10.140625" defaultRowHeight="15" customHeight="1"/>
  <cols>
    <col width="17.7109375" customWidth="1" min="1" max="1"/>
    <col width="17" customWidth="1" min="6" max="6"/>
    <col width="14.85546875" customWidth="1" min="7" max="7"/>
    <col width="91.5703125" customWidth="1" min="8" max="8"/>
    <col width="15.42578125" customWidth="1" min="9" max="9"/>
    <col width="19.28515625" customWidth="1" min="10" max="10"/>
    <col width="11.7109375" customWidth="1" min="11" max="11"/>
    <col width="20.28515625" customWidth="1" min="12" max="12"/>
    <col width="22.140625" customWidth="1" min="13" max="13"/>
    <col width="22.7109375" customWidth="1" min="14" max="14"/>
    <col width="20.7109375" customWidth="1" min="15" max="15"/>
  </cols>
  <sheetData>
    <row r="1" ht="34" customHeight="1">
      <c r="A1" s="1" t="inlineStr">
        <is>
          <t>Компания</t>
        </is>
      </c>
      <c r="B1" s="1" t="inlineStr">
        <is>
          <t>Стенд</t>
        </is>
      </c>
      <c r="C1" s="1" t="inlineStr">
        <is>
          <t>Страна</t>
        </is>
      </c>
      <c r="D1" s="1" t="inlineStr">
        <is>
          <t>Город</t>
        </is>
      </c>
      <c r="E1" s="1" t="inlineStr">
        <is>
          <t>Адрес</t>
        </is>
      </c>
      <c r="F1" s="1" t="inlineStr">
        <is>
          <t>Сайт</t>
        </is>
      </c>
      <c r="G1" s="1" t="inlineStr">
        <is>
          <t>E-mail</t>
        </is>
      </c>
      <c r="H1" s="1" t="inlineStr">
        <is>
          <t>Описание</t>
        </is>
      </c>
      <c r="I1" s="1" t="inlineStr">
        <is>
          <t>Рубрики</t>
        </is>
      </c>
      <c r="J1" s="3" t="inlineStr">
        <is>
          <t>Производитель / Поставщик Услуг</t>
        </is>
      </c>
      <c r="K1" s="4" t="inlineStr">
        <is>
          <t>Проверка</t>
        </is>
      </c>
      <c r="L1" s="4" t="inlineStr">
        <is>
          <t>Продукция</t>
        </is>
      </c>
      <c r="M1" s="4" t="inlineStr">
        <is>
          <t>Компания (сокращенно)</t>
        </is>
      </c>
      <c r="N1" s="5" t="inlineStr">
        <is>
          <t>Конференция</t>
        </is>
      </c>
      <c r="O1" s="5" t="inlineStr">
        <is>
          <t>Конференция сайт</t>
        </is>
      </c>
    </row>
    <row r="2" ht="16" customHeight="1">
      <c r="A2" s="1" t="inlineStr">
        <is>
          <t>МЕДРЕНТЕХ, СКБ, ООО</t>
        </is>
      </c>
      <c r="B2" s="1" t="inlineStr">
        <is>
          <t>8D100</t>
        </is>
      </c>
      <c r="C2" s="1" t="inlineStr">
        <is>
          <t>Россия</t>
        </is>
      </c>
      <c r="D2" s="1" t="inlineStr">
        <is>
          <t>Москва</t>
        </is>
      </c>
      <c r="E2" s="1" t="inlineStr">
        <is>
          <t>Россия, 108820, г. Москва, р-н Коммунарка, п. завода Мосрентген, ул. Героя России Соломатина, д. 6, корп. 3</t>
        </is>
      </c>
      <c r="F2" s="1" t="inlineStr">
        <is>
          <t>http://www.медрентех.рф</t>
        </is>
      </c>
      <c r="G2" s="1" t="inlineStr">
        <is>
          <t>skbmrt@skbmrt.ru</t>
        </is>
      </c>
      <c r="H2" s="1" t="inlineStr">
        <is>
          <t>ООО «СКБ «МЕДРЕНТЕХ» — российский разработчик и производитель высокотехнологичного медицинского оборудования, предлагающий решения для рентгеновских диагностических исследований и терапии.</t>
        </is>
      </c>
      <c r="I2" s="1" t="inlineStr">
        <is>
          <t>Прочие диагностические устройства; Рентгеновские диагностические установки, передвижные и стационарные; Маммографы; Флюорографы</t>
        </is>
      </c>
      <c r="J2" s="1">
        <f>IFERROR(__xludf.DUMMYFUNCTION("AI(Prompt!$B$6, H2:I2)"),"Производитель")</f>
        <v/>
      </c>
      <c r="K2" s="1">
        <f>IFERROR(__xludf.DUMMYFUNCTION("AI(Prompt!$B$12, H2:J2)"),"OK")</f>
        <v/>
      </c>
      <c r="L2" s="1">
        <f>IFERROR(__xludf.DUMMYFUNCTION("AI(Prompt!$B$17, H2:I2)"),"диагностические устройства, рентгеновские установки, маммографы и флюорографы")</f>
        <v/>
      </c>
      <c r="M2" s="1">
        <f>IFERROR(__xludf.DUMMYFUNCTION("AI(Prompt!$B$21,A2)"),"МЕДРЕНТЕХ, СКБ")</f>
        <v/>
      </c>
      <c r="N2" s="1" t="inlineStr">
        <is>
          <t>Здравоохранение-2025</t>
        </is>
      </c>
      <c r="O2" s="9" t="inlineStr">
        <is>
          <t>https://icatalog.expocentr.ru/ru/exhibitions/de590dc5-417d-11ee-80ce-a0d3c1fab97f</t>
        </is>
      </c>
    </row>
    <row r="3" ht="16" customHeight="1">
      <c r="A3" s="1" t="inlineStr">
        <is>
          <t>ПРОДЖЕКТ ТРЕЙД, ООО</t>
        </is>
      </c>
      <c r="B3" s="1" t="inlineStr">
        <is>
          <t>8D130</t>
        </is>
      </c>
      <c r="C3" s="1" t="inlineStr">
        <is>
          <t>Россия</t>
        </is>
      </c>
      <c r="D3" s="1" t="inlineStr">
        <is>
          <t>Москва</t>
        </is>
      </c>
      <c r="E3" s="1" t="inlineStr">
        <is>
          <t>Россия, 115419, г. Москва, 2-й Рощинский пр-д, д. 8, пом. XI, этаж 6, комн. 2-11</t>
        </is>
      </c>
      <c r="F3" s="10" t="inlineStr">
        <is>
          <t>http://www.projecttrade.ru</t>
        </is>
      </c>
      <c r="G3" s="1" t="inlineStr">
        <is>
          <t>a.melnikova@projecttrade.ru</t>
        </is>
      </c>
      <c r="H3" s="1" t="inlineStr">
        <is>
          <t>Компания «Проджект Трейд» — поставщик медоборудования и расходных материалов, производства Hamilton Medical AG, Infomed SA, Medela AG, Phoenix Medical Systems Private Limited. Сервисные услуги.</t>
        </is>
      </c>
      <c r="I3" s="1" t="inlineStr">
        <is>
          <t>Инкубаторы и открытые реанимационные системы; Расходные материалы для медицинского оборудования; Оборудование и расходные материалы для проведения гемосорбции, гемодиализа и плазмофереза; Средства для оказания экстренной медицинской помощи; Аппараты для искусственной вентиляции легких; Вакуумные экстракторы, аспираторы</t>
        </is>
      </c>
      <c r="J3" s="1">
        <f>IFERROR(__xludf.DUMMYFUNCTION("AI(Prompt!$B$6, H3:I3)"),"Дилер")</f>
        <v/>
      </c>
      <c r="K3" s="1">
        <f>IFERROR(__xludf.DUMMYFUNCTION("AI(Prompt!$B$12, H3:J3)"),"OK")</f>
        <v/>
      </c>
      <c r="L3" s="1">
        <f>IFERROR(__xludf.DUMMYFUNCTION("AI(Prompt!$B$17, H3:I3)"),"медоборудование, расходные материалы, инкубаторы, аспираторы и аппараты ИВЛ")</f>
        <v/>
      </c>
      <c r="M3" s="1">
        <f>IFERROR(__xludf.DUMMYFUNCTION("AI(Prompt!$B$21,A3)"),"Проджект Трейд")</f>
        <v/>
      </c>
      <c r="N3" s="1" t="inlineStr">
        <is>
          <t>Здравоохранение-2025</t>
        </is>
      </c>
      <c r="O3" s="9" t="inlineStr">
        <is>
          <t>https://icatalog.expocentr.ru/ru/exhibitions/de590dc5-417d-11ee-80ce-a0d3c1fab97f</t>
        </is>
      </c>
    </row>
    <row r="4" ht="16" customHeight="1">
      <c r="A4" s="1" t="inlineStr">
        <is>
          <t>МЕДИЦИНСКИЕ ТЕХНОЛОГИИ ЛТД, АО (МТЛ)</t>
        </is>
      </c>
      <c r="B4" s="1" t="inlineStr">
        <is>
          <t>8F010</t>
        </is>
      </c>
      <c r="C4" s="1" t="inlineStr">
        <is>
          <t>Россия</t>
        </is>
      </c>
      <c r="D4" s="1" t="inlineStr">
        <is>
          <t>Москва</t>
        </is>
      </c>
      <c r="E4" s="1" t="inlineStr">
        <is>
          <t>Россия, 105118, г. Москва, Измайловское ш., д. 6, пом. 12</t>
        </is>
      </c>
      <c r="F4" s="10" t="inlineStr">
        <is>
          <t>http://www.mtl.ru</t>
        </is>
      </c>
      <c r="G4" s="1" t="inlineStr">
        <is>
          <t>mtl@mtl.ru</t>
        </is>
      </c>
      <c r="H4" s="1" t="inlineStr">
        <is>
          <t>МТЛ — № 1 в списке системообразующих предприятий медицинской промышленности России. Ведущий российский разработчик, производитель цифрового оборудования и информационных систем для лучевой диагностики.</t>
        </is>
      </c>
      <c r="I4" s="1" t="inlineStr">
        <is>
          <t>Рентгеновские диагностические установки, передвижные и стационарные; Компьютерные томографы; Маммографы; Флюорографы</t>
        </is>
      </c>
      <c r="J4" s="1">
        <f>IFERROR(__xludf.DUMMYFUNCTION("AI(Prompt!$B$6, H4:I4)"),"Производитель")</f>
        <v/>
      </c>
      <c r="K4" s="1">
        <f>IFERROR(__xludf.DUMMYFUNCTION("AI(Prompt!$B$12, H4:J4)"),"OK")</f>
        <v/>
      </c>
      <c r="L4" s="1">
        <f>IFERROR(__xludf.DUMMYFUNCTION("AI(Prompt!$B$17, H4:I4)"),"рентгеновские установки, томографы, маммографы и флюорографы")</f>
        <v/>
      </c>
      <c r="M4" s="1">
        <f>IFERROR(__xludf.DUMMYFUNCTION("AI(Prompt!$B$21,A4)"),"МТЛ")</f>
        <v/>
      </c>
      <c r="N4" s="1" t="inlineStr">
        <is>
          <t>Здравоохранение-2025</t>
        </is>
      </c>
      <c r="O4" s="9" t="inlineStr">
        <is>
          <t>https://icatalog.expocentr.ru/ru/exhibitions/de590dc5-417d-11ee-80ce-a0d3c1fab97f</t>
        </is>
      </c>
    </row>
    <row r="5" ht="16" customHeight="1">
      <c r="A5" s="1" t="inlineStr">
        <is>
          <t>ЭКСПЕРТ ТОМОГРАФ</t>
        </is>
      </c>
      <c r="B5" s="1" t="inlineStr">
        <is>
          <t>8A030</t>
        </is>
      </c>
      <c r="C5" s="1" t="inlineStr">
        <is>
          <t>Россия</t>
        </is>
      </c>
      <c r="D5" s="1" t="inlineStr">
        <is>
          <t>Тула</t>
        </is>
      </c>
      <c r="E5" s="1" t="inlineStr">
        <is>
          <t>Россия, 300041, г. Тула, ул. Тургеневская, д. 50, литера А, оф. 701</t>
        </is>
      </c>
      <c r="F5" s="10" t="inlineStr">
        <is>
          <t>http://www.expert-tomograph.ru</t>
        </is>
      </c>
      <c r="G5" s="1" t="inlineStr">
        <is>
          <t>info@e-tmg.ru</t>
        </is>
      </c>
      <c r="H5" s="16" t="inlineStr">
        <is>
          <t>Сервис по ремонту, обслуживанию, поставкам запчастей МРТ/КТ (Canon, Philips, Siemens, General Electric). Компонентный ремонт и восстановление РЧ-катушек МРТ, а также блоков и других узлов МРТ.</t>
        </is>
      </c>
      <c r="I5" s="1" t="inlineStr">
        <is>
          <t>Рентгеновские диагностические установки, передвижные и стационарные; Вспомогательное оборудование; Компьютерные томографы; ПЭТ; Маммографы; Магнитно-резонансные томографы</t>
        </is>
      </c>
      <c r="J5" s="1">
        <f>IFERROR(__xludf.DUMMYFUNCTION("AI(Prompt!$B$6, H5:I5)"),"Поставщик услуг")</f>
        <v/>
      </c>
      <c r="K5" s="1">
        <f>IFERROR(__xludf.DUMMYFUNCTION("AI(Prompt!$B$12, H5:J5)"),"OK")</f>
        <v/>
      </c>
      <c r="L5" s="1">
        <f>IFERROR(__xludf.DUMMYFUNCTION("AI(Prompt!$B$17, H5:I5)"),"томографы, рентгеновские установки, маммографы и запчасти")</f>
        <v/>
      </c>
      <c r="M5" s="1">
        <f>IFERROR(__xludf.DUMMYFUNCTION("AI(Prompt!$B$21,A5)"),"Эксперт Томограф")</f>
        <v/>
      </c>
      <c r="N5" s="1" t="inlineStr">
        <is>
          <t>Здравоохранение-2025</t>
        </is>
      </c>
      <c r="O5" s="9" t="inlineStr">
        <is>
          <t>https://icatalog.expocentr.ru/ru/exhibitions/de590dc5-417d-11ee-80ce-a0d3c1fab97f</t>
        </is>
      </c>
    </row>
    <row r="6" ht="16" customHeight="1">
      <c r="A6" s="1" t="inlineStr">
        <is>
          <t>БТЛ, ООО</t>
        </is>
      </c>
      <c r="B6" s="1" t="inlineStr">
        <is>
          <t>8B120</t>
        </is>
      </c>
      <c r="C6" s="1" t="inlineStr">
        <is>
          <t>Россия</t>
        </is>
      </c>
      <c r="D6" s="1" t="inlineStr">
        <is>
          <t>Москва</t>
        </is>
      </c>
      <c r="E6" s="1" t="inlineStr">
        <is>
          <t>Россия, 125284, г. Москва, Ленинградский просп., д. 35, стр. 2, пом. XVIII</t>
        </is>
      </c>
      <c r="F6" s="10" t="inlineStr">
        <is>
          <t>http://www.btlnet.com</t>
        </is>
      </c>
      <c r="G6" s="1" t="inlineStr">
        <is>
          <t>btl-ru@btlnet.com</t>
        </is>
      </c>
      <c r="H6" s="1" t="inlineStr">
        <is>
          <t>BTL — мировой лидер в области разработки и производства медицинского и эстетического оборудования.</t>
        </is>
      </c>
      <c r="I6" s="1" t="inlineStr">
        <is>
          <t>Оборудование для мониторинга функций сердечно-сосудистой системы; Приборы и принадлежности для кардиографических исследований; Системы мониторирования ЭКГ и АД; Ортопедическое оборудование и инструменты</t>
        </is>
      </c>
      <c r="J6" s="1">
        <f>IFERROR(__xludf.DUMMYFUNCTION("AI(Prompt!$B$6, H6:I6)"),"Производитель")</f>
        <v/>
      </c>
      <c r="K6" s="1">
        <f>IFERROR(__xludf.DUMMYFUNCTION("AI(Prompt!$B$12, H6:J6)"),"OK")</f>
        <v/>
      </c>
      <c r="L6" s="1">
        <f>IFERROR(__xludf.DUMMYFUNCTION("AI(Prompt!$B$17, H6:I6)"),"медицинское оборудование, эстетическое оборудование и ортопедическое оборудование")</f>
        <v/>
      </c>
      <c r="M6" s="1">
        <f>IFERROR(__xludf.DUMMYFUNCTION("AI(Prompt!$B$21,A6)"),"БТЛ")</f>
        <v/>
      </c>
      <c r="N6" s="1" t="inlineStr">
        <is>
          <t>Здравоохранение-2025</t>
        </is>
      </c>
      <c r="O6" s="9" t="inlineStr">
        <is>
          <t>https://icatalog.expocentr.ru/ru/exhibitions/de590dc5-417d-11ee-80ce-a0d3c1fab97f</t>
        </is>
      </c>
    </row>
    <row r="7" ht="16" customHeight="1">
      <c r="A7" s="1" t="inlineStr">
        <is>
          <t>РАША БОНСС МЕДИКАЛ ТЕХНОЛОДЖИ КО. ЛТД</t>
        </is>
      </c>
      <c r="B7" s="1" t="inlineStr">
        <is>
          <t>8A140</t>
        </is>
      </c>
      <c r="C7" s="1" t="inlineStr">
        <is>
          <t>Россия</t>
        </is>
      </c>
      <c r="D7" s="1" t="inlineStr">
        <is>
          <t>Смоленск</t>
        </is>
      </c>
      <c r="E7" s="1" t="inlineStr">
        <is>
          <t>Россия, 214031, г. Смоленск, ул. Рыленкова, д. 11Б, оф. 2</t>
        </is>
      </c>
      <c r="F7" s="10" t="inlineStr">
        <is>
          <t>http://www.bonss-russia.ru</t>
        </is>
      </c>
      <c r="G7" s="1" t="inlineStr">
        <is>
          <t>m.vavilov@bonss-russia.ru</t>
        </is>
      </c>
      <c r="H7" s="1" t="inlineStr">
        <is>
          <t>Радиочастотные хирургические системы и холодноплазменные биполярные электроды для артроскопии, нейрохирургии, лор (тонзиллэктомии и аденоидэктомии), резектоскопы и электроды для урологии и гинекологии.</t>
        </is>
      </c>
      <c r="I7" s="1" t="inlineStr">
        <is>
          <t>Инструменты гинекологические; Эндоскопы жесткие; Ортопедическое оборудование и инструменты</t>
        </is>
      </c>
      <c r="J7" s="1">
        <f>IFERROR(__xludf.DUMMYFUNCTION("AI(Prompt!$B$6, H7:I7)"),"Производитель")</f>
        <v/>
      </c>
      <c r="K7" s="1">
        <f>IFERROR(__xludf.DUMMYFUNCTION("AI(Prompt!$B$12, H7:J7)"),"OK")</f>
        <v/>
      </c>
      <c r="L7" s="1">
        <f>IFERROR(__xludf.DUMMYFUNCTION("AI(Prompt!$B$17, H7:I7)"),"хирургические системы, электроды, эндоскопы и инструменты")</f>
        <v/>
      </c>
      <c r="M7" s="1">
        <f>IFERROR(__xludf.DUMMYFUNCTION("AI(Prompt!$B$21,A7)"),"Раша Бонсс Медикал Технолоджи")</f>
        <v/>
      </c>
      <c r="N7" s="1" t="inlineStr">
        <is>
          <t>Здравоохранение-2025</t>
        </is>
      </c>
      <c r="O7" s="9" t="inlineStr">
        <is>
          <t>https://icatalog.expocentr.ru/ru/exhibitions/de590dc5-417d-11ee-80ce-a0d3c1fab97f</t>
        </is>
      </c>
    </row>
    <row r="8" ht="16" customHeight="1">
      <c r="A8" s="1" t="inlineStr">
        <is>
          <t>НЕЙРОСОФТ, ООО</t>
        </is>
      </c>
      <c r="B8" s="1" t="inlineStr">
        <is>
          <t>8D010</t>
        </is>
      </c>
      <c r="C8" s="1" t="inlineStr">
        <is>
          <t>Россия</t>
        </is>
      </c>
      <c r="D8" s="1" t="inlineStr">
        <is>
          <t>Иваново</t>
        </is>
      </c>
      <c r="E8" s="1" t="inlineStr">
        <is>
          <t>Россия, 153032, г. Иваново, ул. Воронина, д. 5</t>
        </is>
      </c>
      <c r="F8" s="10" t="inlineStr">
        <is>
          <t>https://neurosoft.com</t>
        </is>
      </c>
      <c r="G8" s="1" t="inlineStr">
        <is>
          <t>info@neurosoft.com</t>
        </is>
      </c>
      <c r="H8" s="1" t="inlineStr">
        <is>
          <t>Компания разрабатывает и производит оборудование для функциональной диагностики, нейрофизиологии, аудиологии и реабилитации. Качество продукции подтверждают более 330 сертификатов по всему миру.</t>
        </is>
      </c>
      <c r="I8" s="1" t="inlineStr">
        <is>
          <t>Системы мониторирования ЭЭГ; Нейрофизиологическое оборудование; Оборудование и материалы для неонатального скрининга; Оборудование для урологической диагностики; Производство медицинских изделий; Реабилитационное оборудование</t>
        </is>
      </c>
      <c r="J8" s="1">
        <f>IFERROR(__xludf.DUMMYFUNCTION("AI(Prompt!$B$6, H8:I8)"),"Производитель")</f>
        <v/>
      </c>
      <c r="K8" s="1">
        <f>IFERROR(__xludf.DUMMYFUNCTION("AI(Prompt!$B$12, H8:J8)"),"OK")</f>
        <v/>
      </c>
      <c r="L8" s="1">
        <f>IFERROR(__xludf.DUMMYFUNCTION("AI(Prompt!$B$17, H8:I8)"),"медицинские изделия, реабилитационное оборудование, нейрофизиологическое оборудование и системы мониторирования ЭЭГ")</f>
        <v/>
      </c>
      <c r="M8" s="1">
        <f>IFERROR(__xludf.DUMMYFUNCTION("AI(Prompt!$B$21,A8)"),"Нейрософт")</f>
        <v/>
      </c>
      <c r="N8" s="1" t="inlineStr">
        <is>
          <t>Здравоохранение-2025</t>
        </is>
      </c>
      <c r="O8" s="9" t="inlineStr">
        <is>
          <t>https://icatalog.expocentr.ru/ru/exhibitions/de590dc5-417d-11ee-80ce-a0d3c1fab97f</t>
        </is>
      </c>
    </row>
    <row r="9" ht="16" customHeight="1">
      <c r="A9" s="1" t="inlineStr">
        <is>
          <t>С.П. ГЕЛПИК, ООО</t>
        </is>
      </c>
      <c r="B9" s="11" t="n">
        <v>8e+30</v>
      </c>
      <c r="C9" s="1" t="inlineStr">
        <is>
          <t>Россия</t>
        </is>
      </c>
      <c r="D9" s="1" t="inlineStr">
        <is>
          <t>Москва</t>
        </is>
      </c>
      <c r="E9" s="1" t="inlineStr">
        <is>
          <t>Россия, 117485, г. Москва, ул. Профсоюзная, д. 86, стр. 2</t>
        </is>
      </c>
      <c r="F9" s="10" t="inlineStr">
        <is>
          <t>http://www.helpic.ru</t>
        </is>
      </c>
      <c r="G9" s="1" t="inlineStr">
        <is>
          <t>mail@helpic.ru</t>
        </is>
      </c>
      <c r="H9" s="1" t="inlineStr">
        <is>
          <t>ООО «С.П. ГЕЛПИК» является одним из ведущих в Российской Федерации разработчиков, производителей и поставщиков рентгенодиагностического оборудования, выпускаемого под торговой маркой «РЕНЕКС».</t>
        </is>
      </c>
      <c r="I9" s="1" t="inlineStr">
        <is>
          <t>Рентгеновские диагностические установки, передвижные и стационарные; Средства защиты от рентгеновских лучей; Маммографы; Флюорографы; Магнитно-резонансные томографы</t>
        </is>
      </c>
      <c r="J9" s="1">
        <f>IFERROR(__xludf.DUMMYFUNCTION("AI(Prompt!$B$6, H9:I9)"),"Производитель")</f>
        <v/>
      </c>
      <c r="K9" s="1">
        <f>IFERROR(__xludf.DUMMYFUNCTION("AI(Prompt!$B$12, H9:J9)"),"OK")</f>
        <v/>
      </c>
      <c r="L9" s="1">
        <f>IFERROR(__xludf.DUMMYFUNCTION("AI(Prompt!$B$17, H9:I9)"),"рентгеновские установки, средства защиты и томографы")</f>
        <v/>
      </c>
      <c r="M9" s="1">
        <f>IFERROR(__xludf.DUMMYFUNCTION("AI(Prompt!$B$21,A9)"),"Гелпик")</f>
        <v/>
      </c>
      <c r="N9" s="1" t="inlineStr">
        <is>
          <t>Здравоохранение-2025</t>
        </is>
      </c>
      <c r="O9" s="9" t="inlineStr">
        <is>
          <t>https://icatalog.expocentr.ru/ru/exhibitions/de590dc5-417d-11ee-80ce-a0d3c1fab97f</t>
        </is>
      </c>
    </row>
    <row r="10" ht="16" customHeight="1">
      <c r="A10" s="1" t="inlineStr">
        <is>
          <t>МЕДКОМПЛЕКС А.В.К., ООО</t>
        </is>
      </c>
      <c r="B10" s="1" t="inlineStr">
        <is>
          <t>8G110</t>
        </is>
      </c>
      <c r="C10" s="1" t="inlineStr">
        <is>
          <t>Россия</t>
        </is>
      </c>
      <c r="D10" s="1" t="inlineStr">
        <is>
          <t>Москва</t>
        </is>
      </c>
      <c r="E10" s="1" t="inlineStr">
        <is>
          <t>Россия, 107241, г. Москва, Щёлковское ш., д. 23а, этаж 1, пом. 1, комн. 12</t>
        </is>
      </c>
      <c r="F10" s="10" t="inlineStr">
        <is>
          <t>http://www.medcomp.ru</t>
        </is>
      </c>
      <c r="G10" s="1" t="inlineStr">
        <is>
          <t>reklama@medcomp.ru</t>
        </is>
      </c>
      <c r="H10" s="1" t="inlineStr">
        <is>
          <t>Компания занимается дистрибьюцией медицинского оборудования по всей России. Мы предлагаем долгосрочное сотрудничество в сфере поставок медицинской мебели и оборудования.</t>
        </is>
      </c>
      <c r="I10" s="1" t="inlineStr">
        <is>
          <t>Системы мониторирования ЭКГ и АД; Медицинская мебель; Прочее общебольничное оборудование; Оборудование для стерилизации; Мониторы пациента</t>
        </is>
      </c>
      <c r="J10" s="1">
        <f>IFERROR(__xludf.DUMMYFUNCTION("AI(Prompt!$B$6, H10:I10)"),"Дилер")</f>
        <v/>
      </c>
      <c r="K10" s="1">
        <f>IFERROR(__xludf.DUMMYFUNCTION("AI(Prompt!$B$12, H10:J10)"),"OK")</f>
        <v/>
      </c>
      <c r="L10" s="1">
        <f>IFERROR(__xludf.DUMMYFUNCTION("AI(Prompt!$B$17, H10:I10)"),"медицинское оборудование, медицинская мебель, мониторы пациента и оборудование для стерилизации")</f>
        <v/>
      </c>
      <c r="M10" s="1">
        <f>IFERROR(__xludf.DUMMYFUNCTION("AI(Prompt!$B$21,A10)"),"Медкомплекс А.В.К.")</f>
        <v/>
      </c>
      <c r="N10" s="1" t="inlineStr">
        <is>
          <t>Здравоохранение-2025</t>
        </is>
      </c>
      <c r="O10" s="9" t="inlineStr">
        <is>
          <t>https://icatalog.expocentr.ru/ru/exhibitions/de590dc5-417d-11ee-80ce-a0d3c1fab97f</t>
        </is>
      </c>
    </row>
    <row r="11" ht="37" customHeight="1">
      <c r="A11" s="1" t="inlineStr">
        <is>
          <t>ЛИЗИНГ-МЕДИЦИНА, ООО</t>
        </is>
      </c>
      <c r="B11" s="1" t="inlineStr">
        <is>
          <t>8B090</t>
        </is>
      </c>
      <c r="C11" s="1" t="inlineStr">
        <is>
          <t>Россия</t>
        </is>
      </c>
      <c r="D11" s="1" t="inlineStr">
        <is>
          <t>Москва</t>
        </is>
      </c>
      <c r="E11" s="1" t="inlineStr">
        <is>
          <t>Россия, 125424, г. Москва, Сходненский тупик, д. 4, этаж 3, оф. 301</t>
        </is>
      </c>
      <c r="F11" s="10" t="inlineStr">
        <is>
          <t>http://www.lmed.ru</t>
        </is>
      </c>
      <c r="G11" s="1" t="inlineStr">
        <is>
          <t>info@leasingmed.ru</t>
        </is>
      </c>
      <c r="H11" s="16" t="inlineStr">
        <is>
          <t>«Лизинг-Медицина» предоставляет в лизинг все виды медицинского оборудования, предлагая гибкие финансовые решения с учетом потребностей и пожеланий клиентов.</t>
        </is>
      </c>
      <c r="I11" s="1" t="inlineStr">
        <is>
          <t>Офтальмоскопы; Эндоскопические комплексы и системы; Лазерные  хирургические аппараты</t>
        </is>
      </c>
      <c r="J11" s="1">
        <f>IFERROR(__xludf.DUMMYFUNCTION("AI(Prompt!$B$6, H11:I11)"),"Поставщик услуг")</f>
        <v/>
      </c>
      <c r="K11" s="1">
        <f>IFERROR(__xludf.DUMMYFUNCTION("AI(Prompt!$B$12, H11:J11)"),"OK")</f>
        <v/>
      </c>
      <c r="L11" s="1">
        <f>IFERROR(__xludf.DUMMYFUNCTION("AI(Prompt!$B$17, H11:I11)"),"медицинское оборудование, офтальмоскопы, эндоскопические комплексы и лазерные аппараты")</f>
        <v/>
      </c>
      <c r="M11" s="1">
        <f>IFERROR(__xludf.DUMMYFUNCTION("AI(Prompt!$B$21,A11)"),"Лизинг-Медицина")</f>
        <v/>
      </c>
      <c r="N11" s="1" t="inlineStr">
        <is>
          <t>Здравоохранение-2025</t>
        </is>
      </c>
      <c r="O11" s="9" t="inlineStr">
        <is>
          <t>https://icatalog.expocentr.ru/ru/exhibitions/de590dc5-417d-11ee-80ce-a0d3c1fab97f</t>
        </is>
      </c>
    </row>
    <row r="12" ht="16" customHeight="1">
      <c r="A12" s="1" t="inlineStr">
        <is>
          <t>АДАНИ РУС, ООО</t>
        </is>
      </c>
      <c r="B12" s="1" t="inlineStr">
        <is>
          <t>8D070</t>
        </is>
      </c>
      <c r="C12" s="1" t="inlineStr">
        <is>
          <t>Россия</t>
        </is>
      </c>
      <c r="D12" s="1" t="inlineStr">
        <is>
          <t>Санкт-Петербург</t>
        </is>
      </c>
      <c r="E12" s="1" t="inlineStr">
        <is>
          <t>Россия, 190005, г. Санкт-Петербург, наб. Обводного канала, д. 118а, литера Х, пом. 7-Н, оф. 7</t>
        </is>
      </c>
      <c r="F12" s="10" t="inlineStr">
        <is>
          <t>http://www.adanirus.ru</t>
        </is>
      </c>
      <c r="G12" s="1" t="inlineStr">
        <is>
          <t>rus-info@advin.ru</t>
        </is>
      </c>
      <c r="H12" s="1" t="inlineStr">
        <is>
          <t>ООО «АДАНИ РУС» является официальным представителем ЗАО «Адвин Смарт Фэктори» (г. Минск) на территории РФ (производство рентгеновской медицинской техники и рентгеновского досмотрового оборудования).</t>
        </is>
      </c>
      <c r="I12" s="1" t="inlineStr">
        <is>
          <t>Рентгеновские диагностические установки, передвижные и стационарные; Компьютерные томографы; Маммографы; Флюорографы</t>
        </is>
      </c>
      <c r="J12" s="1">
        <f>IFERROR(__xludf.DUMMYFUNCTION("AI(Prompt!$B$6, H12:I12)"),"Дилер")</f>
        <v/>
      </c>
      <c r="K12" s="1">
        <f>IFERROR(__xludf.DUMMYFUNCTION("AI(Prompt!$B$12, H12:J12)"),"OK")</f>
        <v/>
      </c>
      <c r="L12" s="1">
        <f>IFERROR(__xludf.DUMMYFUNCTION("AI(Prompt!$B$17, H12:I12)"),"рентгеновская медицинская техника, досмотровое оборудование, томографы, маммографы и флюорографы")</f>
        <v/>
      </c>
      <c r="M12" s="1">
        <f>IFERROR(__xludf.DUMMYFUNCTION("AI(Prompt!$B$21,A12)"),"Адани Рус")</f>
        <v/>
      </c>
      <c r="N12" s="1" t="inlineStr">
        <is>
          <t>Здравоохранение-2025</t>
        </is>
      </c>
      <c r="O12" s="9" t="inlineStr">
        <is>
          <t>https://icatalog.expocentr.ru/ru/exhibitions/de590dc5-417d-11ee-80ce-a0d3c1fab97f</t>
        </is>
      </c>
    </row>
    <row r="13" ht="16" customHeight="1">
      <c r="A13" s="1" t="inlineStr">
        <is>
          <t>РЕН ИНН МЕД</t>
        </is>
      </c>
      <c r="B13" s="1" t="inlineStr">
        <is>
          <t>8H030</t>
        </is>
      </c>
      <c r="C13" s="1" t="inlineStr">
        <is>
          <t>Россия</t>
        </is>
      </c>
      <c r="D13" s="1" t="inlineStr">
        <is>
          <t>Москва</t>
        </is>
      </c>
      <c r="E13" s="1" t="inlineStr">
        <is>
          <t>Россия, 125362, г. Москва, ул. Свободы, д. 35, стр. 11</t>
        </is>
      </c>
      <c r="F13" s="10" t="inlineStr">
        <is>
          <t>http://www.reninnmed.com</t>
        </is>
      </c>
      <c r="G13" s="1" t="inlineStr">
        <is>
          <t>rim@reninnmed.com</t>
        </is>
      </c>
      <c r="H13" s="1" t="inlineStr">
        <is>
          <t>Разработка, производство и поставка инновационного медицинского диагностического оборудования.</t>
        </is>
      </c>
      <c r="I13" s="1" t="inlineStr">
        <is>
          <t>Рентгеновские диагностические установки, передвижные и стационарные; Маммографы; Флюорографы</t>
        </is>
      </c>
      <c r="J13" s="1">
        <f>IFERROR(__xludf.DUMMYFUNCTION("AI(Prompt!$B$6, H13:I13)"),"Производитель")</f>
        <v/>
      </c>
      <c r="K13" s="1">
        <f>IFERROR(__xludf.DUMMYFUNCTION("AI(Prompt!$B$12, H13:J13)"),"OK")</f>
        <v/>
      </c>
      <c r="L13" s="1">
        <f>IFERROR(__xludf.DUMMYFUNCTION("AI(Prompt!$B$17, H13:I13)"),"рентгеновские установки, маммографы и флюорографы")</f>
        <v/>
      </c>
      <c r="M13" s="1">
        <f>IFERROR(__xludf.DUMMYFUNCTION("AI(Prompt!$B$21,A13)"),"РЕН ИНН МЕД")</f>
        <v/>
      </c>
      <c r="N13" s="1" t="inlineStr">
        <is>
          <t>Здравоохранение-2025</t>
        </is>
      </c>
      <c r="O13" s="9" t="inlineStr">
        <is>
          <t>https://icatalog.expocentr.ru/ru/exhibitions/de590dc5-417d-11ee-80ce-a0d3c1fab97f</t>
        </is>
      </c>
    </row>
    <row r="14" ht="16" customHeight="1">
      <c r="A14" s="1" t="inlineStr">
        <is>
          <t>МК КЛЕВЕР, ООО</t>
        </is>
      </c>
      <c r="B14" s="1" t="inlineStr">
        <is>
          <t>8B065</t>
        </is>
      </c>
      <c r="C14" s="1" t="inlineStr">
        <is>
          <t>Россия</t>
        </is>
      </c>
      <c r="D14" s="1" t="inlineStr">
        <is>
          <t>Казань</t>
        </is>
      </c>
      <c r="E14" s="1" t="inlineStr">
        <is>
          <t>Россия, Республика Татарстан, г. Казань, ул. Чапаева, д. 24, пом. 10Н, 1101</t>
        </is>
      </c>
      <c r="F14" s="10" t="inlineStr">
        <is>
          <t>http://www.mk-klever.ru</t>
        </is>
      </c>
      <c r="G14" s="1" t="inlineStr">
        <is>
          <t>info@mk-klever.ru</t>
        </is>
      </c>
      <c r="H14" s="1" t="inlineStr">
        <is>
          <t>Отечественный производитель лор-установок. Мы стремимся не просто выпускать технику, а предлагать решения, которые помогут тысячам врачей делать свою работу быстрее, точнее и безопаснее. На связи 24/7.</t>
        </is>
      </c>
      <c r="I14" s="1" t="inlineStr">
        <is>
          <t>Эндоскопические комплексы и системы</t>
        </is>
      </c>
      <c r="J14" s="1">
        <f>IFERROR(__xludf.DUMMYFUNCTION("AI(Prompt!$B$6, H15:I15)"),"Производитель")</f>
        <v/>
      </c>
      <c r="K14" s="1">
        <f>IFERROR(__xludf.DUMMYFUNCTION("AI(Prompt!$B$12, H15:J15)"),"OK")</f>
        <v/>
      </c>
      <c r="L14" s="1">
        <f>IFERROR(__xludf.DUMMYFUNCTION("AI(Prompt!$B$17, H15:I15)"),"лор-установки и эндоскопические комплексы")</f>
        <v/>
      </c>
      <c r="M14" s="1">
        <f>IFERROR(__xludf.DUMMYFUNCTION("AI(Prompt!$B$21,A15)"),"МК Клевер")</f>
        <v/>
      </c>
      <c r="N14" s="1" t="inlineStr">
        <is>
          <t>Здравоохранение-2025</t>
        </is>
      </c>
      <c r="O14" s="9" t="inlineStr">
        <is>
          <t>https://icatalog.expocentr.ru/ru/exhibitions/de590dc5-417d-11ee-80ce-a0d3c1fab97f</t>
        </is>
      </c>
    </row>
    <row r="15" ht="16" customHeight="1">
      <c r="A15" s="1" t="inlineStr">
        <is>
          <t>ЭЛМЕД, НАУЧНО-ПРОИЗВОДСТВЕННАЯ ФИРМА</t>
        </is>
      </c>
      <c r="B15" s="1" t="inlineStr">
        <is>
          <t>8A114</t>
        </is>
      </c>
      <c r="C15" s="1" t="inlineStr">
        <is>
          <t>Россия</t>
        </is>
      </c>
      <c r="D15" s="1" t="inlineStr">
        <is>
          <t>Казань</t>
        </is>
      </c>
      <c r="E15" s="1" t="inlineStr">
        <is>
          <t>Россия, 420127, Республика Татарстан, г. Казань, ул. Короленко, д. 120д</t>
        </is>
      </c>
      <c r="F15" s="10" t="inlineStr">
        <is>
          <t>http://www.elmed-kzn.ru</t>
        </is>
      </c>
      <c r="G15" s="1" t="inlineStr">
        <is>
          <t>info@elmed-kzn.ru</t>
        </is>
      </c>
      <c r="H15" s="1" t="inlineStr">
        <is>
          <t>ООО "НПФ «ЭлМед» занимается производством и продажей инструментов, эндоскопов и оборудования для эндохирургии:— лапароскопии;— лор-эндоскопии;— гистерорезектоскопии;— урологии;— артроскопии и др.</t>
        </is>
      </c>
      <c r="I15" s="1" t="inlineStr">
        <is>
          <t>Эндоскопы жесткие; Эндоскопы гибкие; Эндоскопические комплексы и системы; Оборудование и средства для лапароскопии; Инструменты и принадлежности для эндоскопии; Специализированные медицинские инструменты</t>
        </is>
      </c>
      <c r="J15" s="1">
        <f>IFERROR(__xludf.DUMMYFUNCTION("AI(Prompt!$B$6, H16:I16)"),"Производитель")</f>
        <v/>
      </c>
      <c r="K15" s="1">
        <f>IFERROR(__xludf.DUMMYFUNCTION("AI(Prompt!$B$12, H16:J16)"),"OK")</f>
        <v/>
      </c>
      <c r="L15" s="1">
        <f>IFERROR(__xludf.DUMMYFUNCTION("AI(Prompt!$B$17, H16:I16)"),"эндоскопы, оборудование и инструменты")</f>
        <v/>
      </c>
      <c r="M15" s="1">
        <f>IFERROR(__xludf.DUMMYFUNCTION("AI(Prompt!$B$21,A16)"),"Элмед")</f>
        <v/>
      </c>
      <c r="N15" s="1" t="inlineStr">
        <is>
          <t>Здравоохранение-2025</t>
        </is>
      </c>
      <c r="O15" s="9" t="inlineStr">
        <is>
          <t>https://icatalog.expocentr.ru/ru/exhibitions/de590dc5-417d-11ee-80ce-a0d3c1fab97f</t>
        </is>
      </c>
    </row>
    <row r="16" ht="16" customHeight="1">
      <c r="A16" s="1" t="inlineStr">
        <is>
          <t>МЕДИЭЙС, ЗАО</t>
        </is>
      </c>
      <c r="B16" s="1" t="inlineStr">
        <is>
          <t>8F040</t>
        </is>
      </c>
      <c r="C16" s="1" t="inlineStr">
        <is>
          <t>Россия</t>
        </is>
      </c>
      <c r="D16" s="1" t="inlineStr">
        <is>
          <t>Москва</t>
        </is>
      </c>
      <c r="E16" s="1" t="inlineStr">
        <is>
          <t>Россия, 123112, г. Москва, Пресненская наб., д. 6, стр. 2, ММДЦ «Москва-Сити», ДК «Империя», оф. 1623</t>
        </is>
      </c>
      <c r="F16" s="10" t="inlineStr">
        <is>
          <t>http://www.medison.ru</t>
        </is>
      </c>
      <c r="G16" s="1" t="inlineStr">
        <is>
          <t>info@medison.ru</t>
        </is>
      </c>
      <c r="H16" s="1" t="inlineStr">
        <is>
          <t>ЗАО «Медиэйс» — официальный партнер Samsung Medison в РФ. Предлагаем ультразвуковые диагностические системы Samsung Medison.</t>
        </is>
      </c>
      <c r="I16" s="1" t="inlineStr">
        <is>
          <t>Диагностическое оборудование для гинекологии; Ультразвуковые сканеры и диагностические системы</t>
        </is>
      </c>
      <c r="J16" s="1">
        <f>IFERROR(__xludf.DUMMYFUNCTION("AI(Prompt!$B$6, H17:I17)"),"Дилер")</f>
        <v/>
      </c>
      <c r="K16" s="1">
        <f>IFERROR(__xludf.DUMMYFUNCTION("AI(Prompt!$B$12, H17:J17)"),"OK")</f>
        <v/>
      </c>
      <c r="L16" s="1">
        <f>IFERROR(__xludf.DUMMYFUNCTION("AI(Prompt!$B$17, H17:I17)"),"ультразвуковые сканеры и диагностическое оборудование")</f>
        <v/>
      </c>
      <c r="M16" s="1">
        <f>IFERROR(__xludf.DUMMYFUNCTION("AI(Prompt!$B$21,A17)"),"Медиэйс")</f>
        <v/>
      </c>
      <c r="N16" s="1" t="inlineStr">
        <is>
          <t>Здравоохранение-2025</t>
        </is>
      </c>
      <c r="O16" s="9" t="inlineStr">
        <is>
          <t>https://icatalog.expocentr.ru/ru/exhibitions/de590dc5-417d-11ee-80ce-a0d3c1fab97f</t>
        </is>
      </c>
    </row>
    <row r="17" ht="16" customHeight="1">
      <c r="A17" s="1" t="inlineStr">
        <is>
          <t>СОНОМЕДИКА, ООО</t>
        </is>
      </c>
      <c r="B17" s="1" t="inlineStr">
        <is>
          <t>8G040</t>
        </is>
      </c>
      <c r="C17" s="1" t="inlineStr">
        <is>
          <t>Россия</t>
        </is>
      </c>
      <c r="D17" s="1" t="inlineStr">
        <is>
          <t>Химки</t>
        </is>
      </c>
      <c r="E17" s="1" t="inlineStr">
        <is>
          <t>Россия, Московская обл., г. Химки, ул. Панфилова, стр. 10a</t>
        </is>
      </c>
      <c r="F17" s="10" t="inlineStr">
        <is>
          <t>http://sonomedica.ru</t>
        </is>
      </c>
      <c r="G17" s="1" t="inlineStr">
        <is>
          <t>info@sonomedica.ru</t>
        </is>
      </c>
      <c r="H17" s="1" t="inlineStr">
        <is>
          <t>Более 20 лет мы поставляем УЗ-аппараты Esaote и GE HealthCare, эндоскопическое оборудование Pentax Medical, оптические кольпоскопы ALScope и видеокольпоскопы SLV-101 HD, МРТ Esaote, медицинские мониторы Beacon.</t>
        </is>
      </c>
      <c r="I17" s="1" t="inlineStr">
        <is>
          <t>Диагностическое оборудование для гинекологии; Магнитно-резонансные томографы; Ультразвуковые сканеры и диагностические системы; Эндоскопы гибкие; Эндоскопические комплексы и системы; Наркозно-дыхательные аппараты</t>
        </is>
      </c>
      <c r="J17" s="1">
        <f>IFERROR(__xludf.DUMMYFUNCTION("AI(Prompt!$B$6, H18:I18)"),"Дилер")</f>
        <v/>
      </c>
      <c r="K17" s="1">
        <f>IFERROR(__xludf.DUMMYFUNCTION("AI(Prompt!$B$12, H18:J18)"),"OK")</f>
        <v/>
      </c>
      <c r="L17" s="1">
        <f>IFERROR(__xludf.DUMMYFUNCTION("AI(Prompt!$B$17, H18:I18)"),"ультразвуковые сканеры, эндоскопы, томографы и кольпоскопы")</f>
        <v/>
      </c>
      <c r="M17" s="1">
        <f>IFERROR(__xludf.DUMMYFUNCTION("AI(Prompt!$B$21,A18)"),"Сономедика")</f>
        <v/>
      </c>
      <c r="N17" s="1" t="inlineStr">
        <is>
          <t>Здравоохранение-2025</t>
        </is>
      </c>
      <c r="O17" s="9" t="inlineStr">
        <is>
          <t>https://icatalog.expocentr.ru/ru/exhibitions/de590dc5-417d-11ee-80ce-a0d3c1fab97f</t>
        </is>
      </c>
    </row>
    <row r="18" ht="16" customHeight="1">
      <c r="A18" s="1" t="inlineStr">
        <is>
          <t>MEDEQ</t>
        </is>
      </c>
      <c r="B18" s="1" t="inlineStr">
        <is>
          <t>8B040</t>
        </is>
      </c>
      <c r="C18" s="1" t="inlineStr">
        <is>
          <t>Россия</t>
        </is>
      </c>
      <c r="D18" s="1" t="inlineStr">
        <is>
          <t>Москва</t>
        </is>
      </c>
      <c r="E18" s="1" t="inlineStr">
        <is>
          <t>Россия, 129626, г. Москва, просп. Мира, д. 102, корп. 1</t>
        </is>
      </c>
      <c r="F18" s="10" t="inlineStr">
        <is>
          <t>http://medeq.ru</t>
        </is>
      </c>
      <c r="G18" s="1" t="inlineStr">
        <is>
          <t>info@medeq.ru</t>
        </is>
      </c>
      <c r="H18" s="1" t="inlineStr">
        <is>
          <t>MEDEQ — комплексный поставщик медицинского и косметологического оборудования в России. 12 лет на рынке. Более 7500 реализованных проектов. Офисы в Москве, Санкт-Петербурге, Екатеринбурге, Новосибирске.</t>
        </is>
      </c>
      <c r="I18" s="1" t="inlineStr">
        <is>
          <t>Рентгеновские диагностические установки, передвижные и стационарные; Компьютерные томографы; Магнитно-резонансные томографы; Ультразвуковые сканеры и диагностические системы; Эндоскопические комплексы и системы; Наркозно-дыхательные аппараты</t>
        </is>
      </c>
      <c r="J18" s="1">
        <f>IFERROR(__xludf.DUMMYFUNCTION("AI(Prompt!$B$6, H19:I19)"),"Дилер")</f>
        <v/>
      </c>
      <c r="K18" s="1">
        <f>IFERROR(__xludf.DUMMYFUNCTION("AI(Prompt!$B$12, H19:J19)"),"OK")</f>
        <v/>
      </c>
      <c r="L18" s="1">
        <f>IFERROR(__xludf.DUMMYFUNCTION("AI(Prompt!$B$17, H19:I19)"),"томографы, сканеры, аппараты и установки")</f>
        <v/>
      </c>
      <c r="M18" s="1">
        <f>IFERROR(__xludf.DUMMYFUNCTION("AI(Prompt!$B$21,A19)"),"MEDEQ")</f>
        <v/>
      </c>
      <c r="N18" s="1" t="inlineStr">
        <is>
          <t>Здравоохранение-2025</t>
        </is>
      </c>
      <c r="O18" s="9" t="inlineStr">
        <is>
          <t>https://icatalog.expocentr.ru/ru/exhibitions/de590dc5-417d-11ee-80ce-a0d3c1fab97f</t>
        </is>
      </c>
    </row>
    <row r="19" ht="16" customHeight="1">
      <c r="A19" s="1" t="inlineStr">
        <is>
          <t>СИБИРСКИЙ УСПЕХ</t>
        </is>
      </c>
      <c r="B19" s="1" t="inlineStr">
        <is>
          <t>8A070</t>
        </is>
      </c>
      <c r="C19" s="1" t="inlineStr">
        <is>
          <t>Россия</t>
        </is>
      </c>
      <c r="D19" s="1" t="inlineStr">
        <is>
          <t>Новосибирск</t>
        </is>
      </c>
      <c r="E19" s="1" t="inlineStr">
        <is>
          <t>Россия, 630009, г. Новосибирск, ул. Добролюбова, д. 16</t>
        </is>
      </c>
      <c r="F19" s="10" t="inlineStr">
        <is>
          <t>http://uspekh.ru</t>
        </is>
      </c>
      <c r="G19" s="1" t="inlineStr">
        <is>
          <t>ms@uspekh.ru</t>
        </is>
      </c>
      <c r="H19" s="1" t="inlineStr">
        <is>
          <t>«СИБИРСКИЙ УСПЕХ» — из центра Сибири для всей России. 30 лет опыта работы в сфере медтехники. Презентация нового оборудования. Инновации, качество, сервис. Наш стенд 8А070. Специальные условия участникам выставки!</t>
        </is>
      </c>
      <c r="I19" s="1" t="inlineStr">
        <is>
          <t>Рентгеновские диагностические установки, передвижные и стационарные; Системы оцифровки и хранения изображений; Аппараты и системы для обработки рентгеновской пленки; Вспомогательное оборудование; Маммографы; Флюорографы</t>
        </is>
      </c>
      <c r="J19" s="1">
        <f>IFERROR(__xludf.DUMMYFUNCTION("AI(Prompt!$B$6, H20:I20)"),"Дилер")</f>
        <v/>
      </c>
      <c r="K19" s="1">
        <f>IFERROR(__xludf.DUMMYFUNCTION("AI(Prompt!$B$12, H20:J20)"),"OK")</f>
        <v/>
      </c>
      <c r="L19" s="1">
        <f>IFERROR(__xludf.DUMMYFUNCTION("AI(Prompt!$B$17, H20:I20)"),"рентгеновские установки, маммографы и флюорографы")</f>
        <v/>
      </c>
      <c r="M19" s="1">
        <f>IFERROR(__xludf.DUMMYFUNCTION("AI(Prompt!$B$21,A20)"),"Сибирский Успех")</f>
        <v/>
      </c>
      <c r="N19" s="1" t="inlineStr">
        <is>
          <t>Здравоохранение-2025</t>
        </is>
      </c>
      <c r="O19" s="9" t="inlineStr">
        <is>
          <t>https://icatalog.expocentr.ru/ru/exhibitions/de590dc5-417d-11ee-80ce-a0d3c1fab97f</t>
        </is>
      </c>
    </row>
    <row r="20" ht="16" customHeight="1">
      <c r="A20" s="1" t="inlineStr">
        <is>
          <t>МОСНЕЙРО, OOO</t>
        </is>
      </c>
      <c r="B20" s="1" t="inlineStr">
        <is>
          <t>8C005</t>
        </is>
      </c>
      <c r="C20" s="1" t="inlineStr">
        <is>
          <t>Россия</t>
        </is>
      </c>
      <c r="D20" s="1" t="inlineStr">
        <is>
          <t>Москва</t>
        </is>
      </c>
      <c r="E20" s="1" t="inlineStr">
        <is>
          <t>Россия, 115114, г. Москва, Даниловская наб., д. 4а, оф. 7</t>
        </is>
      </c>
      <c r="F20" s="10" t="inlineStr">
        <is>
          <t>http://www.mosnerv.ru</t>
        </is>
      </c>
      <c r="G20" s="1" t="inlineStr">
        <is>
          <t>com@mosneuro.com</t>
        </is>
      </c>
      <c r="H20" s="1" t="inlineStr">
        <is>
          <t>Эксклюзивный представитель ООО «Нейрософт» на территории Москвы и Московской области, Республики Татарстан и Республики Башкортостан, представитель в Республике Дагестан.</t>
        </is>
      </c>
      <c r="I20" s="1" t="inlineStr">
        <is>
          <t>Системы мониторирования ЭЭГ; Нейрофизиологическое оборудование; Приборы и аппараты для офтальмодиагностики; Медицинская мебель; Физиотерапия и реабилитация; Ортопедия и травматология</t>
        </is>
      </c>
      <c r="J20" s="1">
        <f>IFERROR(__xludf.DUMMYFUNCTION("AI(Prompt!$B$6, H21:I21)"),"Дилер")</f>
        <v/>
      </c>
      <c r="K20" s="1">
        <f>IFERROR(__xludf.DUMMYFUNCTION("AI(Prompt!$B$12, H21:J21)"),"OK")</f>
        <v/>
      </c>
      <c r="L20" s="1">
        <f>IFERROR(__xludf.DUMMYFUNCTION("AI(Prompt!$B$17, H21:I21)"),"системы, оборудование, приборы, мебель и ортопедия")</f>
        <v/>
      </c>
      <c r="M20" s="1">
        <f>IFERROR(__xludf.DUMMYFUNCTION("AI(Prompt!$B$21,A21)"),"Моснейро")</f>
        <v/>
      </c>
      <c r="N20" s="1" t="inlineStr">
        <is>
          <t>Здравоохранение-2025</t>
        </is>
      </c>
      <c r="O20" s="9" t="inlineStr">
        <is>
          <t>https://icatalog.expocentr.ru/ru/exhibitions/de590dc5-417d-11ee-80ce-a0d3c1fab97f</t>
        </is>
      </c>
    </row>
    <row r="21" ht="16" customHeight="1">
      <c r="A21" s="1" t="inlineStr">
        <is>
          <t>ИННОБИОСИСТЕМС, ООО</t>
        </is>
      </c>
      <c r="B21" s="1" t="inlineStr">
        <is>
          <t>8B125</t>
        </is>
      </c>
      <c r="C21" s="1" t="inlineStr">
        <is>
          <t>Россия</t>
        </is>
      </c>
      <c r="D21" s="1" t="inlineStr">
        <is>
          <t>Москва</t>
        </is>
      </c>
      <c r="E21" s="1" t="inlineStr">
        <is>
          <t>Россия, 117342, г. Москва, ул. Обручева, д. 52, стр. 3</t>
        </is>
      </c>
      <c r="F21" s="10" t="inlineStr">
        <is>
          <t>http://innobiosystems.com</t>
        </is>
      </c>
      <c r="G21" s="1" t="inlineStr">
        <is>
          <t>g.alekseev@innobiosystems.com</t>
        </is>
      </c>
      <c r="H21" s="1" t="inlineStr">
        <is>
          <t>«ИнноБиоСистемс» — это научно-исследовательский инжиниринговый центр, специализирующийся на разработке передовых технологий в области естественных наук. Мы создаем продукты, улучшающие качество жизни и окружающую среду.</t>
        </is>
      </c>
      <c r="I21" s="1" t="inlineStr">
        <is>
          <t>Прочие диагностические устройства; Приборы для измерения уровня глюкозы (глюкометры)</t>
        </is>
      </c>
      <c r="J21" s="1">
        <f>IFERROR(__xludf.DUMMYFUNCTION("AI(Prompt!$B$6, H22:I22)"),"Производитель")</f>
        <v/>
      </c>
      <c r="K21" s="1">
        <f>IFERROR(__xludf.DUMMYFUNCTION("AI(Prompt!$B$12, H22:J22)"),"OK")</f>
        <v/>
      </c>
      <c r="L21" s="1">
        <f>IFERROR(__xludf.DUMMYFUNCTION("AI(Prompt!$B$17, H22:I22)"),"диагностические устройства и глюкометры")</f>
        <v/>
      </c>
      <c r="M21" s="1">
        <f>IFERROR(__xludf.DUMMYFUNCTION("AI(Prompt!$B$21,A22)"),"Иннобиосистемс")</f>
        <v/>
      </c>
      <c r="N21" s="1" t="inlineStr">
        <is>
          <t>Здравоохранение-2025</t>
        </is>
      </c>
      <c r="O21" s="9" t="inlineStr">
        <is>
          <t>https://icatalog.expocentr.ru/ru/exhibitions/de590dc5-417d-11ee-80ce-a0d3c1fab97f</t>
        </is>
      </c>
    </row>
    <row r="22" ht="16" customHeight="1">
      <c r="A22" s="1" t="inlineStr">
        <is>
          <t>ЗМТ, ООО</t>
        </is>
      </c>
      <c r="B22" s="1" t="inlineStr">
        <is>
          <t>8A112</t>
        </is>
      </c>
      <c r="C22" s="1" t="inlineStr">
        <is>
          <t>Россия</t>
        </is>
      </c>
      <c r="D22" s="1" t="inlineStr">
        <is>
          <t>Ижевск</t>
        </is>
      </c>
      <c r="E22" s="1" t="inlineStr">
        <is>
          <t>Россия, 426008, Удмуртская Республика, г. Ижевск, ул. Максима Горького, д. 90</t>
        </is>
      </c>
      <c r="F22" s="10" t="inlineStr">
        <is>
          <t>http://www.zmt-axion.ru</t>
        </is>
      </c>
      <c r="G22" s="1" t="inlineStr">
        <is>
          <t>office@axion.ru</t>
        </is>
      </c>
      <c r="H22" s="1" t="inlineStr">
        <is>
          <t>ООО «ЗМТ» активно развивает направление медицинской техники. Предлагает прибор для диагностики ССС AngioCode-322 для применения в медицинских учреждениях. Прибор имеет регистрационное удостоверение.</t>
        </is>
      </c>
      <c r="I22" s="1" t="inlineStr">
        <is>
          <t>Прочие диагностические устройства</t>
        </is>
      </c>
      <c r="J22" s="1">
        <f>IFERROR(__xludf.DUMMYFUNCTION("AI(Prompt!$B$6, H23:I23)"),"Производитель")</f>
        <v/>
      </c>
      <c r="K22" s="1">
        <f>IFERROR(__xludf.DUMMYFUNCTION("AI(Prompt!$B$12, H23:J23)"),"OK")</f>
        <v/>
      </c>
      <c r="L22" s="1">
        <f>IFERROR(__xludf.DUMMYFUNCTION("AI(Prompt!$B$17, H23:I23)"),"диагностические приборы")</f>
        <v/>
      </c>
      <c r="M22" s="1">
        <f>IFERROR(__xludf.DUMMYFUNCTION("AI(Prompt!$B$21,A23)"),"ЗМТ")</f>
        <v/>
      </c>
      <c r="N22" s="1" t="inlineStr">
        <is>
          <t>Здравоохранение-2025</t>
        </is>
      </c>
      <c r="O22" s="9" t="inlineStr">
        <is>
          <t>https://icatalog.expocentr.ru/ru/exhibitions/de590dc5-417d-11ee-80ce-a0d3c1fab97f</t>
        </is>
      </c>
    </row>
    <row r="23" ht="16" customHeight="1">
      <c r="A23" s="1" t="inlineStr">
        <is>
          <t>МБН, НМФ, ООО</t>
        </is>
      </c>
      <c r="B23" s="1" t="inlineStr">
        <is>
          <t>8B001</t>
        </is>
      </c>
      <c r="C23" s="1" t="inlineStr">
        <is>
          <t>Россия</t>
        </is>
      </c>
      <c r="D23" s="1" t="inlineStr">
        <is>
          <t>Москва</t>
        </is>
      </c>
      <c r="E23" s="1" t="inlineStr">
        <is>
          <t>Россия, 105120, г. Москва, 2-й Сыромятнический пер., д. 10, оф. 6</t>
        </is>
      </c>
      <c r="F23" s="10" t="inlineStr">
        <is>
          <t>http://www.mbn.ru</t>
        </is>
      </c>
      <c r="G23" s="1" t="inlineStr">
        <is>
          <t>info@mbn.ru</t>
        </is>
      </c>
      <c r="H23" s="1" t="inlineStr">
        <is>
          <t>ООО «НМФ «МБН» — одна из ведущих российских компаний по производству медицинской техники для функциональной диагностики и реабилитации, не уступающей зарубежным аналогам, а зачастую и превосходящей их.</t>
        </is>
      </c>
      <c r="I23" s="1" t="inlineStr">
        <is>
          <t>Системы мониторирования ЭЭГ; Нейрофизиологическое оборудование; Оборудование для урологической диагностики; Приборы и аппараты для офтальмодиагностики; Физиотерапия и реабилитация; Реабилитационное оборудование</t>
        </is>
      </c>
      <c r="J23" s="1">
        <f>IFERROR(__xludf.DUMMYFUNCTION("AI(Prompt!$B$6, H24:I24)"),"Производитель")</f>
        <v/>
      </c>
      <c r="K23" s="1">
        <f>IFERROR(__xludf.DUMMYFUNCTION("AI(Prompt!$B$12, H24:J24)"),"OK")</f>
        <v/>
      </c>
      <c r="L23" s="1">
        <f>IFERROR(__xludf.DUMMYFUNCTION("AI(Prompt!$B$17, H24:I24)"),"медицинская техника, нейрофизиологическое оборудование, оборудование для диагностики и реабилитации")</f>
        <v/>
      </c>
      <c r="M23" s="1">
        <f>IFERROR(__xludf.DUMMYFUNCTION("AI(Prompt!$B$21,A24)"),"МБН НМФ")</f>
        <v/>
      </c>
      <c r="N23" s="1" t="inlineStr">
        <is>
          <t>Здравоохранение-2025</t>
        </is>
      </c>
      <c r="O23" s="9" t="inlineStr">
        <is>
          <t>https://icatalog.expocentr.ru/ru/exhibitions/de590dc5-417d-11ee-80ce-a0d3c1fab97f</t>
        </is>
      </c>
    </row>
    <row r="24" ht="16" customHeight="1">
      <c r="A24" s="1" t="inlineStr">
        <is>
          <t>НИМП ЕСН, ООО</t>
        </is>
      </c>
      <c r="B24" s="1" t="inlineStr">
        <is>
          <t>8A040</t>
        </is>
      </c>
      <c r="C24" s="1" t="inlineStr">
        <is>
          <t>Россия</t>
        </is>
      </c>
      <c r="E24" s="1" t="inlineStr">
        <is>
          <t>Россия, 607188, Нижегородская обл., г. о. ЗАТО город Саров, Южное ш., д. 12, стр. 1</t>
        </is>
      </c>
      <c r="F24" s="10" t="inlineStr">
        <is>
          <t>http://www.miocard.ru</t>
        </is>
      </c>
      <c r="G24" s="1" t="inlineStr">
        <is>
          <t>esn@sar.info</t>
        </is>
      </c>
      <c r="H24" s="1" t="inlineStr">
        <is>
          <t>Производство оборудования для ЭКГ: суточных мониторов, компьютерных электрокардиографов, нагрузочных проб, телекардиографов, домашних кардиоанализаторов.</t>
        </is>
      </c>
      <c r="I24" s="1" t="inlineStr">
        <is>
          <t>Оборудование для мониторинга функций сердечно-сосудистой системы; Системы мониторирования ЭКГ и АД</t>
        </is>
      </c>
      <c r="J24" s="1">
        <f>IFERROR(__xludf.DUMMYFUNCTION("AI(Prompt!$B$6, H25:I25)"),"Производитель")</f>
        <v/>
      </c>
      <c r="K24" s="1">
        <f>IFERROR(__xludf.DUMMYFUNCTION("AI(Prompt!$B$12, H25:J25)"),"OK")</f>
        <v/>
      </c>
      <c r="L24" s="1">
        <f>IFERROR(__xludf.DUMMYFUNCTION("AI(Prompt!$B$17, H25:I25)"),"оборудование для ЭКГ, мониторы, электрокардиографы и кардиоанализаторы")</f>
        <v/>
      </c>
      <c r="M24" s="1">
        <f>IFERROR(__xludf.DUMMYFUNCTION("AI(Prompt!$B$21,A25)"),"НИМП ЕСН")</f>
        <v/>
      </c>
      <c r="N24" s="1" t="inlineStr">
        <is>
          <t>Здравоохранение-2025</t>
        </is>
      </c>
      <c r="O24" s="9" t="inlineStr">
        <is>
          <t>https://icatalog.expocentr.ru/ru/exhibitions/de590dc5-417d-11ee-80ce-a0d3c1fab97f</t>
        </is>
      </c>
    </row>
    <row r="25" ht="16" customHeight="1">
      <c r="A25" s="1" t="inlineStr">
        <is>
          <t>FOCAL-SPOT</t>
        </is>
      </c>
      <c r="B25" s="1" t="inlineStr">
        <is>
          <t>8B115</t>
        </is>
      </c>
      <c r="C25" s="1" t="inlineStr">
        <is>
          <t>Россия</t>
        </is>
      </c>
      <c r="D25" s="1" t="inlineStr">
        <is>
          <t>Иваново</t>
        </is>
      </c>
      <c r="E25" s="1" t="inlineStr">
        <is>
          <t>Россия, 153000, г. Иваново, ул. Колотилова, д. 38, пом. 17001</t>
        </is>
      </c>
      <c r="F25" s="10" t="inlineStr">
        <is>
          <t>https://focal-spot.ru</t>
        </is>
      </c>
      <c r="G25" s="1" t="inlineStr">
        <is>
          <t>sales@focal-spot.ru</t>
        </is>
      </c>
      <c r="H25" s="1" t="inlineStr">
        <is>
          <t>Focal-spot — официальный поставщик рентгеновских излучателей для всего медицинского рентгеновского оборудования, компьютерных томографов, маммографов и др.Бренды Varex, IAE, Dunlee, IMD и другие.</t>
        </is>
      </c>
      <c r="I25" s="1" t="inlineStr">
        <is>
          <t>Рентгеновские диагностические установки, передвижные и стационарные; Системы оцифровки и хранения изображений; Компьютерные томографы; ПЭТ; Маммографы; Флюорографы</t>
        </is>
      </c>
      <c r="J25" s="1">
        <f>IFERROR(__xludf.DUMMYFUNCTION("AI(Prompt!$B$6, H26:I26)"),"Дилер")</f>
        <v/>
      </c>
      <c r="K25" s="1">
        <f>IFERROR(__xludf.DUMMYFUNCTION("AI(Prompt!$B$12, H26:J26)"),"OK")</f>
        <v/>
      </c>
      <c r="L25" s="1">
        <f>IFERROR(__xludf.DUMMYFUNCTION("AI(Prompt!$B$17, H26:I26)"),"излучатели, установки, томографы, маммографы и флюорографы")</f>
        <v/>
      </c>
      <c r="M25" s="1">
        <f>IFERROR(__xludf.DUMMYFUNCTION("AI(Prompt!$B$21,A26)"),"Focal-Spot")</f>
        <v/>
      </c>
      <c r="N25" s="1" t="inlineStr">
        <is>
          <t>Здравоохранение-2025</t>
        </is>
      </c>
      <c r="O25" s="9" t="inlineStr">
        <is>
          <t>https://icatalog.expocentr.ru/ru/exhibitions/de590dc5-417d-11ee-80ce-a0d3c1fab97f</t>
        </is>
      </c>
    </row>
    <row r="26" ht="16" customHeight="1">
      <c r="A26" s="1" t="inlineStr">
        <is>
          <t>МРТ 10, ООО</t>
        </is>
      </c>
      <c r="B26" s="11" t="n">
        <v>8e+140</v>
      </c>
      <c r="C26" s="1" t="inlineStr">
        <is>
          <t>Россия</t>
        </is>
      </c>
      <c r="D26" s="1" t="inlineStr">
        <is>
          <t>Барнаул</t>
        </is>
      </c>
      <c r="E26" s="1" t="inlineStr">
        <is>
          <t>Россия, 656043, Алтайский край, г. Барнаул, ул. Партизанская, д. 103</t>
        </is>
      </c>
      <c r="F26" s="10" t="inlineStr">
        <is>
          <t>https://medcustoms.ru</t>
        </is>
      </c>
      <c r="G26" s="1" t="inlineStr">
        <is>
          <t>medcustoms@inbox.ru</t>
        </is>
      </c>
      <c r="H26" s="1" t="inlineStr">
        <is>
          <t>Предоставляем полный спектр услуг по подбору, доставке, таможенному оформлению, установке под ключ, обслуживанию магнитно-резонансных, компьютерных томографов и другого медицинского оборудования и запчастей со всего мира.</t>
        </is>
      </c>
      <c r="I26" s="1" t="inlineStr">
        <is>
          <t>Рентгеновские диагностические установки, передвижные и стационарные; Компьютерные томографы; Магнитно-резонансные томографы</t>
        </is>
      </c>
      <c r="J26" s="1">
        <f>IFERROR(__xludf.DUMMYFUNCTION("AI(Prompt!$B$6, H27:I27)"),"Поставщик услуг")</f>
        <v/>
      </c>
      <c r="K26" s="1">
        <f>IFERROR(__xludf.DUMMYFUNCTION("AI(Prompt!$B$12, H27:J27)"),"OK")</f>
        <v/>
      </c>
      <c r="L26" s="1">
        <f>IFERROR(__xludf.DUMMYFUNCTION("AI(Prompt!$B$17, H27:I27)"),"томографы, диагностические установки и запчасти")</f>
        <v/>
      </c>
      <c r="M26" s="1">
        <f>IFERROR(__xludf.DUMMYFUNCTION("AI(Prompt!$B$21,A27)"),"Мрт 10")</f>
        <v/>
      </c>
      <c r="N26" s="1" t="inlineStr">
        <is>
          <t>Здравоохранение-2025</t>
        </is>
      </c>
      <c r="O26" s="9" t="inlineStr">
        <is>
          <t>https://icatalog.expocentr.ru/ru/exhibitions/de590dc5-417d-11ee-80ce-a0d3c1fab97f</t>
        </is>
      </c>
    </row>
    <row r="27" ht="16" customHeight="1">
      <c r="A27" s="1" t="inlineStr">
        <is>
          <t>МЕДСТРАТЕГИЯ, ООО</t>
        </is>
      </c>
      <c r="B27" s="1" t="inlineStr">
        <is>
          <t>8H110</t>
        </is>
      </c>
      <c r="C27" s="1" t="inlineStr">
        <is>
          <t>Россия</t>
        </is>
      </c>
      <c r="D27" s="1" t="inlineStr">
        <is>
          <t>Санкт-Петербург</t>
        </is>
      </c>
      <c r="E27" s="1" t="inlineStr">
        <is>
          <t>Россия, 195299, г. Санкт-Петербург, ул. Киришская, д. 2а, оф. 587-589</t>
        </is>
      </c>
      <c r="F27" s="10" t="inlineStr">
        <is>
          <t>http://medstrategy.ru</t>
        </is>
      </c>
      <c r="G27" s="1" t="inlineStr">
        <is>
          <t>sales@medstrategy.ru</t>
        </is>
      </c>
      <c r="H27" s="1" t="inlineStr">
        <is>
          <t>Российский разработчик медицинского оборудования под брендом CarePuz. Производство инновационных фетальных мониторов, бифазных дефибрилляторов-мониторов и систем пневмокомпрессии.</t>
        </is>
      </c>
      <c r="I27" s="1" t="inlineStr">
        <is>
          <t>Фетальные мониторы; Производство медицинских изделий; Дефибрилляторы</t>
        </is>
      </c>
      <c r="J27" s="1">
        <f>IFERROR(__xludf.DUMMYFUNCTION("AI(Prompt!$B$6, H28:I28)"),"Производитель")</f>
        <v/>
      </c>
      <c r="K27" s="1">
        <f>IFERROR(__xludf.DUMMYFUNCTION("AI(Prompt!$B$12, H28:J28)"),"OK")</f>
        <v/>
      </c>
      <c r="L27" s="1">
        <f>IFERROR(__xludf.DUMMYFUNCTION("AI(Prompt!$B$17, H28:I28)"),"мониторы, дефибрилляторы и системы")</f>
        <v/>
      </c>
      <c r="M27" s="1">
        <f>IFERROR(__xludf.DUMMYFUNCTION("AI(Prompt!$B$21,A28)"),"Медстратегия")</f>
        <v/>
      </c>
      <c r="N27" s="1" t="inlineStr">
        <is>
          <t>Здравоохранение-2025</t>
        </is>
      </c>
      <c r="O27" s="9" t="inlineStr">
        <is>
          <t>https://icatalog.expocentr.ru/ru/exhibitions/de590dc5-417d-11ee-80ce-a0d3c1fab97f</t>
        </is>
      </c>
    </row>
    <row r="28" ht="16" customHeight="1">
      <c r="A28" s="1" t="inlineStr">
        <is>
          <t>АВАМЕДИКА СИСТЕМС, ООО</t>
        </is>
      </c>
      <c r="B28" s="1" t="inlineStr">
        <is>
          <t>8B060</t>
        </is>
      </c>
      <c r="C28" s="1" t="inlineStr">
        <is>
          <t>Россия</t>
        </is>
      </c>
      <c r="D28" s="1" t="inlineStr">
        <is>
          <t>Санкт-Петербург</t>
        </is>
      </c>
      <c r="E28" s="1" t="inlineStr">
        <is>
          <t>Россия, 197342, г. Санкт-Петербург, вн. тер. г. м. о. Ланское, ул. Новосибирская, д. 6, литера А, пом. 2-Н, оф. 4, раб. место 2</t>
        </is>
      </c>
      <c r="F28" s="10" t="inlineStr">
        <is>
          <t>https://avamedica.ru</t>
        </is>
      </c>
      <c r="G28" s="1" t="inlineStr">
        <is>
          <t>info@avamedica.ru</t>
        </is>
      </c>
      <c r="H28" s="1" t="inlineStr">
        <is>
          <t>Компания «Авамедика» предлагает высокотехнологичные и инновационные маммографы и рентген-аппараты от надежных мировых производителей, обеспечивая отличное соотношение цены и качества.</t>
        </is>
      </c>
      <c r="I28" s="1" t="inlineStr">
        <is>
          <t>Поставка медицинского оборудования и расходных материалов; Рентгеновские диагностические установки, передвижные и стационарные; Компьютерные томографы; Маммографы; Магнитно-резонансные томографы; Ультразвуковые сканеры и диагностические системы</t>
        </is>
      </c>
      <c r="J28" s="1">
        <f>IFERROR(__xludf.DUMMYFUNCTION("AI(Prompt!$B$6, H29:I29)"),"Дилер")</f>
        <v/>
      </c>
      <c r="K28" s="1">
        <f>IFERROR(__xludf.DUMMYFUNCTION("AI(Prompt!$B$12, H29:J29)"),"OK")</f>
        <v/>
      </c>
      <c r="L28" s="1">
        <f>IFERROR(__xludf.DUMMYFUNCTION("AI(Prompt!$B$17, H29:I29)"),"маммографы, рентген-аппараты, томографы и сканеры")</f>
        <v/>
      </c>
      <c r="M28" s="1">
        <f>IFERROR(__xludf.DUMMYFUNCTION("AI(Prompt!$B$21,A29)"),"Авамедика Системс")</f>
        <v/>
      </c>
      <c r="N28" s="1" t="inlineStr">
        <is>
          <t>Здравоохранение-2025</t>
        </is>
      </c>
      <c r="O28" s="9" t="inlineStr">
        <is>
          <t>https://icatalog.expocentr.ru/ru/exhibitions/de590dc5-417d-11ee-80ce-a0d3c1fab97f</t>
        </is>
      </c>
    </row>
    <row r="29" ht="16" customHeight="1">
      <c r="A29" s="1" t="inlineStr">
        <is>
          <t>ИННОВАЦИИ В ВИЗУАЛИЗАЦИИ, ООО</t>
        </is>
      </c>
      <c r="B29" s="1" t="inlineStr">
        <is>
          <t>8C050</t>
        </is>
      </c>
      <c r="C29" s="1" t="inlineStr">
        <is>
          <t>Россия</t>
        </is>
      </c>
      <c r="D29" s="1" t="inlineStr">
        <is>
          <t>Зеленодольск</t>
        </is>
      </c>
      <c r="E29" s="1" t="inlineStr">
        <is>
          <t>Россия, 422527, Республика Татарстан, г. Зеленодольск, п/р промышленная площадка Зеленодольск, зд. 2, корп. 1, пом. С103</t>
        </is>
      </c>
      <c r="F29" s="10" t="inlineStr">
        <is>
          <t>http://www.sonorus.ru</t>
        </is>
      </c>
      <c r="G29" s="1" t="inlineStr">
        <is>
          <t>mail@info-sonic.ru</t>
        </is>
      </c>
      <c r="H29" s="1" t="inlineStr">
        <is>
          <t>Российский производитель медицинского оборудования «СОНОРУС», разработанного на базе новейших технологий. Новаторское решение в УЗД, включающее в себя УЗ-сканеры и автоматизированные рабочие станции врача УЗД.</t>
        </is>
      </c>
      <c r="I29" s="1" t="inlineStr">
        <is>
          <t>Диагностическое оборудование для гинекологии; Ультразвуковые сканеры и диагностические системы</t>
        </is>
      </c>
      <c r="J29" s="1">
        <f>IFERROR(__xludf.DUMMYFUNCTION("AI(Prompt!$B$6, H30:I30)"),"Производитель")</f>
        <v/>
      </c>
      <c r="K29" s="1">
        <f>IFERROR(__xludf.DUMMYFUNCTION("AI(Prompt!$B$12, H30:J30)"),"OK")</f>
        <v/>
      </c>
      <c r="L29" s="1">
        <f>IFERROR(__xludf.DUMMYFUNCTION("AI(Prompt!$B$17, H30:I30)"),"сканеры, рабочие станции и медицинское оборудование")</f>
        <v/>
      </c>
      <c r="M29" s="1">
        <f>IFERROR(__xludf.DUMMYFUNCTION("AI(Prompt!$B$21,A30)"),"Инновации В Визуализации")</f>
        <v/>
      </c>
      <c r="N29" s="1" t="inlineStr">
        <is>
          <t>Здравоохранение-2025</t>
        </is>
      </c>
      <c r="O29" s="9" t="inlineStr">
        <is>
          <t>https://icatalog.expocentr.ru/ru/exhibitions/de590dc5-417d-11ee-80ce-a0d3c1fab97f</t>
        </is>
      </c>
    </row>
    <row r="30" ht="16" customHeight="1">
      <c r="A30" s="1" t="inlineStr">
        <is>
          <t>РМК, ООО</t>
        </is>
      </c>
      <c r="B30" s="1" t="inlineStr">
        <is>
          <t>8C055</t>
        </is>
      </c>
      <c r="C30" s="1" t="inlineStr">
        <is>
          <t>Россия</t>
        </is>
      </c>
      <c r="D30" s="1" t="inlineStr">
        <is>
          <t>Москва</t>
        </is>
      </c>
      <c r="E30" s="1" t="inlineStr">
        <is>
          <t>Россия, 111123, г. Москва, вн. тер. г. м. о. Перово, ул. Плеханова, д. 4а, пом. 3Л/26</t>
        </is>
      </c>
      <c r="F30" s="10" t="inlineStr">
        <is>
          <t>https://rusmedcompany.ru</t>
        </is>
      </c>
      <c r="G30" s="1" t="inlineStr">
        <is>
          <t>sales@rusmedcompany.ru</t>
        </is>
      </c>
      <c r="H30" s="1" t="inlineStr">
        <is>
          <t>ООО «Русская Медицинская Компания» — поставщик оборудования мировых брендов: Canon, Samsung, GE, Mindray, Philips, Olympus, Pentax, SinoVision по таким направлениям, как УЗИ, КТ, МРТ, эндоскопия. Лучшие цены и сервис.</t>
        </is>
      </c>
      <c r="I30" s="1" t="inlineStr">
        <is>
          <t>Приборы и аппараты для офтальмодиагностики; Рентгеновские диагностические установки, передвижные и стационарные; Компьютерные томографы; Маммографы; Магнитно-резонансные томографы; Ультразвуковые сканеры и диагностические системы; Эндоскопические комплексы и системы</t>
        </is>
      </c>
      <c r="J30" s="1">
        <f>IFERROR(__xludf.DUMMYFUNCTION("AI(Prompt!$B$6, H31:I31)"),"Дилер")</f>
        <v/>
      </c>
      <c r="K30" s="1">
        <f>IFERROR(__xludf.DUMMYFUNCTION("AI(Prompt!$B$12, H31:J31)"),"OK")</f>
        <v/>
      </c>
      <c r="L30" s="1">
        <f>IFERROR(__xludf.DUMMYFUNCTION("AI(Prompt!$B$17, H31:I31)"),"томографы, сканеры, маммографы, эндоскопические комплексы и приборы для офтальмодиагностики")</f>
        <v/>
      </c>
      <c r="M30" s="1">
        <f>IFERROR(__xludf.DUMMYFUNCTION("AI(Prompt!$B$21,A31)"),"РМК")</f>
        <v/>
      </c>
      <c r="N30" s="1" t="inlineStr">
        <is>
          <t>Здравоохранение-2025</t>
        </is>
      </c>
      <c r="O30" s="9" t="inlineStr">
        <is>
          <t>https://icatalog.expocentr.ru/ru/exhibitions/de590dc5-417d-11ee-80ce-a0d3c1fab97f</t>
        </is>
      </c>
    </row>
    <row r="31" ht="16" customHeight="1">
      <c r="A31" s="1" t="inlineStr">
        <is>
          <t>МИЦАР, ООО</t>
        </is>
      </c>
      <c r="B31" s="1" t="inlineStr">
        <is>
          <t>8A050</t>
        </is>
      </c>
      <c r="C31" s="1" t="inlineStr">
        <is>
          <t>Россия</t>
        </is>
      </c>
      <c r="D31" s="1" t="inlineStr">
        <is>
          <t>Санкт-Петербург</t>
        </is>
      </c>
      <c r="E31" s="1" t="inlineStr">
        <is>
          <t>Россия, 197374, г. Санкт-Петербург, ул. Оптиков, д. 4, корп. 2, литера А, БЦ «ЛАХТА», оф. 406</t>
        </is>
      </c>
      <c r="F31" s="10" t="inlineStr">
        <is>
          <t>http://www.mitsar-eeg.ru</t>
        </is>
      </c>
      <c r="G31" s="1" t="inlineStr">
        <is>
          <t>info@mitsar-eeg.ru</t>
        </is>
      </c>
      <c r="H31" s="1" t="inlineStr">
        <is>
          <t>Оборудование для нейрофизиологии и нейроинжиниринга торговой марки «Мицар-ЭЭГ» — электроэнцефалографы, системы для видео-ЭЭГ и инвазивного ЭЭГ-мониторинга, амбулаторное ЭЭГ, носимые нейроинтерфейсы, БОС-тренажеры. ПО для регистрации и анализа ЭЭГ.</t>
        </is>
      </c>
      <c r="I31" s="1" t="inlineStr">
        <is>
          <t>Системы мониторирования ЭЭГ; Нейрофизиологическое оборудование</t>
        </is>
      </c>
      <c r="J31" s="1">
        <f>IFERROR(__xludf.DUMMYFUNCTION("AI(Prompt!$B$6, H32:I32)"),"Производитель")</f>
        <v/>
      </c>
      <c r="K31" s="1">
        <f>IFERROR(__xludf.DUMMYFUNCTION("AI(Prompt!$B$12, H32:J32)"),"OK")</f>
        <v/>
      </c>
      <c r="L31" s="1">
        <f>IFERROR(__xludf.DUMMYFUNCTION("AI(Prompt!$B$17, H32:I32)"),"электроэнцефалографы, нейроинтерфейсы и тренажеры")</f>
        <v/>
      </c>
      <c r="M31" s="1">
        <f>IFERROR(__xludf.DUMMYFUNCTION("AI(Prompt!$B$21,A32)"),"Мицар")</f>
        <v/>
      </c>
      <c r="N31" s="1" t="inlineStr">
        <is>
          <t>Здравоохранение-2025</t>
        </is>
      </c>
      <c r="O31" s="9" t="inlineStr">
        <is>
          <t>https://icatalog.expocentr.ru/ru/exhibitions/de590dc5-417d-11ee-80ce-a0d3c1fab97f</t>
        </is>
      </c>
    </row>
    <row r="32" ht="16" customHeight="1">
      <c r="A32" s="1" t="inlineStr">
        <is>
          <t>МЕДИТЕК, АО</t>
        </is>
      </c>
      <c r="B32" s="1" t="inlineStr">
        <is>
          <t>8F115</t>
        </is>
      </c>
      <c r="C32" s="1" t="inlineStr">
        <is>
          <t>Россия</t>
        </is>
      </c>
      <c r="D32" s="1" t="inlineStr">
        <is>
          <t>Москва</t>
        </is>
      </c>
      <c r="E32" s="1" t="inlineStr">
        <is>
          <t>Россия, 125445, г. Москва, ул. Смольная, д. 52, стр. 6</t>
        </is>
      </c>
      <c r="F32" s="10" t="inlineStr">
        <is>
          <t>http://www.astrocard-meditek.ru</t>
        </is>
      </c>
      <c r="G32" s="1" t="inlineStr">
        <is>
          <t>shatalova@astrocard-meditek.ru</t>
        </is>
      </c>
      <c r="H32" s="1" t="inlineStr">
        <is>
          <t>Продукция АО «Медитек» — широкий спектр медицинского оборудования для кардиологии и функциональной диагностики Astrocard® («Астрокард®»).</t>
        </is>
      </c>
      <c r="I32" s="1" t="inlineStr">
        <is>
          <t>Оборудование для мониторинга функций сердечно-сосудистой системы; Приборы и принадлежности для кардиографических исследований; Системы мониторирования ЭКГ и АД; Прочие диагностические устройства</t>
        </is>
      </c>
      <c r="J32" s="1">
        <f>IFERROR(__xludf.DUMMYFUNCTION("AI(Prompt!$B$6, H33:I33)"),"Производитель")</f>
        <v/>
      </c>
      <c r="K32" s="1">
        <f>IFERROR(__xludf.DUMMYFUNCTION("AI(Prompt!$B$12, H33:J33)"),"OK")</f>
        <v/>
      </c>
      <c r="L32" s="1">
        <f>IFERROR(__xludf.DUMMYFUNCTION("AI(Prompt!$B$17, H33:I33)"),"медицинское оборудование, приборы и принадлежности, системы мониторирования, диагностические устройства")</f>
        <v/>
      </c>
      <c r="M32" s="1">
        <f>IFERROR(__xludf.DUMMYFUNCTION("AI(Prompt!$B$21,A33)"),"Медитек")</f>
        <v/>
      </c>
      <c r="N32" s="1" t="inlineStr">
        <is>
          <t>Здравоохранение-2025</t>
        </is>
      </c>
      <c r="O32" s="9" t="inlineStr">
        <is>
          <t>https://icatalog.expocentr.ru/ru/exhibitions/de590dc5-417d-11ee-80ce-a0d3c1fab97f</t>
        </is>
      </c>
    </row>
    <row r="33" ht="16" customHeight="1">
      <c r="A33" s="1" t="inlineStr">
        <is>
          <t>НЕО, КОМПАНИЯ, ООО</t>
        </is>
      </c>
      <c r="B33" s="1" t="inlineStr">
        <is>
          <t>8A050</t>
        </is>
      </c>
      <c r="C33" s="1" t="inlineStr">
        <is>
          <t>Россия</t>
        </is>
      </c>
      <c r="D33" s="1" t="inlineStr">
        <is>
          <t>Санкт-Петербург</t>
        </is>
      </c>
      <c r="E33" s="1" t="inlineStr">
        <is>
          <t>Россия, 195269, г. Санкт-Петербург, ул. Учительская, д. 23, литера А, пом. 221-а</t>
        </is>
      </c>
      <c r="F33" s="10" t="inlineStr">
        <is>
          <t>http://valenta.spb.ru</t>
        </is>
      </c>
      <c r="G33" s="1" t="inlineStr">
        <is>
          <t>info@valenta.spb.ru</t>
        </is>
      </c>
      <c r="H33" s="1" t="inlineStr">
        <is>
          <t>Производство медицинского оборудования торговой марки «Валента» для функциональной диагностики: электрокардиографов, спирографов, реографов, холтеровских мониторов ЭКГ и АД, систем дистанционной передачи ЭКГ.</t>
        </is>
      </c>
      <c r="I33" s="1" t="inlineStr">
        <is>
          <t>Приборы и принадлежности для кардиографических исследований; Системы мониторирования ЭКГ и АД; Приборы для исследования внешнего дыхания; Системы eHealth, телемедицина; Производство медицинских изделий</t>
        </is>
      </c>
      <c r="J33" s="1">
        <f>IFERROR(__xludf.DUMMYFUNCTION("AI(Prompt!$B$6, H34:I34)"),"Производитель")</f>
        <v/>
      </c>
      <c r="K33" s="1">
        <f>IFERROR(__xludf.DUMMYFUNCTION("AI(Prompt!$B$12, H34:J34)"),"OK")</f>
        <v/>
      </c>
      <c r="L33" s="1">
        <f>IFERROR(__xludf.DUMMYFUNCTION("AI(Prompt!$B$17, H34:I34)"),"медицинское оборудование, приборы, мониторы, системы")</f>
        <v/>
      </c>
      <c r="M33" s="1">
        <f>IFERROR(__xludf.DUMMYFUNCTION("AI(Prompt!$B$21,A34)"),"Нео, Компания")</f>
        <v/>
      </c>
      <c r="N33" s="1" t="inlineStr">
        <is>
          <t>Здравоохранение-2025</t>
        </is>
      </c>
      <c r="O33" s="9" t="inlineStr">
        <is>
          <t>https://icatalog.expocentr.ru/ru/exhibitions/de590dc5-417d-11ee-80ce-a0d3c1fab97f</t>
        </is>
      </c>
    </row>
    <row r="34" ht="16" customHeight="1">
      <c r="A34" s="1" t="inlineStr">
        <is>
          <t>СПЕКТРУМ, ООО</t>
        </is>
      </c>
      <c r="B34" s="11" t="n">
        <v>8e+142</v>
      </c>
      <c r="C34" s="1" t="inlineStr">
        <is>
          <t>Россия</t>
        </is>
      </c>
      <c r="D34" s="1" t="inlineStr">
        <is>
          <t>Москва</t>
        </is>
      </c>
      <c r="E34" s="1" t="inlineStr">
        <is>
          <t>Россия, 127422, г. Москва, ул. Тимирязевская, д. 1, стр. 2</t>
        </is>
      </c>
      <c r="F34" s="10" t="inlineStr">
        <is>
          <t>http://www.spectrumllc.org</t>
        </is>
      </c>
      <c r="G34" s="1" t="inlineStr">
        <is>
          <t>spectrumllc@yandex.ru</t>
        </is>
      </c>
      <c r="H34" s="1" t="inlineStr">
        <is>
          <t>ООО «Спектрум» — дистрибьютор компаний Paxman Coolers Ltd (аппараты PSCS для профилактики алопеции при химиотерапии) и PPS LLC (системы матраса PPS Glide для бокового перемещения пациентов).</t>
        </is>
      </c>
      <c r="I34" s="1" t="inlineStr">
        <is>
          <t>Медицинская мебель; Оборудование для лечения онкологических заболеваний; Средства перевозки (перемещения) пациентов, оборудования и материалов; Физиотерапия и реабилитация; Онкология; Принадлежности и расходные материалы для реанимации и экстренной помощи</t>
        </is>
      </c>
      <c r="J34" s="1">
        <f>IFERROR(__xludf.DUMMYFUNCTION("AI(Prompt!$B$6, H35:I35)"),"Дилер")</f>
        <v/>
      </c>
      <c r="K34" s="1">
        <f>IFERROR(__xludf.DUMMYFUNCTION("AI(Prompt!$B$12, H35:J35)"),"OK")</f>
        <v/>
      </c>
      <c r="L34" s="1">
        <f>IFERROR(__xludf.DUMMYFUNCTION("AI(Prompt!$B$17, H35:I35)"),"медицинское оборудование и средства перевозки")</f>
        <v/>
      </c>
      <c r="M34" s="1">
        <f>IFERROR(__xludf.DUMMYFUNCTION("AI(Prompt!$B$21,A35)"),"Спектрум")</f>
        <v/>
      </c>
      <c r="N34" s="1" t="inlineStr">
        <is>
          <t>Здравоохранение-2025</t>
        </is>
      </c>
      <c r="O34" s="9" t="inlineStr">
        <is>
          <t>https://icatalog.expocentr.ru/ru/exhibitions/de590dc5-417d-11ee-80ce-a0d3c1fab97f</t>
        </is>
      </c>
    </row>
    <row r="35" ht="16" customHeight="1">
      <c r="A35" s="1" t="inlineStr">
        <is>
          <t>ЗАСЛОН, АО</t>
        </is>
      </c>
      <c r="B35" s="1" t="inlineStr">
        <is>
          <t>8C040</t>
        </is>
      </c>
      <c r="C35" s="1" t="inlineStr">
        <is>
          <t>Россия</t>
        </is>
      </c>
      <c r="D35" s="1" t="inlineStr">
        <is>
          <t>Санкт-Петербург</t>
        </is>
      </c>
      <c r="E35" s="1" t="inlineStr">
        <is>
          <t>Россия, 196006, г. Санкт-Петербург, ул. Коли Томчака, д. 9, литера Н</t>
        </is>
      </c>
      <c r="F35" s="10" t="inlineStr">
        <is>
          <t>http://zaslon.ru</t>
        </is>
      </c>
      <c r="G35" s="1" t="inlineStr">
        <is>
          <t>info@onegroup.ru</t>
        </is>
      </c>
      <c r="H35" s="1" t="inlineStr">
        <is>
          <t>АО «ЗАСЛОН» — российская частная инженерная компания, разработчик и производитель медицинского диагностического оборудования, СВЧ-схем, комплексных систем автоматизированного управления, ПО и др.</t>
        </is>
      </c>
      <c r="I35" s="1" t="inlineStr">
        <is>
          <t>Прочие диагностические устройства; Ультразвуковые сканеры и диагностические системы</t>
        </is>
      </c>
      <c r="J35" s="1">
        <f>IFERROR(__xludf.DUMMYFUNCTION("AI(Prompt!$B$6, H36:I36)"),"Производитель")</f>
        <v/>
      </c>
      <c r="K35" s="1">
        <f>IFERROR(__xludf.DUMMYFUNCTION("AI(Prompt!$B$12, H36:J36)"),"OK")</f>
        <v/>
      </c>
      <c r="L35" s="1">
        <f>IFERROR(__xludf.DUMMYFUNCTION("AI(Prompt!$B$17, H36:I36)"),"диагностическое оборудование, СВЧ-схемы и системы управления")</f>
        <v/>
      </c>
      <c r="M35" s="1">
        <f>IFERROR(__xludf.DUMMYFUNCTION("AI(Prompt!$B$21,A36)"),"Заслон")</f>
        <v/>
      </c>
      <c r="N35" s="1" t="inlineStr">
        <is>
          <t>Здравоохранение-2025</t>
        </is>
      </c>
      <c r="O35" s="9" t="inlineStr">
        <is>
          <t>https://icatalog.expocentr.ru/ru/exhibitions/de590dc5-417d-11ee-80ce-a0d3c1fab97f</t>
        </is>
      </c>
    </row>
    <row r="36" ht="16" customHeight="1">
      <c r="A36" s="1" t="inlineStr">
        <is>
          <t>ДМ-ГРУПП, ООО</t>
        </is>
      </c>
      <c r="B36" s="1" t="inlineStr">
        <is>
          <t>8C095</t>
        </is>
      </c>
      <c r="C36" s="1" t="inlineStr">
        <is>
          <t>Россия</t>
        </is>
      </c>
      <c r="D36" s="1" t="inlineStr">
        <is>
          <t>Москва</t>
        </is>
      </c>
      <c r="E36" s="1" t="inlineStr">
        <is>
          <t>Россия, 117041, г. Москва, ул. Адмирала Руднева, д. 4, этаж 6, пом. 6, оф. 1Д</t>
        </is>
      </c>
      <c r="F36" s="10" t="inlineStr">
        <is>
          <t>http://dm-group.org</t>
        </is>
      </c>
      <c r="G36" s="1" t="inlineStr">
        <is>
          <t>info@dm-group.org</t>
        </is>
      </c>
      <c r="H36" s="1" t="inlineStr">
        <is>
          <t>20 лет опыта работы на медицинском рынке, более 1000 успешных поставок — от нескольких единиц техники до комплексного оснащения лечебных учреждений по всей России. Эффективное оборудование для вас!</t>
        </is>
      </c>
      <c r="I36" s="1" t="inlineStr">
        <is>
          <t>Диагностическое оборудование для гинекологии; Ультразвуковые сканеры и диагностические системы; Эндоскопы жесткие; Эндоскопы гибкие; Инструменты и принадлежности для эндоскопии</t>
        </is>
      </c>
      <c r="J36" s="1">
        <f>IFERROR(__xludf.DUMMYFUNCTION("AI(Prompt!$B$6, H37:I37)"),"Дилер")</f>
        <v/>
      </c>
      <c r="K36" s="1">
        <f>IFERROR(__xludf.DUMMYFUNCTION("AI(Prompt!$B$12, H37:J37)"),"OK")</f>
        <v/>
      </c>
      <c r="L36" s="1">
        <f>IFERROR(__xludf.DUMMYFUNCTION("AI(Prompt!$B$17, H37:I37)"),"оборудование, сканеры, эндоскопы и инструменты")</f>
        <v/>
      </c>
      <c r="M36" s="1">
        <f>IFERROR(__xludf.DUMMYFUNCTION("AI(Prompt!$B$21,A37)"),"Дм-Групп")</f>
        <v/>
      </c>
      <c r="N36" s="1" t="inlineStr">
        <is>
          <t>Здравоохранение-2025</t>
        </is>
      </c>
      <c r="O36" s="9" t="inlineStr">
        <is>
          <t>https://icatalog.expocentr.ru/ru/exhibitions/de590dc5-417d-11ee-80ce-a0d3c1fab97f</t>
        </is>
      </c>
    </row>
    <row r="37" ht="16" customHeight="1">
      <c r="A37" s="1" t="inlineStr">
        <is>
          <t>СКАНЕР НПО, АО</t>
        </is>
      </c>
      <c r="B37" s="1" t="inlineStr">
        <is>
          <t>8G030,    8G050,   8G070</t>
        </is>
      </c>
      <c r="C37" s="1" t="inlineStr">
        <is>
          <t>Россия</t>
        </is>
      </c>
      <c r="D37" s="1" t="inlineStr">
        <is>
          <t>Москва</t>
        </is>
      </c>
      <c r="E37" s="1" t="inlineStr">
        <is>
          <t>Россия, 109316, г. Москва, Волгоградский просп., д. 42, корп. 24</t>
        </is>
      </c>
      <c r="F37" s="10" t="inlineStr">
        <is>
          <t>http://www.medscanner.ru</t>
        </is>
      </c>
      <c r="G37" s="1" t="inlineStr">
        <is>
          <t>info@medscanner.ru</t>
        </is>
      </c>
      <c r="H37" s="1" t="inlineStr">
        <is>
          <t>Научно-производственное объединение «СКАНЕР» – один из ведущих российских разработчиков и производителей медицинских ультразвуковых диагностических систем.</t>
        </is>
      </c>
      <c r="I37" s="1" t="inlineStr">
        <is>
          <t>Ультразвуковые сканеры и диагностические системы</t>
        </is>
      </c>
      <c r="J37" s="1">
        <f>IFERROR(__xludf.DUMMYFUNCTION("AI(Prompt!$B$6, H38:I38)"),"Производитель")</f>
        <v/>
      </c>
      <c r="K37" s="1">
        <f>IFERROR(__xludf.DUMMYFUNCTION("AI(Prompt!$B$12, H38:J38)"),"OK")</f>
        <v/>
      </c>
      <c r="L37" s="1">
        <f>IFERROR(__xludf.DUMMYFUNCTION("AI(Prompt!$B$17, H38:I38)"),"ультразвуковые сканеры и диагностические системы")</f>
        <v/>
      </c>
      <c r="M37" s="1">
        <f>IFERROR(__xludf.DUMMYFUNCTION("AI(Prompt!$B$21,A38)"),"Сканер НПО")</f>
        <v/>
      </c>
      <c r="N37" s="1" t="inlineStr">
        <is>
          <t>Здравоохранение-2025</t>
        </is>
      </c>
      <c r="O37" s="9" t="inlineStr">
        <is>
          <t>https://icatalog.expocentr.ru/ru/exhibitions/de590dc5-417d-11ee-80ce-a0d3c1fab97f</t>
        </is>
      </c>
    </row>
    <row r="38" ht="16" customHeight="1">
      <c r="A38" s="1" t="inlineStr">
        <is>
          <t>ФРАНОМ ТРЕЙД, ООО</t>
        </is>
      </c>
      <c r="B38" s="1" t="inlineStr">
        <is>
          <t>8A065</t>
        </is>
      </c>
      <c r="C38" s="1" t="inlineStr">
        <is>
          <t>Россия</t>
        </is>
      </c>
      <c r="D38" s="1" t="inlineStr">
        <is>
          <t>Электросталь</t>
        </is>
      </c>
      <c r="E38" s="1" t="inlineStr">
        <is>
          <t>Россия, 144000, Московская обл., г. Электросталь, ул. Красная, д. 14а, пом. 5</t>
        </is>
      </c>
      <c r="F38" s="10" t="inlineStr">
        <is>
          <t>https://franom.ru</t>
        </is>
      </c>
      <c r="G38" s="1" t="inlineStr">
        <is>
          <t>sales@franom.ru</t>
        </is>
      </c>
      <c r="H38" s="1" t="inlineStr">
        <is>
          <t>ООО «ФРАНОМ ТРЕЙД» — поставщик нового и б/у медоборудования. Комплексное оснащение клиник и подбор решений под ваш бюджет. Весь спектр услуг — от консультации до монтажа. Лицензия, гибкие условия и гарантии.</t>
        </is>
      </c>
      <c r="I38" s="1" t="inlineStr">
        <is>
          <t>Рентгеновские диагностические установки, передвижные и стационарные; Компьютерные томографы; Маммографы; Флюорографы; Магнитно-резонансные томографы; Ультразвуковые сканеры и диагностические системы</t>
        </is>
      </c>
      <c r="J38" s="1">
        <f>IFERROR(__xludf.DUMMYFUNCTION("AI(Prompt!$B$6, H40:I40)"),"Дилер")</f>
        <v/>
      </c>
      <c r="K38" s="1">
        <f>IFERROR(__xludf.DUMMYFUNCTION("AI(Prompt!$B$12, H40:J40)"),"OK")</f>
        <v/>
      </c>
      <c r="L38" s="1">
        <f>IFERROR(__xludf.DUMMYFUNCTION("AI(Prompt!$B$17, H40:I40)"),"медоборудование, томографы, маммографы и сканеры")</f>
        <v/>
      </c>
      <c r="M38" s="1">
        <f>IFERROR(__xludf.DUMMYFUNCTION("AI(Prompt!$B$21,A40)"),"Франом Трейд")</f>
        <v/>
      </c>
      <c r="N38" s="1" t="inlineStr">
        <is>
          <t>Здравоохранение-2025</t>
        </is>
      </c>
      <c r="O38" s="9" t="inlineStr">
        <is>
          <t>https://icatalog.expocentr.ru/ru/exhibitions/de590dc5-417d-11ee-80ce-a0d3c1fab97f</t>
        </is>
      </c>
    </row>
    <row r="39" ht="16" customHeight="1">
      <c r="A39" s="1" t="inlineStr">
        <is>
          <t>ФОТЕК, ООО</t>
        </is>
      </c>
      <c r="B39" s="1" t="inlineStr">
        <is>
          <t>7D020,   8G050</t>
        </is>
      </c>
      <c r="C39" s="1" t="inlineStr">
        <is>
          <t>Россия</t>
        </is>
      </c>
      <c r="D39" s="1" t="inlineStr">
        <is>
          <t>Екатеринбург</t>
        </is>
      </c>
      <c r="E39" s="1" t="inlineStr">
        <is>
          <t>Россия, 620078, г. Екатеринбург, ул. Малышева, стр. 145а</t>
        </is>
      </c>
      <c r="F39" s="10" t="inlineStr">
        <is>
          <t>http://www.fotek.ru</t>
        </is>
      </c>
      <c r="G39" s="1" t="inlineStr">
        <is>
          <t>fotek@fotek.ru</t>
        </is>
      </c>
      <c r="H39" s="1" t="inlineStr">
        <is>
          <t>«ФОТЕК» — российский разработчик и производитель электрохирургического и ультразвукового кавитационного оборудования для гинекологии, урологии, хирургии, травматологии и ортопедии, оториноларингологии. Производство сертифицировано в соответствии с международными стандартами ISO. Оборудование «ФОТЕК» соответствует требованиям стандартов Европейского союза.</t>
        </is>
      </c>
      <c r="I39" s="1" t="inlineStr">
        <is>
          <t>Эндоскопические комплексы и системы; Электрохирургические аппараты; Ультразвуковые хирургические аппараты</t>
        </is>
      </c>
      <c r="J39" s="1">
        <f>IFERROR(__xludf.DUMMYFUNCTION("AI(Prompt!$B$6, H41:I41)"),"Производитель")</f>
        <v/>
      </c>
      <c r="K39" s="1">
        <f>IFERROR(__xludf.DUMMYFUNCTION("AI(Prompt!$B$12, H41:J41)"),"OK")</f>
        <v/>
      </c>
      <c r="L39" s="1">
        <f>IFERROR(__xludf.DUMMYFUNCTION("AI(Prompt!$B$17, H41:I41)"),"комплексы, аппараты и оборудование")</f>
        <v/>
      </c>
      <c r="M39" s="1">
        <f>IFERROR(__xludf.DUMMYFUNCTION("AI(Prompt!$B$21,A41)"),"Фотек")</f>
        <v/>
      </c>
      <c r="N39" s="1" t="inlineStr">
        <is>
          <t>Здравоохранение-2025</t>
        </is>
      </c>
      <c r="O39" s="9" t="inlineStr">
        <is>
          <t>https://icatalog.expocentr.ru/ru/exhibitions/de590dc5-417d-11ee-80ce-a0d3c1fab97f</t>
        </is>
      </c>
    </row>
    <row r="40" hidden="1" ht="16" customHeight="1">
      <c r="A40" s="1" t="inlineStr">
        <is>
          <t>КАРДИАН</t>
        </is>
      </c>
      <c r="B40" s="1" t="inlineStr">
        <is>
          <t>8A055</t>
        </is>
      </c>
      <c r="C40" s="1" t="inlineStr">
        <is>
          <t>Республика Беларусь</t>
        </is>
      </c>
      <c r="D40" s="1" t="inlineStr">
        <is>
          <t>Минск</t>
        </is>
      </c>
      <c r="E40" s="1" t="inlineStr">
        <is>
          <t>Республика Беларусь, 220121, г. Минск, ул. П. Глебки, д. 2-20</t>
        </is>
      </c>
      <c r="F40" s="10" t="inlineStr">
        <is>
          <t>http://www.cardian.by</t>
        </is>
      </c>
      <c r="G40" s="1" t="inlineStr">
        <is>
          <t>info@cardian.by</t>
        </is>
      </c>
      <c r="H40" s="1" t="inlineStr">
        <is>
          <t>«Кардиан» — разработчик и производитель кардиодиагностического оборудования. Предприятием серийно выпускаются системы длительного мониторирования ЭКГ, АД, электрокардиографы.</t>
        </is>
      </c>
      <c r="I40" s="1" t="inlineStr">
        <is>
          <t>Оборудование для мониторинга функций сердечно-сосудистой системы; Приборы и принадлежности для кардиографических исследований; Системы мониторирования ЭКГ и АД; Системы мониторирования ЭЭГ; Системы eHealth, телемедицина</t>
        </is>
      </c>
      <c r="J40" s="1">
        <f>IFERROR(__xludf.DUMMYFUNCTION("AI(Prompt!$B$6, H42:I42)"),"Производитель")</f>
        <v/>
      </c>
      <c r="K40" s="1">
        <f>IFERROR(__xludf.DUMMYFUNCTION("AI(Prompt!$B$12, H42:J42)"),"OK")</f>
        <v/>
      </c>
      <c r="L40" s="1">
        <f>IFERROR(__xludf.DUMMYFUNCTION("AI(Prompt!$B$17, H42:I42)"),"системы мониторирования, электрокардиографы и приборы")</f>
        <v/>
      </c>
      <c r="M40" s="1">
        <f>IFERROR(__xludf.DUMMYFUNCTION("AI(Prompt!$B$21,A42)"),"Кардиан")</f>
        <v/>
      </c>
      <c r="N40" s="1" t="inlineStr">
        <is>
          <t>Здравоохранение-2025</t>
        </is>
      </c>
      <c r="O40" s="9" t="inlineStr">
        <is>
          <t>https://icatalog.expocentr.ru/ru/exhibitions/de590dc5-417d-11ee-80ce-a0d3c1fab97f</t>
        </is>
      </c>
    </row>
    <row r="41" ht="16" customHeight="1">
      <c r="A41" s="1" t="inlineStr">
        <is>
          <t>САНТЕ МЕДИКАЛ СИСТЕМС, АО</t>
        </is>
      </c>
      <c r="B41" s="1" t="inlineStr">
        <is>
          <t>8C030</t>
        </is>
      </c>
      <c r="C41" s="1" t="inlineStr">
        <is>
          <t>Россия</t>
        </is>
      </c>
      <c r="D41" s="1" t="inlineStr">
        <is>
          <t>Москва</t>
        </is>
      </c>
      <c r="E41" s="1" t="inlineStr">
        <is>
          <t>Россия, 127015, г. Москва, ул. Новодмитровская, д. 2, корп. 1, этаж 14, пом. XCII, комн. 32</t>
        </is>
      </c>
      <c r="F41" s="10" t="inlineStr">
        <is>
          <t>http://www.sante.ru</t>
        </is>
      </c>
      <c r="G41" s="1" t="inlineStr">
        <is>
          <t>info@sante.ru</t>
        </is>
      </c>
      <c r="H41" s="1" t="inlineStr">
        <is>
          <t>Официальный дистрибьютор медицинского оборудования для введения контрастного вещества, лучевой диагностики, оториноларингологии, артроскопии, нейрохирургии, неонатологии, анестезиологии и реанимации.</t>
        </is>
      </c>
      <c r="I41" s="1" t="inlineStr">
        <is>
          <t>Рентгеновские диагностические установки, передвижные и стационарные; Отоскопы и лор-инструменты; Эндоскопы жесткие; Мониторы пациента; Наркозно-дыхательные аппараты; Хирургическое оборудование; Хирургические инструменты</t>
        </is>
      </c>
      <c r="J41" s="1">
        <f>IFERROR(__xludf.DUMMYFUNCTION("AI(Prompt!$B$6, H43:I43)"),"Дилер")</f>
        <v/>
      </c>
      <c r="K41" s="1">
        <f>IFERROR(__xludf.DUMMYFUNCTION("AI(Prompt!$B$12, H43:J43)"),"OK")</f>
        <v/>
      </c>
      <c r="L41" s="1">
        <f>IFERROR(__xludf.DUMMYFUNCTION("AI(Prompt!$B$17, H43:I43)"),"медицинское оборудование, эндоскопы, наркозно-дыхательные аппараты, хирургические инструменты")</f>
        <v/>
      </c>
      <c r="M41" s="1">
        <f>IFERROR(__xludf.DUMMYFUNCTION("AI(Prompt!$B$21,A43)"),"Санте Медикал Системс")</f>
        <v/>
      </c>
      <c r="N41" s="1" t="inlineStr">
        <is>
          <t>Здравоохранение-2025</t>
        </is>
      </c>
      <c r="O41" s="9" t="inlineStr">
        <is>
          <t>https://icatalog.expocentr.ru/ru/exhibitions/de590dc5-417d-11ee-80ce-a0d3c1fab97f</t>
        </is>
      </c>
    </row>
    <row r="42" ht="16" customHeight="1">
      <c r="A42" s="1" t="inlineStr">
        <is>
          <t>ПРЕМИУМ ЭСТЕТИКС</t>
        </is>
      </c>
      <c r="B42" s="1" t="inlineStr">
        <is>
          <t>8F130</t>
        </is>
      </c>
      <c r="C42" s="1" t="inlineStr">
        <is>
          <t>Россия</t>
        </is>
      </c>
      <c r="D42" s="1" t="inlineStr">
        <is>
          <t>Москва</t>
        </is>
      </c>
      <c r="E42" s="1" t="inlineStr">
        <is>
          <t>Россия, 123154, г. Москва, просп. Маршала Жукова, д. 51</t>
        </is>
      </c>
      <c r="F42" s="10" t="inlineStr">
        <is>
          <t>https://www.premium-a.ru</t>
        </is>
      </c>
      <c r="G42" s="1" t="inlineStr">
        <is>
          <t>info@premium-a.ru</t>
        </is>
      </c>
      <c r="H42" s="1" t="inlineStr">
        <is>
          <t>Premium Aesthetics — лидер в области медицинской диагностики, предлагающий решения для дерматологии: от 3D-визуализации кожи Antera 3D, ИИ-систем FotoFinder до портативных дерматоскопов DermLite и Skeen. Разработанный компанией онлайн-сервис «Меланоме — НЕТ» для раннего выявления меланомы и ЗНОК объединяет приложение, цифровой дерматоскоп и ИИ-алгоритмы для более точной и быстрой диагностики.</t>
        </is>
      </c>
      <c r="I42" s="1" t="inlineStr">
        <is>
          <t>Ультразвуковые сканеры и диагностические системы; Дерматоскопы; Оборудование для фототерапии; Оборудование для лазерной терапии; Косметические препараты; Оборудование для эстетической медицины</t>
        </is>
      </c>
      <c r="J42" s="1">
        <f>IFERROR(__xludf.DUMMYFUNCTION("AI(Prompt!$B$6, H44:I44)"),"Производитель")</f>
        <v/>
      </c>
      <c r="K42" s="1">
        <f>IFERROR(__xludf.DUMMYFUNCTION("AI(Prompt!$B$12, H44:J44)"),"OK")</f>
        <v/>
      </c>
      <c r="L42" s="1">
        <f>IFERROR(__xludf.DUMMYFUNCTION("AI(Prompt!$B$17, H44:I44)"),"ультразвуковые сканеры, дерматоскопы, оборудование для фототерапии, оборудование для лазерной терапии и косметические препараты")</f>
        <v/>
      </c>
      <c r="M42" s="1">
        <f>IFERROR(__xludf.DUMMYFUNCTION("AI(Prompt!$B$21,A44)"),"Премиум Эстетикс")</f>
        <v/>
      </c>
      <c r="N42" s="1" t="inlineStr">
        <is>
          <t>Здравоохранение-2025</t>
        </is>
      </c>
      <c r="O42" s="9" t="inlineStr">
        <is>
          <t>https://icatalog.expocentr.ru/ru/exhibitions/de590dc5-417d-11ee-80ce-a0d3c1fab97f</t>
        </is>
      </c>
    </row>
    <row r="43" ht="16" customHeight="1">
      <c r="A43" s="1" t="inlineStr">
        <is>
          <t>С.Е.Д.-СПб, АО</t>
        </is>
      </c>
      <c r="B43" s="1" t="inlineStr">
        <is>
          <t>8H070</t>
        </is>
      </c>
      <c r="C43" s="1" t="inlineStr">
        <is>
          <t>Россия</t>
        </is>
      </c>
      <c r="D43" s="1" t="inlineStr">
        <is>
          <t>Санкт-Петербург</t>
        </is>
      </c>
      <c r="E43" s="1" t="inlineStr">
        <is>
          <t>Россия, 194156, г. Санкт-Петербург, просп. Энгельса, д. 27, литера ВМ, пом. 1Н</t>
        </is>
      </c>
      <c r="F43" s="10" t="inlineStr">
        <is>
          <t>http://rg.sedspb.ru</t>
        </is>
      </c>
      <c r="G43" s="1" t="inlineStr">
        <is>
          <t>sedspb@sedspb.ru</t>
        </is>
      </c>
      <c r="H43" s="1" t="inlineStr">
        <is>
          <t>АО «С.Е.Д.-СПб» — российский производитель рентгеновских излучателей для рентгенодиагностических и маммографических аппаратов на базе отечественных рентгеновских трубок производства «Светлана-Рентген».</t>
        </is>
      </c>
      <c r="I43" s="1" t="inlineStr">
        <is>
          <t>Производство медицинских изделий; Комплектующие для производства медицинских изделий; Рентгеновские диагностические установки, передвижные и стационарные; Компьютерные томографы; Маммографы; Флюорографы</t>
        </is>
      </c>
      <c r="J43" s="1">
        <f>IFERROR(__xludf.DUMMYFUNCTION("AI(Prompt!$B$6, H45:I45)"),"Производитель")</f>
        <v/>
      </c>
      <c r="K43" s="1">
        <f>IFERROR(__xludf.DUMMYFUNCTION("AI(Prompt!$B$12, H45:J45)"),"OK")</f>
        <v/>
      </c>
      <c r="L43" s="1">
        <f>IFERROR(__xludf.DUMMYFUNCTION("AI(Prompt!$B$17, H45:I45)"),"рентгеновские излучатели, комплектующие и томографы")</f>
        <v/>
      </c>
      <c r="M43" s="1">
        <f>IFERROR(__xludf.DUMMYFUNCTION("AI(Prompt!$B$21,A45)"),"С.Е.Д.-СПб")</f>
        <v/>
      </c>
      <c r="N43" s="1" t="inlineStr">
        <is>
          <t>Здравоохранение-2025</t>
        </is>
      </c>
      <c r="O43" s="9" t="inlineStr">
        <is>
          <t>https://icatalog.expocentr.ru/ru/exhibitions/de590dc5-417d-11ee-80ce-a0d3c1fab97f</t>
        </is>
      </c>
    </row>
    <row r="44" ht="16" customHeight="1">
      <c r="A44" s="1" t="inlineStr">
        <is>
          <t>АКТИВ МЕДИКА, ООО</t>
        </is>
      </c>
      <c r="B44" s="1" t="inlineStr">
        <is>
          <t>8D134</t>
        </is>
      </c>
      <c r="C44" s="1" t="inlineStr">
        <is>
          <t>Россия</t>
        </is>
      </c>
      <c r="D44" s="1" t="inlineStr">
        <is>
          <t>Санкт-Петербург</t>
        </is>
      </c>
      <c r="E44" s="1" t="inlineStr">
        <is>
          <t>Россия, 197374, г. Санкт-Петербург, ул. Мебельная, д. 12, корп. 1, литера А, пом. 46-Н № 7, оф. 533</t>
        </is>
      </c>
      <c r="F44" s="10" t="inlineStr">
        <is>
          <t>https://activ-medica.ru</t>
        </is>
      </c>
      <c r="G44" s="1" t="inlineStr">
        <is>
          <t>office@activ-medica.ru</t>
        </is>
      </c>
      <c r="H44" s="1" t="inlineStr">
        <is>
          <t>«АКТИВ медика» — поставщик высокотехнологичного медицинского оборудования, официальный дистрибьютор Hamilton Medical AG, medin Medical Innovations GmbH, а также других лидеров рынка медицинской техники.</t>
        </is>
      </c>
      <c r="I44" s="1" t="inlineStr">
        <is>
          <t>Аппараты для искусственной вентиляции легких; Мониторы пациента; Наркозно-дыхательные аппараты; Комплекты реанимационного оборудования; Устройства для энтерального питания; Принадлежности и расходные материалы для реанимации и экстренной помощи</t>
        </is>
      </c>
      <c r="J44" s="1">
        <f>IFERROR(__xludf.DUMMYFUNCTION("AI(Prompt!$B$6, H46:I46)"),"Дилер")</f>
        <v/>
      </c>
      <c r="K44" s="1">
        <f>IFERROR(__xludf.DUMMYFUNCTION("AI(Prompt!$B$12, H46:J46)"),"OK")</f>
        <v/>
      </c>
      <c r="L44" s="1">
        <f>IFERROR(__xludf.DUMMYFUNCTION("AI(Prompt!$B$17, H46:I46)"),"медицинское оборудование, мониторы пациента, наркозно-дыхательные аппараты, комплекты реанимационного оборудования и расходные материалы")</f>
        <v/>
      </c>
      <c r="M44" s="1">
        <f>IFERROR(__xludf.DUMMYFUNCTION("AI(Prompt!$B$21,A46)"),"Актив Медика")</f>
        <v/>
      </c>
      <c r="N44" s="1" t="inlineStr">
        <is>
          <t>Здравоохранение-2025</t>
        </is>
      </c>
      <c r="O44" s="9" t="inlineStr">
        <is>
          <t>https://icatalog.expocentr.ru/ru/exhibitions/de590dc5-417d-11ee-80ce-a0d3c1fab97f</t>
        </is>
      </c>
    </row>
    <row r="45" ht="16" customHeight="1">
      <c r="A45" s="1" t="inlineStr">
        <is>
          <t>ЗЕРЦ</t>
        </is>
      </c>
      <c r="B45" s="1" t="inlineStr">
        <is>
          <t>8H090</t>
        </is>
      </c>
      <c r="C45" s="1" t="inlineStr">
        <is>
          <t>Россия</t>
        </is>
      </c>
      <c r="E45" s="1" t="inlineStr">
        <is>
          <t>Россия</t>
        </is>
      </c>
      <c r="F45" s="10" t="inlineStr">
        <is>
          <t>http://zerts.ru</t>
        </is>
      </c>
      <c r="G45" s="1" t="inlineStr">
        <is>
          <t>zerts@zerts.ru</t>
        </is>
      </c>
      <c r="H45" s="1" t="inlineStr">
        <is>
          <t>Компания ZERTS – российский производитель медицинского оборудования и мебели под собственной торговой маркой, основана в 2007 году. Производство ZERTS находится в г. Сергиев Посад Московской области.</t>
        </is>
      </c>
      <c r="I45" s="1" t="inlineStr">
        <is>
          <t>Мебель для гинекологии и акушерства; Гинекологические кресла; Родовые кровати; Медицинская мебель; Кушетки медицинские; Отоскопы и лор-инструменты</t>
        </is>
      </c>
      <c r="J45" s="1">
        <f>IFERROR(__xludf.DUMMYFUNCTION("AI(Prompt!$B$6, H47:I47)"),"Производитель")</f>
        <v/>
      </c>
      <c r="K45" s="1">
        <f>IFERROR(__xludf.DUMMYFUNCTION("AI(Prompt!$B$12, H47:J47)"),"OK")</f>
        <v/>
      </c>
      <c r="L45" s="1">
        <f>IFERROR(__xludf.DUMMYFUNCTION("AI(Prompt!$B$17, H47:I47)"),"медицинское оборудование, медицинская мебель и лор-инструменты")</f>
        <v/>
      </c>
      <c r="M45" s="1">
        <f>IFERROR(__xludf.DUMMYFUNCTION("AI(Prompt!$B$21,A47)"),"ЗЕРЦ")</f>
        <v/>
      </c>
      <c r="N45" s="1" t="inlineStr">
        <is>
          <t>Здравоохранение-2025</t>
        </is>
      </c>
      <c r="O45" s="9" t="inlineStr">
        <is>
          <t>https://icatalog.expocentr.ru/ru/exhibitions/de590dc5-417d-11ee-80ce-a0d3c1fab97f</t>
        </is>
      </c>
    </row>
    <row r="46" ht="16" customHeight="1">
      <c r="A46" s="1" t="inlineStr">
        <is>
          <t>ТАКО ЛАЙН, ООО</t>
        </is>
      </c>
      <c r="B46" s="1" t="inlineStr">
        <is>
          <t>8G118</t>
        </is>
      </c>
      <c r="C46" s="1" t="inlineStr">
        <is>
          <t>Россия</t>
        </is>
      </c>
      <c r="D46" s="1" t="inlineStr">
        <is>
          <t>Москва</t>
        </is>
      </c>
      <c r="E46" s="1" t="inlineStr">
        <is>
          <t>Россия, 115184, г. Москва, Озерковская наб., д. 26, стр. 1</t>
        </is>
      </c>
      <c r="F46" s="10" t="inlineStr">
        <is>
          <t>http://www.tako-line.ru</t>
        </is>
      </c>
      <c r="G46" s="1" t="inlineStr">
        <is>
          <t>alexandr@tako-line.ru</t>
        </is>
      </c>
      <c r="H46" s="1" t="inlineStr">
        <is>
          <t>ООО «ТАКО Лайн» — проектно-производственная компания, которая на протяжении уже более 20 лет успешно занимается изготовлением и поставкой источников медицинских газов, разработкой и производством установок любой сложности по техническому заданию заказчика.</t>
        </is>
      </c>
      <c r="I46" s="1" t="inlineStr">
        <is>
          <t>Оборудование для медицинских газов</t>
        </is>
      </c>
      <c r="J46" s="1">
        <f>IFERROR(__xludf.DUMMYFUNCTION("AI(Prompt!$B$6, H48:I48)"),"Производитель")</f>
        <v/>
      </c>
      <c r="K46" s="1">
        <f>IFERROR(__xludf.DUMMYFUNCTION("AI(Prompt!$B$12, H48:J48)"),"OK")</f>
        <v/>
      </c>
      <c r="L46" s="1">
        <f>IFERROR(__xludf.DUMMYFUNCTION("AI(Prompt!$B$17, H48:I48)"),"источники газов и установки")</f>
        <v/>
      </c>
      <c r="M46" s="1">
        <f>IFERROR(__xludf.DUMMYFUNCTION("AI(Prompt!$B$21,A48)"),"Тако Лайн")</f>
        <v/>
      </c>
      <c r="N46" s="1" t="inlineStr">
        <is>
          <t>Здравоохранение-2025</t>
        </is>
      </c>
      <c r="O46" s="9" t="inlineStr">
        <is>
          <t>https://icatalog.expocentr.ru/ru/exhibitions/de590dc5-417d-11ee-80ce-a0d3c1fab97f</t>
        </is>
      </c>
    </row>
    <row r="47" ht="16" customHeight="1">
      <c r="A47" s="1" t="inlineStr">
        <is>
          <t>АктюбРентген, ООО</t>
        </is>
      </c>
      <c r="B47" s="11" t="n">
        <v>8.000000000000001e+70</v>
      </c>
      <c r="C47" s="1" t="inlineStr">
        <is>
          <t>Россия</t>
        </is>
      </c>
      <c r="D47" s="1" t="inlineStr">
        <is>
          <t>Москва</t>
        </is>
      </c>
      <c r="E47" s="1" t="inlineStr">
        <is>
          <t>Россия, 117279, г. Москва, ул. Миклухо-Маклая, д. 34</t>
        </is>
      </c>
      <c r="F47" s="10" t="inlineStr">
        <is>
          <t>http://www.aktubrentgen.ru</t>
        </is>
      </c>
      <c r="G47" s="1" t="inlineStr">
        <is>
          <t>predaktobe@gmail.com</t>
        </is>
      </c>
      <c r="H47" s="1" t="inlineStr">
        <is>
          <t>ООО «АктюбРентген» совместно с партнером, компанией «Форматек», занимаются продажей медицинского оборудования и средств радиационной защиты.</t>
        </is>
      </c>
      <c r="I47" s="1" t="inlineStr">
        <is>
          <t>Вспомогательное оборудование; Маммографы; Флюорографы</t>
        </is>
      </c>
      <c r="J47" s="1">
        <f>IFERROR(__xludf.DUMMYFUNCTION("AI(Prompt!$B$6, H49:I49)"),"Дилер")</f>
        <v/>
      </c>
      <c r="K47" s="1">
        <f>IFERROR(__xludf.DUMMYFUNCTION("AI(Prompt!$B$12, H49:J49)"),"OK")</f>
        <v/>
      </c>
      <c r="L47" s="1">
        <f>IFERROR(__xludf.DUMMYFUNCTION("AI(Prompt!$B$17, H49:I49)"),"маммографы, флюорографы и средства защиты")</f>
        <v/>
      </c>
      <c r="M47" s="1">
        <f>IFERROR(__xludf.DUMMYFUNCTION("AI(Prompt!$B$21,A49)"),"Актюбрeнтген")</f>
        <v/>
      </c>
      <c r="N47" s="1" t="inlineStr">
        <is>
          <t>Здравоохранение-2025</t>
        </is>
      </c>
      <c r="O47" s="9" t="inlineStr">
        <is>
          <t>https://icatalog.expocentr.ru/ru/exhibitions/de590dc5-417d-11ee-80ce-a0d3c1fab97f</t>
        </is>
      </c>
    </row>
    <row r="48" hidden="1" ht="16" customHeight="1">
      <c r="A48" s="1" t="inlineStr">
        <is>
          <t>SUPER IMAGING CO. LTD</t>
        </is>
      </c>
      <c r="B48" s="1" t="inlineStr">
        <is>
          <t>8D132</t>
        </is>
      </c>
      <c r="C48" s="1" t="inlineStr">
        <is>
          <t>Китай</t>
        </is>
      </c>
      <c r="E48" s="1" t="inlineStr">
        <is>
          <t>Китай</t>
        </is>
      </c>
      <c r="F48" s="10" t="inlineStr">
        <is>
          <t>http://www.super-imaging.com</t>
        </is>
      </c>
      <c r="G48" s="1" t="inlineStr">
        <is>
          <t>info@super-imaging.com</t>
        </is>
      </c>
      <c r="H48" s="1" t="inlineStr">
        <is>
          <t>В компании Super Imaging мы стремимся к новым возможностям через инновации. Мы сотрудничаем с нашими клиентами, чтобы реализовать наибольший потенциал здравоохранения с помощью передовых медицинских технологий.</t>
        </is>
      </c>
      <c r="I48" s="1" t="inlineStr">
        <is>
          <t>Оборудование для мониторинга функций сердечно-сосудистой системы; Средства защиты от рентгеновских лучей; Компьютерные томографы</t>
        </is>
      </c>
      <c r="J48" s="1">
        <f>IFERROR(__xludf.DUMMYFUNCTION("AI(Prompt!$B$6, H50:I50)"),"Производитель")</f>
        <v/>
      </c>
      <c r="K48" s="1">
        <f>IFERROR(__xludf.DUMMYFUNCTION("AI(Prompt!$B$12, H50:J50)"),"OK")</f>
        <v/>
      </c>
      <c r="L48" s="1">
        <f>IFERROR(__xludf.DUMMYFUNCTION("AI(Prompt!$B$17, H50:I50)"),"оборудование, средства защиты и томографы")</f>
        <v/>
      </c>
      <c r="M48" s="1">
        <f>IFERROR(__xludf.DUMMYFUNCTION("AI(Prompt!$B$21,A50)"),"Super Imaging Co.")</f>
        <v/>
      </c>
      <c r="N48" s="1" t="inlineStr">
        <is>
          <t>Здравоохранение-2025</t>
        </is>
      </c>
      <c r="O48" s="9" t="inlineStr">
        <is>
          <t>https://icatalog.expocentr.ru/ru/exhibitions/de590dc5-417d-11ee-80ce-a0d3c1fab97f</t>
        </is>
      </c>
    </row>
    <row r="49" ht="16" customHeight="1">
      <c r="A49" s="1" t="inlineStr">
        <is>
          <t>ИНФОМЕД-НЕЙРО, ООО</t>
        </is>
      </c>
      <c r="B49" s="1" t="inlineStr">
        <is>
          <t>8D110</t>
        </is>
      </c>
      <c r="C49" s="1" t="inlineStr">
        <is>
          <t>Россия</t>
        </is>
      </c>
      <c r="D49" s="1" t="inlineStr">
        <is>
          <t>Москва</t>
        </is>
      </c>
      <c r="E49" s="1" t="inlineStr">
        <is>
          <t>Россия, 125445, г. Москва, Ленинградское ш., д. 69, корп. 1, пом. I</t>
        </is>
      </c>
      <c r="F49" s="1" t="inlineStr">
        <is>
          <t>https://инфомед-нейро.рф</t>
        </is>
      </c>
      <c r="G49" s="1" t="inlineStr">
        <is>
          <t>sales@im-neuro.ru</t>
        </is>
      </c>
      <c r="H49" s="1" t="inlineStr">
        <is>
          <t>Компания «Инфомед-Нейро» более 15 лет поставляет на российский рынок медицинское оборудование и расходные материалы напрямую от производителей США, Европы, Южной Кореи. В портфеле компании представлены решения для физиотерапии, реабилитации, электромиографии, электроэнцефалографии, ботулинотерапии, нейрохирургии, косметологии.</t>
        </is>
      </c>
      <c r="I49" s="1" t="inlineStr">
        <is>
          <t>Физиотерапия и реабилитация; Оборудование для ударно-волновой терапии; Оборудование для термотерапии; Оборудование для магнитотерапии; Оборудование для лазерной терапии; Оборудование для комбинированной физиотерапии; Оборудование для криотерапии; Оборудование для радиоволновой и ультразвуковой терапии; Оборудование для эстетической медицины; Технологии, оборудование и расходные материалы для спа и велнес; Закаливание; Средства и методы борьбы с наркоманией, алкоголизмом и табакокурением</t>
        </is>
      </c>
      <c r="J49" s="1">
        <f>IFERROR(__xludf.DUMMYFUNCTION("AI(Prompt!$B$6, H51:I51)"),"Дилер")</f>
        <v/>
      </c>
      <c r="K49" s="1">
        <f>IFERROR(__xludf.DUMMYFUNCTION("AI(Prompt!$B$12, H51:J51)"),"OK")</f>
        <v/>
      </c>
      <c r="L49" s="1">
        <f>IFERROR(__xludf.DUMMYFUNCTION("AI(Prompt!$B$17, H51:I51)"),"медицинское оборудование, расходные материалы и решения")</f>
        <v/>
      </c>
      <c r="M49" s="1">
        <f>IFERROR(__xludf.DUMMYFUNCTION("AI(Prompt!$B$21,A51)"),"Инфомед-Нейро")</f>
        <v/>
      </c>
      <c r="N49" s="1" t="inlineStr">
        <is>
          <t>Здравоохранение-2025</t>
        </is>
      </c>
      <c r="O49" s="9" t="inlineStr">
        <is>
          <t>https://icatalog.expocentr.ru/ru/exhibitions/de590dc5-417d-11ee-80ce-a0d3c1fab97f</t>
        </is>
      </c>
    </row>
    <row r="50" ht="16" customHeight="1">
      <c r="A50" s="1" t="inlineStr">
        <is>
          <t>ДИАЛОГ, ООО</t>
        </is>
      </c>
      <c r="B50" s="1" t="inlineStr">
        <is>
          <t>8B002</t>
        </is>
      </c>
      <c r="C50" s="1" t="inlineStr">
        <is>
          <t>Россия</t>
        </is>
      </c>
      <c r="D50" s="1" t="inlineStr">
        <is>
          <t>Москва</t>
        </is>
      </c>
      <c r="E50" s="1" t="inlineStr">
        <is>
          <t>Россия, 125438, г. Москва, ул. Михалковская, д. 63Б, стр. 4, пом. 9/2</t>
        </is>
      </c>
      <c r="F50" s="10" t="inlineStr">
        <is>
          <t>http://www.heine-opto.ru</t>
        </is>
      </c>
      <c r="G50" s="1" t="inlineStr">
        <is>
          <t>info@heine-opto.ru</t>
        </is>
      </c>
      <c r="H50" s="1" t="inlineStr">
        <is>
          <t>Авторизованный импортер и дистрибьютор в России оборудования Heine Optotechnik GmbH &amp; Co. KG (Германия): офтальмоскопов, дерматоскопов, ларингоскопов, налобных осветителей, бинокулярных луп, отоскопов, проктоскопов.</t>
        </is>
      </c>
      <c r="I50" s="1" t="inlineStr">
        <is>
          <t>Приборы и аппараты для офтальмодиагностики; Отоскопы и лор-инструменты; Проктология; Физиотерапия и реабилитация; Ларингоскопы; Осветители налобные с бинокулярными лупами</t>
        </is>
      </c>
      <c r="J50" s="1">
        <f>IFERROR(__xludf.DUMMYFUNCTION("AI(Prompt!$B$6, H52:I52)"),"Дилер")</f>
        <v/>
      </c>
      <c r="K50" s="1">
        <f>IFERROR(__xludf.DUMMYFUNCTION("AI(Prompt!$B$12, H52:J52)"),"OK")</f>
        <v/>
      </c>
      <c r="L50" s="1">
        <f>IFERROR(__xludf.DUMMYFUNCTION("AI(Prompt!$B$17, H52:I52)"),"офтальмоскопы, дерматоскопы, ларингоскопы и отоскопы")</f>
        <v/>
      </c>
      <c r="M50" s="1">
        <f>IFERROR(__xludf.DUMMYFUNCTION("AI(Prompt!$B$21,A52)"),"Диалог")</f>
        <v/>
      </c>
      <c r="N50" s="1" t="inlineStr">
        <is>
          <t>Здравоохранение-2025</t>
        </is>
      </c>
      <c r="O50" s="9" t="inlineStr">
        <is>
          <t>https://icatalog.expocentr.ru/ru/exhibitions/de590dc5-417d-11ee-80ce-a0d3c1fab97f</t>
        </is>
      </c>
    </row>
    <row r="51" ht="16" customHeight="1">
      <c r="A51" s="1" t="inlineStr">
        <is>
          <t>ЭЛЬМЕДИКА, ООО</t>
        </is>
      </c>
      <c r="B51" s="1" t="inlineStr">
        <is>
          <t>8C125</t>
        </is>
      </c>
      <c r="C51" s="1" t="inlineStr">
        <is>
          <t>Россия</t>
        </is>
      </c>
      <c r="D51" s="1" t="inlineStr">
        <is>
          <t>Москва</t>
        </is>
      </c>
      <c r="E51" s="1" t="inlineStr">
        <is>
          <t>Россия, 117342, г. Москва, ул. Бутлерова, д. 17, этаж 3, комн. 271</t>
        </is>
      </c>
      <c r="F51" s="10" t="inlineStr">
        <is>
          <t>http://www.elmedica.ru</t>
        </is>
      </c>
      <c r="G51" s="1" t="inlineStr">
        <is>
          <t>info@elmedica.ru</t>
        </is>
      </c>
      <c r="H51" s="1" t="inlineStr">
        <is>
          <t>Поставка оборудования для транспортной реанимации для экстренных служб и скорой помощи. Производство чемоданов первой помощи Эlmedic. Видеоларингоскопы. Хирургические и диагностические инструменты.</t>
        </is>
      </c>
      <c r="I51" s="1" t="inlineStr">
        <is>
          <t>Инструменты гинекологические; Офтальмоскопы; Инструменты для офтальмологии; Дерматоскопы; Отоскопы и лор-инструменты; Средства для оказания экстренной медицинской помощи; Аппараты для искусственной вентиляции легких; Ларингоскопы; Дефибрилляторы; Комплекты реанимационного оборудования; Хирургические инструменты; Ортопедическое оборудование и инструменты</t>
        </is>
      </c>
      <c r="J51" s="1">
        <f>IFERROR(__xludf.DUMMYFUNCTION("AI(Prompt!$B$6, H53:I53)"),"Производитель")</f>
        <v/>
      </c>
      <c r="K51" s="1">
        <f>IFERROR(__xludf.DUMMYFUNCTION("AI(Prompt!$B$12, H53:J53)"),"OK")</f>
        <v/>
      </c>
      <c r="L51" s="1">
        <f>IFERROR(__xludf.DUMMYFUNCTION("AI(Prompt!$B$17, H53:I53)"),"оборудование, инструменты, чемоданы, дефибрилляторы и ларингоскопы")</f>
        <v/>
      </c>
      <c r="M51" s="1">
        <f>IFERROR(__xludf.DUMMYFUNCTION("AI(Prompt!$B$21,A53)"),"Эльмедика")</f>
        <v/>
      </c>
      <c r="N51" s="1" t="inlineStr">
        <is>
          <t>Здравоохранение-2025</t>
        </is>
      </c>
      <c r="O51" s="9" t="inlineStr">
        <is>
          <t>https://icatalog.expocentr.ru/ru/exhibitions/de590dc5-417d-11ee-80ce-a0d3c1fab97f</t>
        </is>
      </c>
    </row>
    <row r="52" ht="16" customHeight="1">
      <c r="A52" s="1" t="inlineStr">
        <is>
          <t>МЕДИЦИНСКИЕ РЕНТГЕНОВСКИЕ ТРУБКИ, ООО</t>
        </is>
      </c>
      <c r="B52" s="1" t="inlineStr">
        <is>
          <t>8H060</t>
        </is>
      </c>
      <c r="C52" s="1" t="inlineStr">
        <is>
          <t>Россия</t>
        </is>
      </c>
      <c r="D52" s="1" t="inlineStr">
        <is>
          <t>Москва</t>
        </is>
      </c>
      <c r="E52" s="1" t="inlineStr">
        <is>
          <t>Россия, 107199, г. Москва, ул. Байкальская, д. 1/3, стр. 1, пом. 18</t>
        </is>
      </c>
      <c r="F52" s="10" t="inlineStr">
        <is>
          <t>http://iae.it</t>
        </is>
      </c>
      <c r="G52" s="1" t="inlineStr">
        <is>
          <t>m-r-t@inbox.ru</t>
        </is>
      </c>
      <c r="H52" s="1" t="inlineStr">
        <is>
          <t>Мы представляем товары компании IAE SpA (Италия), которая является крупнейшим в Европе независимым изготовителем рентгеновских трубок для радиологических, маммографических и КТ-систем. Мы предлагаем трубки для мобильных аппаратов, средних и мощных систем, маммографии и для перезарядки излучателей.</t>
        </is>
      </c>
      <c r="I52" s="1" t="inlineStr">
        <is>
          <t>Прочие диагностические устройства; Рентгеновские диагностические установки, передвижные и стационарные; Маммографы; Флюорографы</t>
        </is>
      </c>
      <c r="J52" s="1">
        <f>IFERROR(__xludf.DUMMYFUNCTION("AI(Prompt!$B$6, H54:I54)"),"Дилер")</f>
        <v/>
      </c>
      <c r="K52" s="1">
        <f>IFERROR(__xludf.DUMMYFUNCTION("AI(Prompt!$B$12, H54:J54)"),"OK")</f>
        <v/>
      </c>
      <c r="L52" s="1">
        <f>IFERROR(__xludf.DUMMYFUNCTION("AI(Prompt!$B$17, H54:I54)"),"рентгеновские трубки, диагностические устройства, маммографы и флюорографы")</f>
        <v/>
      </c>
      <c r="M52" s="1">
        <f>IFERROR(__xludf.DUMMYFUNCTION("AI(Prompt!$B$21,A54)"),"Медицинские Рентгеновские Трубки")</f>
        <v/>
      </c>
      <c r="N52" s="1" t="inlineStr">
        <is>
          <t>Здравоохранение-2025</t>
        </is>
      </c>
      <c r="O52" s="9" t="inlineStr">
        <is>
          <t>https://icatalog.expocentr.ru/ru/exhibitions/de590dc5-417d-11ee-80ce-a0d3c1fab97f</t>
        </is>
      </c>
    </row>
    <row r="53" ht="16" customHeight="1">
      <c r="A53" s="1" t="inlineStr">
        <is>
          <t>ЦЕНТР МЕДИЦИНСКОЙ ТЕХНИКИ, ООО</t>
        </is>
      </c>
      <c r="B53" s="1" t="inlineStr">
        <is>
          <t>8A080</t>
        </is>
      </c>
      <c r="C53" s="1" t="inlineStr">
        <is>
          <t>Россия</t>
        </is>
      </c>
      <c r="D53" s="1" t="inlineStr">
        <is>
          <t>Москва</t>
        </is>
      </c>
      <c r="E53" s="1" t="inlineStr">
        <is>
          <t>Россия, 127299, г. Москва, ул. Космонавта Волкова, вн. тер. г. м. о. Войковский, д. 12, пом. VII</t>
        </is>
      </c>
      <c r="F53" s="10" t="inlineStr">
        <is>
          <t>http://www.endocentr.tech</t>
        </is>
      </c>
      <c r="G53" s="1" t="inlineStr">
        <is>
          <t>info@cmtmos.ru</t>
        </is>
      </c>
      <c r="H53" s="1" t="inlineStr">
        <is>
          <t>Комплексное оснащение кабинетов эндоскопии — оборудование, расходные материалы и инструмент, запасные части для эндоскопов. Ремонт гибких и жестких эндоскопов, видеопроцессоров, видеокамер.</t>
        </is>
      </c>
      <c r="I53" s="1" t="inlineStr">
        <is>
          <t>Ультразвуковые сканеры и диагностические системы; Эндоскопы жесткие; Эндоскопы гибкие; Эндоскопические комплексы и системы; Оборудование и средства для лапароскопии; Инструменты и принадлежности для эндоскопии</t>
        </is>
      </c>
      <c r="J53" s="1">
        <f>IFERROR(__xludf.DUMMYFUNCTION("AI(Prompt!$B$6, H55:I55)"),"Дилер")</f>
        <v/>
      </c>
      <c r="K53" s="1">
        <f>IFERROR(__xludf.DUMMYFUNCTION("AI(Prompt!$B$12, H55:J55)"),"OK")</f>
        <v/>
      </c>
      <c r="L53" s="1">
        <f>IFERROR(__xludf.DUMMYFUNCTION("AI(Prompt!$B$17, H55:I55)"),"эндоскопы, сканеры, расходные материалы и инструменты")</f>
        <v/>
      </c>
      <c r="M53" s="1">
        <f>IFERROR(__xludf.DUMMYFUNCTION("AI(Prompt!$B$21,A55)"),"Центр Медицинской Техники")</f>
        <v/>
      </c>
      <c r="N53" s="1" t="inlineStr">
        <is>
          <t>Здравоохранение-2025</t>
        </is>
      </c>
      <c r="O53" s="9" t="inlineStr">
        <is>
          <t>https://icatalog.expocentr.ru/ru/exhibitions/de590dc5-417d-11ee-80ce-a0d3c1fab97f</t>
        </is>
      </c>
    </row>
    <row r="54" ht="16" customHeight="1">
      <c r="A54" s="1" t="inlineStr">
        <is>
          <t>ВЕБКЛИНИКА, ООО</t>
        </is>
      </c>
      <c r="B54" s="1" t="inlineStr">
        <is>
          <t>8A052</t>
        </is>
      </c>
      <c r="C54" s="1" t="inlineStr">
        <is>
          <t>Россия</t>
        </is>
      </c>
      <c r="D54" s="1" t="inlineStr">
        <is>
          <t>Москва</t>
        </is>
      </c>
      <c r="E54" s="1" t="inlineStr">
        <is>
          <t>Россия, г. Москва, бизнес-парк "Румянцево", 22-й км Киевского ш., домовл. 4, стр. 1, корп. Б, офисный подъезд 5, этаж 5, оф. 509Б</t>
        </is>
      </c>
      <c r="F54" s="10" t="inlineStr">
        <is>
          <t>https://webclinic.ru</t>
        </is>
      </c>
      <c r="G54" s="1" t="inlineStr">
        <is>
          <t>info@webclinic.ru</t>
        </is>
      </c>
      <c r="H54" s="16" t="inlineStr">
        <is>
          <t>Центр дистанционной медицинской диагностики.Специализируется на удаленной интерпретации функциональных исследований:1. ЭКГ2. Холтер ЭКГ/СМАД (3, 12 отведений)3. ЭЭГ4. Спирометрия.</t>
        </is>
      </c>
      <c r="I54" s="1" t="inlineStr">
        <is>
          <t>Оборудование для мониторинга функций сердечно-сосудистой системы; Приборы и принадлежности для кардиографических исследований; Системы мониторирования ЭКГ и АД; Системы мониторирования ЭЭГ; Приборы для исследования внешнего дыхания</t>
        </is>
      </c>
      <c r="J54" s="1">
        <f>IFERROR(__xludf.DUMMYFUNCTION("AI(Prompt!$B$6, H56:I56)"),"Поставщик услуг")</f>
        <v/>
      </c>
      <c r="K54" s="1">
        <f>IFERROR(__xludf.DUMMYFUNCTION("AI(Prompt!$B$12, H56:J56)"),"OK")</f>
        <v/>
      </c>
      <c r="L54" s="1">
        <f>IFERROR(__xludf.DUMMYFUNCTION("AI(Prompt!$B$17, H56:I56)"),"оборудование, приборы и системы")</f>
        <v/>
      </c>
      <c r="M54" s="1">
        <f>IFERROR(__xludf.DUMMYFUNCTION("AI(Prompt!$B$21,A56)"),"Вебклиника")</f>
        <v/>
      </c>
      <c r="N54" s="1" t="inlineStr">
        <is>
          <t>Здравоохранение-2025</t>
        </is>
      </c>
      <c r="O54" s="9" t="inlineStr">
        <is>
          <t>https://icatalog.expocentr.ru/ru/exhibitions/de590dc5-417d-11ee-80ce-a0d3c1fab97f</t>
        </is>
      </c>
    </row>
    <row r="55" ht="16" customHeight="1">
      <c r="A55" s="1" t="inlineStr">
        <is>
          <t>МАК БРАЗЕРС, АО</t>
        </is>
      </c>
      <c r="B55" s="1" t="inlineStr">
        <is>
          <t>8B070</t>
        </is>
      </c>
      <c r="C55" s="1" t="inlineStr">
        <is>
          <t>Россия</t>
        </is>
      </c>
      <c r="D55" s="1" t="inlineStr">
        <is>
          <t>Санкт-Петербург</t>
        </is>
      </c>
      <c r="E55" s="1" t="inlineStr">
        <is>
          <t>Россия, 194352, г. Санкт-Петербург, ул. Руднева, д. 22, корп. 2, литера А, пом. 10Н</t>
        </is>
      </c>
      <c r="F55" s="10" t="inlineStr">
        <is>
          <t>https://swissspinesolution.ru</t>
        </is>
      </c>
      <c r="G55" s="1" t="inlineStr">
        <is>
          <t>office@mcbrothers.ru</t>
        </is>
      </c>
      <c r="H55" s="1" t="inlineStr">
        <is>
          <t>Поставки и комплексное обслуживание оборудования любых производителей для лучевой диагностики, а также для реабилитации. Эксклюзивный дистрибьютор SUMSUNG, DRTECH, SRI, Perfint в России. Наличие на складе в РФ.</t>
        </is>
      </c>
      <c r="I55" s="1" t="inlineStr">
        <is>
          <t>Рентгеновские диагностические установки, передвижные и стационарные; Маммографы; Терапевтическое оборудование; Реабилитационное оборудование; Ортопедия и травматология; Ортопедическое оборудование и инструменты</t>
        </is>
      </c>
      <c r="J55" s="1">
        <f>IFERROR(__xludf.DUMMYFUNCTION("AI(Prompt!$B$6, H57:I57)"),"Дилер")</f>
        <v/>
      </c>
      <c r="K55" s="1">
        <f>IFERROR(__xludf.DUMMYFUNCTION("AI(Prompt!$B$12, H57:J57)"),"OK")</f>
        <v/>
      </c>
      <c r="L55" s="1">
        <f>IFERROR(__xludf.DUMMYFUNCTION("AI(Prompt!$B$17, H57:I57)"),"рентгеновские установки, маммографы, терапевтическое, реабилитационное и ортопедическое оборудование")</f>
        <v/>
      </c>
      <c r="M55" s="1">
        <f>IFERROR(__xludf.DUMMYFUNCTION("AI(Prompt!$B$21,A57)"),"Мак Бразарс")</f>
        <v/>
      </c>
      <c r="N55" s="1" t="inlineStr">
        <is>
          <t>Здравоохранение-2025</t>
        </is>
      </c>
      <c r="O55" s="9" t="inlineStr">
        <is>
          <t>https://icatalog.expocentr.ru/ru/exhibitions/de590dc5-417d-11ee-80ce-a0d3c1fab97f</t>
        </is>
      </c>
    </row>
    <row r="56" ht="16" customHeight="1">
      <c r="A56" s="1" t="inlineStr">
        <is>
          <t>ЕЛС-МЕД, ООО</t>
        </is>
      </c>
      <c r="B56" s="11" t="n">
        <v>8e+90</v>
      </c>
      <c r="C56" s="1" t="inlineStr">
        <is>
          <t>Россия</t>
        </is>
      </c>
      <c r="D56" s="1" t="inlineStr">
        <is>
          <t>Дубна</t>
        </is>
      </c>
      <c r="E56" s="1" t="inlineStr">
        <is>
          <t>Россия, 141983, Московская обл., г. Дубна, ул. Программистов, д. 4, пом. 13</t>
        </is>
      </c>
      <c r="F56" s="10" t="inlineStr">
        <is>
          <t>https://els-med.ru</t>
        </is>
      </c>
      <c r="G56" s="1" t="inlineStr">
        <is>
          <t>pr1@els-med.ru</t>
        </is>
      </c>
      <c r="H56" s="1" t="inlineStr">
        <is>
          <t>Компания «ЕЛС-МЕД» — российский разработчик и производитель диагностического медицинского оборудования, специализирующийся на производстве аппаратов УЗИ и рентгенов. Оборудование включено в Реестр РПП.</t>
        </is>
      </c>
      <c r="I56" s="1" t="inlineStr">
        <is>
          <t>Рентгеновские диагностические установки, передвижные и стационарные; Ультразвуковые сканеры и диагностические системы</t>
        </is>
      </c>
      <c r="J56" s="1">
        <f>IFERROR(__xludf.DUMMYFUNCTION("AI(Prompt!$B$6, H58:I58)"),"Производитель")</f>
        <v/>
      </c>
      <c r="K56" s="1">
        <f>IFERROR(__xludf.DUMMYFUNCTION("AI(Prompt!$B$12, H58:J58)"),"OK")</f>
        <v/>
      </c>
      <c r="L56" s="1">
        <f>IFERROR(__xludf.DUMMYFUNCTION("AI(Prompt!$B$17, H58:I58)"),"рентгены и сканеры")</f>
        <v/>
      </c>
      <c r="M56" s="1">
        <f>IFERROR(__xludf.DUMMYFUNCTION("AI(Prompt!$B$21,A58)"),"Елс-Мед")</f>
        <v/>
      </c>
      <c r="N56" s="1" t="inlineStr">
        <is>
          <t>Здравоохранение-2025</t>
        </is>
      </c>
      <c r="O56" s="9" t="inlineStr">
        <is>
          <t>https://icatalog.expocentr.ru/ru/exhibitions/de590dc5-417d-11ee-80ce-a0d3c1fab97f</t>
        </is>
      </c>
    </row>
    <row r="57" ht="16" customHeight="1">
      <c r="A57" s="1" t="inlineStr">
        <is>
          <t>СОНДЕР, ООО</t>
        </is>
      </c>
      <c r="B57" s="1" t="inlineStr">
        <is>
          <t>8F090</t>
        </is>
      </c>
      <c r="C57" s="1" t="inlineStr">
        <is>
          <t>Россия</t>
        </is>
      </c>
      <c r="D57" s="1" t="inlineStr">
        <is>
          <t>Узловая</t>
        </is>
      </c>
      <c r="E57" s="1" t="inlineStr">
        <is>
          <t>Россия, 301600, Тульская обл., г. Узловая, ул. Октябрьская, д. 12, пом. 10, этаж 1, комн. 11</t>
        </is>
      </c>
      <c r="F57" s="10" t="inlineStr">
        <is>
          <t>https://sonder-tula.ru</t>
        </is>
      </c>
      <c r="G57" s="1" t="inlineStr">
        <is>
          <t>ceo@sonder-tula.ru</t>
        </is>
      </c>
      <c r="H57" s="1" t="inlineStr">
        <is>
          <t>«СОНДЕР» – производитель оборудования для учреждений здравоохранения. Ключевое направление деятельности – это разработка современных аппаратов КТ, МРТ, УЗ и рентген‑диагностики. Состоит в Реестре РПП.</t>
        </is>
      </c>
      <c r="I57" s="1" t="inlineStr">
        <is>
          <t>Рентгеновские диагностические установки, передвижные и стационарные; Компьютерные томографы; Маммографы; Магнитно-резонансные томографы; Ультразвуковые сканеры и диагностические системы</t>
        </is>
      </c>
      <c r="J57" s="1">
        <f>IFERROR(__xludf.DUMMYFUNCTION("AI(Prompt!$B$6, H59:I59)"),"Производитель")</f>
        <v/>
      </c>
      <c r="K57" s="1">
        <f>IFERROR(__xludf.DUMMYFUNCTION("AI(Prompt!$B$12, H59:J59)"),"OK")</f>
        <v/>
      </c>
      <c r="L57" s="1">
        <f>IFERROR(__xludf.DUMMYFUNCTION("AI(Prompt!$B$17, H59:I59)"),"томографы, маммографы и сканеры")</f>
        <v/>
      </c>
      <c r="M57" s="1">
        <f>IFERROR(__xludf.DUMMYFUNCTION("AI(Prompt!$B$21,A59)"),"Сондер")</f>
        <v/>
      </c>
      <c r="N57" s="1" t="inlineStr">
        <is>
          <t>Здравоохранение-2025</t>
        </is>
      </c>
      <c r="O57" s="9" t="inlineStr">
        <is>
          <t>https://icatalog.expocentr.ru/ru/exhibitions/de590dc5-417d-11ee-80ce-a0d3c1fab97f</t>
        </is>
      </c>
    </row>
    <row r="58" hidden="1" ht="16" customHeight="1">
      <c r="A58" s="1" t="inlineStr">
        <is>
          <t>БЕЛИНТЕЛМЕД, ООО</t>
        </is>
      </c>
      <c r="B58" s="1" t="inlineStr">
        <is>
          <t>8A125</t>
        </is>
      </c>
      <c r="C58" s="1" t="inlineStr">
        <is>
          <t>Республика Беларусь</t>
        </is>
      </c>
      <c r="D58" s="1" t="inlineStr">
        <is>
          <t>Минск</t>
        </is>
      </c>
      <c r="E58" s="1" t="inlineStr">
        <is>
          <t>Республика Беларусь, 220005, г. Минск, ул. Платонова, д. 20Б, комн. 702</t>
        </is>
      </c>
      <c r="F58" s="10" t="inlineStr">
        <is>
          <t>http://www.belintelmed.by</t>
        </is>
      </c>
      <c r="G58" s="1" t="inlineStr">
        <is>
          <t>sale2@belintelmed.by</t>
        </is>
      </c>
      <c r="H58" s="1" t="inlineStr">
        <is>
          <t>Разработка и производство спирометров МАС2, пульсоксиметров «Пульсар», виброанализаторов АНВЧ и встроенных мультигазовых анализаторов, продажа расходных материалов для спирометрии.</t>
        </is>
      </c>
      <c r="I58" s="1" t="inlineStr">
        <is>
          <t>Приборы для исследования внешнего дыхания; Пульмонологические мониторные системы; Расходные материалы для медицинских приборов; Производство медицинских изделий</t>
        </is>
      </c>
      <c r="J58" s="1">
        <f>IFERROR(__xludf.DUMMYFUNCTION("AI(Prompt!$B$6, H60:I60)"),"Производитель")</f>
        <v/>
      </c>
      <c r="K58" s="1">
        <f>IFERROR(__xludf.DUMMYFUNCTION("AI(Prompt!$B$12, H60:J60)"),"OK")</f>
        <v/>
      </c>
      <c r="L58" s="1">
        <f>IFERROR(__xludf.DUMMYFUNCTION("AI(Prompt!$B$17, H60:I60)"),"спирометры, пульсоксиметры, виброанализаторы и анализаторы газов")</f>
        <v/>
      </c>
      <c r="M58" s="1">
        <f>IFERROR(__xludf.DUMMYFUNCTION("AI(Prompt!$B$21,A60)"),"Белинтелмед")</f>
        <v/>
      </c>
      <c r="N58" s="1" t="inlineStr">
        <is>
          <t>Здравоохранение-2025</t>
        </is>
      </c>
      <c r="O58" s="9" t="inlineStr">
        <is>
          <t>https://icatalog.expocentr.ru/ru/exhibitions/de590dc5-417d-11ee-80ce-a0d3c1fab97f</t>
        </is>
      </c>
    </row>
    <row r="59" ht="16" customHeight="1">
      <c r="A59" s="1" t="inlineStr">
        <is>
          <t>АМИКО, НПАО</t>
        </is>
      </c>
      <c r="B59" s="1" t="inlineStr">
        <is>
          <t>8D040</t>
        </is>
      </c>
      <c r="C59" s="1" t="inlineStr">
        <is>
          <t>Россия</t>
        </is>
      </c>
      <c r="D59" s="1" t="inlineStr">
        <is>
          <t>Москва</t>
        </is>
      </c>
      <c r="E59" s="1" t="inlineStr">
        <is>
          <t>Россия, 117556, г. Москва, вн. тер. г. м. о. Нагорный, ул. Фруктовая, д. 8, корп. 3</t>
        </is>
      </c>
      <c r="F59" s="10" t="inlineStr">
        <is>
          <t>http://www.amico.ru</t>
        </is>
      </c>
      <c r="G59" s="1" t="inlineStr">
        <is>
          <t>info@amico.ru</t>
        </is>
      </c>
      <c r="H59" s="1" t="inlineStr">
        <is>
          <t>НПАО «АМИКО» — ведущий российский разработчик и производитель современного медицинского рентгенодиагностического оборудования и аксессуаров. Поставки конусно-лучевых компьютерных томографов.</t>
        </is>
      </c>
      <c r="I59" s="1" t="inlineStr">
        <is>
          <t>Медицинская мебель; Рентгеновские диагностические установки, передвижные и стационарные; Средства защиты от рентгеновских лучей; Компьютерные томографы; Маммографы; Флюорографы</t>
        </is>
      </c>
      <c r="J59" s="1">
        <f>IFERROR(__xludf.DUMMYFUNCTION("AI(Prompt!$B$6, H61:I61)"),"Производитель")</f>
        <v/>
      </c>
      <c r="K59" s="1">
        <f>IFERROR(__xludf.DUMMYFUNCTION("AI(Prompt!$B$12, H61:J61)"),"OK")</f>
        <v/>
      </c>
      <c r="L59" s="1">
        <f>IFERROR(__xludf.DUMMYFUNCTION("AI(Prompt!$B$17, H61:I61)"),"рентгеновские установки, компьютерные томографы, маммографы, флюорографы и медицинская мебель")</f>
        <v/>
      </c>
      <c r="M59" s="1">
        <f>IFERROR(__xludf.DUMMYFUNCTION("AI(Prompt!$B$21,A61)"),"Амико")</f>
        <v/>
      </c>
      <c r="N59" s="1" t="inlineStr">
        <is>
          <t>Здравоохранение-2025</t>
        </is>
      </c>
      <c r="O59" s="9" t="inlineStr">
        <is>
          <t>https://icatalog.expocentr.ru/ru/exhibitions/de590dc5-417d-11ee-80ce-a0d3c1fab97f</t>
        </is>
      </c>
    </row>
    <row r="60" ht="16" customHeight="1">
      <c r="A60" s="1" t="inlineStr">
        <is>
          <t>АНАЛИТИКА М, ООО</t>
        </is>
      </c>
      <c r="B60" s="1" t="inlineStr">
        <is>
          <t>8B050</t>
        </is>
      </c>
      <c r="C60" s="1" t="inlineStr">
        <is>
          <t>Россия</t>
        </is>
      </c>
      <c r="D60" s="1" t="inlineStr">
        <is>
          <t>Москва</t>
        </is>
      </c>
      <c r="E60" s="1" t="inlineStr">
        <is>
          <t>Россия, 115093, г. Москва, ул. Люсиновская, д. 36, стр. 1</t>
        </is>
      </c>
      <c r="F60" s="10" t="inlineStr">
        <is>
          <t>http://www.analitika-m.ru</t>
        </is>
      </c>
      <c r="G60" s="1" t="inlineStr">
        <is>
          <t>info@analitika-m.ru</t>
        </is>
      </c>
      <c r="H60" s="1" t="inlineStr">
        <is>
          <t>«Аналитика М» — дистрибьютор инновационного медицинского оборудования. В нашем портфеле — роботы для эндопротезирования и реабилитации, вертикальный КТ, автоматизированные урофлоуметры, 3D-биопринтеры.</t>
        </is>
      </c>
      <c r="I60" s="1" t="inlineStr">
        <is>
          <t>Оборудование для урологической диагностики; Компьютерные томографы; Тренажеры; Ортопедическое оборудование и инструменты; Эндопротезы и имплантаты</t>
        </is>
      </c>
      <c r="J60" s="1">
        <f>IFERROR(__xludf.DUMMYFUNCTION("AI(Prompt!$B$6, H62:I62)"),"Дилер")</f>
        <v/>
      </c>
      <c r="K60" s="1">
        <f>IFERROR(__xludf.DUMMYFUNCTION("AI(Prompt!$B$12, H62:J62)"),"OK")</f>
        <v/>
      </c>
      <c r="L60" s="1">
        <f>IFERROR(__xludf.DUMMYFUNCTION("AI(Prompt!$B$17, H62:I62)"),"роботы, томографы, тренажеры, имплантаты и оборудование")</f>
        <v/>
      </c>
      <c r="M60" s="1">
        <f>IFERROR(__xludf.DUMMYFUNCTION("AI(Prompt!$B$21,A62)"),"Аналитика М")</f>
        <v/>
      </c>
      <c r="N60" s="1" t="inlineStr">
        <is>
          <t>Здравоохранение-2025</t>
        </is>
      </c>
      <c r="O60" s="9" t="inlineStr">
        <is>
          <t>https://icatalog.expocentr.ru/ru/exhibitions/de590dc5-417d-11ee-80ce-a0d3c1fab97f</t>
        </is>
      </c>
    </row>
    <row r="61" ht="16" customHeight="1">
      <c r="A61" s="1" t="inlineStr">
        <is>
          <t>АЛЬФА МОБИЛИ, ООО</t>
        </is>
      </c>
      <c r="B61" s="1" t="inlineStr">
        <is>
          <t>8C115</t>
        </is>
      </c>
      <c r="C61" s="1" t="inlineStr">
        <is>
          <t>Россия</t>
        </is>
      </c>
      <c r="D61" s="1" t="inlineStr">
        <is>
          <t>Санкт-Петербург</t>
        </is>
      </c>
      <c r="E61" s="1" t="inlineStr">
        <is>
          <t>Россия, 193318, г. Санкт-Петербург, ул. Зольная, д. 15, корп. 1</t>
        </is>
      </c>
      <c r="F61" s="10" t="inlineStr">
        <is>
          <t>http://med-nnz.ru</t>
        </is>
      </c>
      <c r="G61" s="1" t="inlineStr">
        <is>
          <t>medmeb@nnz.ru</t>
        </is>
      </c>
      <c r="H61" s="1" t="inlineStr">
        <is>
          <t>Компания «Альфа Мобили» — эксклюзивный поставщик медицинского оборудования для хирургии, реанимации, комбустиологии, реабилитации. Занимается оснащением лечебных учреждений различного профиля под ключ.</t>
        </is>
      </c>
      <c r="I61" s="1" t="inlineStr">
        <is>
          <t>Медицинская мебель; Производство медицинских изделий; Магнитно-резонансные томографы; Операционные столы; Принадлежности для хирургических аппаратов; Электрохирургические аппараты</t>
        </is>
      </c>
      <c r="J61" s="1">
        <f>IFERROR(__xludf.DUMMYFUNCTION("AI(Prompt!$B$6, H63:I63)"),"Производитель")</f>
        <v/>
      </c>
      <c r="K61" s="1">
        <f>IFERROR(__xludf.DUMMYFUNCTION("AI(Prompt!$B$12, H63:J63)"),"OK")</f>
        <v/>
      </c>
      <c r="L61" s="1">
        <f>IFERROR(__xludf.DUMMYFUNCTION("AI(Prompt!$B$17, H63:I63)"),"медицинское оборудование, медицинская мебель, томографы, операционные столы и аппараты")</f>
        <v/>
      </c>
      <c r="M61" s="1">
        <f>IFERROR(__xludf.DUMMYFUNCTION("AI(Prompt!$B$21,A63)"),"Альфа Мобили")</f>
        <v/>
      </c>
      <c r="N61" s="1" t="inlineStr">
        <is>
          <t>Здравоохранение-2025</t>
        </is>
      </c>
      <c r="O61" s="9" t="inlineStr">
        <is>
          <t>https://icatalog.expocentr.ru/ru/exhibitions/de590dc5-417d-11ee-80ce-a0d3c1fab97f</t>
        </is>
      </c>
    </row>
    <row r="62" hidden="1" ht="16" customHeight="1">
      <c r="A62" s="1" t="inlineStr">
        <is>
          <t>YUWELL MEDICAL</t>
        </is>
      </c>
      <c r="B62" s="1" t="inlineStr">
        <is>
          <t>8F132</t>
        </is>
      </c>
      <c r="C62" s="1" t="inlineStr">
        <is>
          <t>Китай</t>
        </is>
      </c>
      <c r="E62" s="1" t="inlineStr">
        <is>
          <t>Китай</t>
        </is>
      </c>
      <c r="F62" s="10" t="inlineStr">
        <is>
          <t>http://www.yuwell.com</t>
        </is>
      </c>
      <c r="G62" s="1" t="inlineStr">
        <is>
          <t>sales@yuyue.com.cn</t>
        </is>
      </c>
      <c r="H62" s="1" t="inlineStr">
        <is>
          <t>Yuwell является ведущим китайским поставщиком медицинских аппаратов и решений для здравоохранения. Компания предлагает продукцию для 10 отраслей медицины, в т. ч. устройства для респираторной терапии, контроля диабета, домашней диагностики, реабилитации и т. д. Компания располагает девятью научно-исследовательскими центрами, семью современными производственными площадками и четырьмя международными дочерними предприятиями за пределами Китая. Международное присутствие Yuwell охватывает более 100 стран.Компания сотрудничает более чем с 300 000 медицинских учреждений и приносит пользу 300 миллионам домохозяйств по всему миру.</t>
        </is>
      </c>
      <c r="I62" s="1" t="inlineStr">
        <is>
          <t>Диагностические приборы и устройства для аускультации, перкуссии, антропометрии; Прочие диагностические устройства; Медицинские изделия для домашнего применения; Наркозно-дыхательные аппараты</t>
        </is>
      </c>
      <c r="J62" s="1">
        <f>IFERROR(__xludf.DUMMYFUNCTION("AI(Prompt!$B$6, H64:I64)"),"Производитель")</f>
        <v/>
      </c>
      <c r="K62" s="1">
        <f>IFERROR(__xludf.DUMMYFUNCTION("AI(Prompt!$B$12, H64:J64)"),"OK")</f>
        <v/>
      </c>
      <c r="L62" s="1">
        <f>IFERROR(__xludf.DUMMYFUNCTION("AI(Prompt!$B$17, H64:I64)"),"медицинские аппараты, диагностические приборы и наркозно-дыхательные аппараты")</f>
        <v/>
      </c>
      <c r="M62" s="1">
        <f>IFERROR(__xludf.DUMMYFUNCTION("AI(Prompt!$B$21,A64)"),"Yuwell")</f>
        <v/>
      </c>
      <c r="N62" s="1" t="inlineStr">
        <is>
          <t>Здравоохранение-2025</t>
        </is>
      </c>
      <c r="O62" s="9" t="inlineStr">
        <is>
          <t>https://icatalog.expocentr.ru/ru/exhibitions/de590dc5-417d-11ee-80ce-a0d3c1fab97f</t>
        </is>
      </c>
    </row>
    <row r="63" ht="16" customHeight="1">
      <c r="A63" s="1" t="inlineStr">
        <is>
          <t>РУСТОМОГРАФ, ООО</t>
        </is>
      </c>
      <c r="B63" s="1" t="inlineStr">
        <is>
          <t>8C060</t>
        </is>
      </c>
      <c r="C63" s="1" t="inlineStr">
        <is>
          <t>Россия</t>
        </is>
      </c>
      <c r="D63" s="1" t="inlineStr">
        <is>
          <t>Рязань</t>
        </is>
      </c>
      <c r="E63" s="1" t="inlineStr">
        <is>
          <t>Россия, 390020, г. Рязань, ул. Коняева, д. 205, оф. 1</t>
        </is>
      </c>
      <c r="F63" s="10" t="inlineStr">
        <is>
          <t>https://rustomograf.ru</t>
        </is>
      </c>
      <c r="G63" s="1" t="inlineStr">
        <is>
          <t>info@rustomograf.ru</t>
        </is>
      </c>
      <c r="H63" s="1" t="inlineStr">
        <is>
          <t>Ведущий поставщик высокотехнологичного диагностического оборудования (МРТ и КТ) для медицинских и ветеринарных учреждений в России и странах СНГ. За 17 лет работы компания успешно оснастила более 300 центров, обеспечив им полный цикл сопровождения — от проекта до первого диагностического скана. Всегда в наличии на складе в РФ. 30 МРТ и 10 КТ.</t>
        </is>
      </c>
      <c r="I63" s="1" t="inlineStr">
        <is>
          <t>Компьютерные томографы; Магнитно-резонансные томографы</t>
        </is>
      </c>
      <c r="J63" s="1">
        <f>IFERROR(__xludf.DUMMYFUNCTION("AI(Prompt!$B$6, H65:I65)"),"Дилер")</f>
        <v/>
      </c>
      <c r="K63" s="1">
        <f>IFERROR(__xludf.DUMMYFUNCTION("AI(Prompt!$B$12, H65:J65)"),"OK")</f>
        <v/>
      </c>
      <c r="L63" s="1">
        <f>IFERROR(__xludf.DUMMYFUNCTION("AI(Prompt!$B$17, H65:I65)"),"томографы")</f>
        <v/>
      </c>
      <c r="M63" s="1">
        <f>IFERROR(__xludf.DUMMYFUNCTION("AI(Prompt!$B$21,A65)"),"Рустомограф")</f>
        <v/>
      </c>
      <c r="N63" s="1" t="inlineStr">
        <is>
          <t>Здравоохранение-2025</t>
        </is>
      </c>
      <c r="O63" s="9" t="inlineStr">
        <is>
          <t>https://icatalog.expocentr.ru/ru/exhibitions/de590dc5-417d-11ee-80ce-a0d3c1fab97f</t>
        </is>
      </c>
    </row>
    <row r="64" ht="16" customHeight="1">
      <c r="A64" s="1" t="inlineStr">
        <is>
          <t>ИНВЕНТ, ООО</t>
        </is>
      </c>
      <c r="B64" s="1" t="inlineStr">
        <is>
          <t>8B100</t>
        </is>
      </c>
      <c r="C64" s="1" t="inlineStr">
        <is>
          <t>Россия</t>
        </is>
      </c>
      <c r="D64" s="1" t="inlineStr">
        <is>
          <t>Москва</t>
        </is>
      </c>
      <c r="E64" s="1" t="inlineStr">
        <is>
          <t>Россия, 109147, г. Москва, ул. Марксистская, д. 22, стр. 1, этаж 8, пом. XX, комн. 11, оф. 801/1</t>
        </is>
      </c>
      <c r="F64" s="10" t="inlineStr">
        <is>
          <t>http://www.oooinvent.ru</t>
        </is>
      </c>
      <c r="G64" s="1" t="inlineStr">
        <is>
          <t>lst5@yandex.ru</t>
        </is>
      </c>
      <c r="H64" s="1" t="inlineStr">
        <is>
          <t>«Инвент» поставляет медицинское оборудование для отделений неонатологии, интенсивной терапии и реанимации взрослых: David Ningbo (Китай), Vyaire (США), Acutronic (Швейцария).</t>
        </is>
      </c>
      <c r="I64" s="1" t="inlineStr">
        <is>
          <t>Инкубаторы и открытые реанимационные системы; Фототерапевтические системы; Аппараты для искусственной вентиляции легких; Ларингоскопы; Комплекты реанимационного оборудования; Принадлежности и расходные материалы для реанимации и экстренной помощи</t>
        </is>
      </c>
      <c r="J64" s="1">
        <f>IFERROR(__xludf.DUMMYFUNCTION("AI(Prompt!$B$6, H66:I66)"),"Дилер")</f>
        <v/>
      </c>
      <c r="K64" s="1">
        <f>IFERROR(__xludf.DUMMYFUNCTION("AI(Prompt!$B$12, H66:J66)"),"OK")</f>
        <v/>
      </c>
      <c r="L64" s="1">
        <f>IFERROR(__xludf.DUMMYFUNCTION("AI(Prompt!$B$17, H66:I66)"),"инкубаторы, фототерапевтические системы, аппараты ИВЛ, ларингоскопы и комплекты оборудования")</f>
        <v/>
      </c>
      <c r="M64" s="1">
        <f>IFERROR(__xludf.DUMMYFUNCTION("AI(Prompt!$B$21,A66)"),"Инвент")</f>
        <v/>
      </c>
      <c r="N64" s="1" t="inlineStr">
        <is>
          <t>Здравоохранение-2025</t>
        </is>
      </c>
      <c r="O64" s="9" t="inlineStr">
        <is>
          <t>https://icatalog.expocentr.ru/ru/exhibitions/de590dc5-417d-11ee-80ce-a0d3c1fab97f</t>
        </is>
      </c>
    </row>
    <row r="65" ht="16" customHeight="1">
      <c r="A65" s="1" t="inlineStr">
        <is>
          <t>ДОЗА, НПП, ООО</t>
        </is>
      </c>
      <c r="B65" s="1" t="inlineStr">
        <is>
          <t>8A130</t>
        </is>
      </c>
      <c r="C65" s="1" t="inlineStr">
        <is>
          <t>Россия</t>
        </is>
      </c>
      <c r="D65" s="1" t="inlineStr">
        <is>
          <t>Москва</t>
        </is>
      </c>
      <c r="E65" s="1" t="inlineStr">
        <is>
          <t>Россия, 124460, г. Москва, вн. тер. г. м. о. Матушкино, г. Зеленоград, ул. Академика Валиева, д. 4</t>
        </is>
      </c>
      <c r="F65" s="10" t="inlineStr">
        <is>
          <t>http://www.doza.ru</t>
        </is>
      </c>
      <c r="G65" s="1" t="inlineStr">
        <is>
          <t>info@doza.ru</t>
        </is>
      </c>
      <c r="H65" s="1" t="inlineStr">
        <is>
          <t>НПП «Доза» – крупнейший российский разработчик, производитель и поставщик оборудования для обеспечения радиационной безопасности, контроля качества медизделий и оборудования для ядерной медицины.</t>
        </is>
      </c>
      <c r="I65" s="1" t="inlineStr">
        <is>
          <t>Рентгеновские диагностические установки, передвижные и стационарные; Компьютерные томографы; Маммографы; Флюорографы; Ультразвуковые сканеры и диагностические системы; Дозиметрические приборы</t>
        </is>
      </c>
      <c r="J65" s="1">
        <f>IFERROR(__xludf.DUMMYFUNCTION("AI(Prompt!$B$6, H67:I67)"),"Производитель")</f>
        <v/>
      </c>
      <c r="K65" s="1">
        <f>IFERROR(__xludf.DUMMYFUNCTION("AI(Prompt!$B$12, H67:J67)"),"OK")</f>
        <v/>
      </c>
      <c r="L65" s="1">
        <f>IFERROR(__xludf.DUMMYFUNCTION("AI(Prompt!$B$17, H67:I67)"),"томографы, маммографы, флюорографы, сканеры и приборы")</f>
        <v/>
      </c>
      <c r="M65" s="1">
        <f>IFERROR(__xludf.DUMMYFUNCTION("AI(Prompt!$B$21,A67)"),"ДОЗА, НПП")</f>
        <v/>
      </c>
      <c r="N65" s="1" t="inlineStr">
        <is>
          <t>Здравоохранение-2025</t>
        </is>
      </c>
      <c r="O65" s="9" t="inlineStr">
        <is>
          <t>https://icatalog.expocentr.ru/ru/exhibitions/de590dc5-417d-11ee-80ce-a0d3c1fab97f</t>
        </is>
      </c>
    </row>
    <row r="66" ht="16" customHeight="1">
      <c r="A66" s="1" t="inlineStr">
        <is>
          <t>Завод ЭМА, ЗАО</t>
        </is>
      </c>
      <c r="B66" s="1" t="inlineStr">
        <is>
          <t>7C110,   8G070</t>
        </is>
      </c>
      <c r="C66" s="1" t="inlineStr">
        <is>
          <t>Россия</t>
        </is>
      </c>
      <c r="D66" s="1" t="inlineStr">
        <is>
          <t>Екатеринбург</t>
        </is>
      </c>
      <c r="E66" s="1" t="inlineStr">
        <is>
          <t>Россия, 620028, г. Екатеринбург, Верх-Исетский б-р, д. 13</t>
        </is>
      </c>
      <c r="F66" s="10" t="inlineStr">
        <is>
          <t>http://www.ema.su</t>
        </is>
      </c>
      <c r="G66" s="1" t="inlineStr">
        <is>
          <t>market@ema.su</t>
        </is>
      </c>
      <c r="H66" s="1" t="inlineStr">
        <is>
          <t>Завод «ЭМА» — ведущий российский производитель медицинской аппаратуры. Завод обладает многолетним опытом и полным технологическим циклом создания современного надежного медицинского оборудования.</t>
        </is>
      </c>
      <c r="I66" s="1" t="inlineStr">
        <is>
          <t>Оборудование для дезинфекции; Физиотерапия и реабилитация; Оборудование для магнитотерапии; Оборудование для фототерапии; Дефибрилляторы; Осветители хирургические</t>
        </is>
      </c>
      <c r="J66" s="1">
        <f>IFERROR(__xludf.DUMMYFUNCTION("AI(Prompt!$B$6, H68:I68)"),"Производитель")</f>
        <v/>
      </c>
      <c r="K66" s="1">
        <f>IFERROR(__xludf.DUMMYFUNCTION("AI(Prompt!$B$12, H68:J68)"),"OK")</f>
        <v/>
      </c>
      <c r="L66" s="1">
        <f>IFERROR(__xludf.DUMMYFUNCTION("AI(Prompt!$B$17, H68:I68)"),"оборудование, дефибрилляторы и осветители")</f>
        <v/>
      </c>
      <c r="M66" s="1">
        <f>IFERROR(__xludf.DUMMYFUNCTION("AI(Prompt!$B$21,A68)"),"Завод Эма")</f>
        <v/>
      </c>
      <c r="N66" s="1" t="inlineStr">
        <is>
          <t>Здравоохранение-2025</t>
        </is>
      </c>
      <c r="O66" s="9" t="inlineStr">
        <is>
          <t>https://icatalog.expocentr.ru/ru/exhibitions/de590dc5-417d-11ee-80ce-a0d3c1fab97f</t>
        </is>
      </c>
    </row>
    <row r="67" ht="16" customHeight="1">
      <c r="A67" s="1" t="inlineStr">
        <is>
          <t>Аргус-ЦС, ООО</t>
        </is>
      </c>
      <c r="B67" s="1" t="inlineStr">
        <is>
          <t>8D001</t>
        </is>
      </c>
      <c r="C67" s="1" t="inlineStr">
        <is>
          <t>Россия</t>
        </is>
      </c>
      <c r="D67" s="1" t="inlineStr">
        <is>
          <t>Москва</t>
        </is>
      </c>
      <c r="E67" s="1" t="inlineStr">
        <is>
          <t>Россия, г. Москва, ул. Большая Черкизовская, д. 30а, стр. 1, оф. 308 (этаж 3)</t>
        </is>
      </c>
      <c r="F67" s="10" t="inlineStr">
        <is>
          <t>http://www.argus-ds.ru</t>
        </is>
      </c>
      <c r="G67" s="1" t="inlineStr">
        <is>
          <t>argus-ds@argus-ds.ru</t>
        </is>
      </c>
      <c r="H67" s="1" t="inlineStr">
        <is>
          <t>ООО «Аргус-ЦС» с 2012 года проводит комплексное оснащение и интеграцию высокотехнологичного медицинского оборудования, включая его поставку, монтаж, техническое обслуживание и ремонт.</t>
        </is>
      </c>
      <c r="I67" s="1" t="inlineStr">
        <is>
          <t>Рентгеновские диагностические установки, передвижные и стационарные; Компьютерные томографы; Маммографы; Оборудование для ударно-волновой терапии; Лабораторное оборудование; Операционные микроскопы и видеоустройства</t>
        </is>
      </c>
      <c r="J67" s="1">
        <f>IFERROR(__xludf.DUMMYFUNCTION("AI(Prompt!$B$6, H69:I69)"),"Дилер")</f>
        <v/>
      </c>
      <c r="K67" s="1">
        <f>IFERROR(__xludf.DUMMYFUNCTION("AI(Prompt!$B$12, H69:J69)"),"OK")</f>
        <v/>
      </c>
      <c r="L67" s="1">
        <f>IFERROR(__xludf.DUMMYFUNCTION("AI(Prompt!$B$17, H69:I69)"),"рентгеновские установки, томографы, маммографы, лабораторное оборудование и микроскопы")</f>
        <v/>
      </c>
      <c r="M67" s="1">
        <f>IFERROR(__xludf.DUMMYFUNCTION("AI(Prompt!$B$21,A69)"),"Аргус-ЦС")</f>
        <v/>
      </c>
      <c r="N67" s="1" t="inlineStr">
        <is>
          <t>Здравоохранение-2025</t>
        </is>
      </c>
      <c r="O67" s="9" t="inlineStr">
        <is>
          <t>https://icatalog.expocentr.ru/ru/exhibitions/de590dc5-417d-11ee-80ce-a0d3c1fab97f</t>
        </is>
      </c>
    </row>
    <row r="68" ht="16" customHeight="1">
      <c r="A68" s="1" t="inlineStr">
        <is>
          <t>ТОМОГРАФ ПРО</t>
        </is>
      </c>
      <c r="B68" s="1" t="inlineStr">
        <is>
          <t>8F110</t>
        </is>
      </c>
      <c r="C68" s="1" t="inlineStr">
        <is>
          <t>Россия</t>
        </is>
      </c>
      <c r="D68" s="1" t="inlineStr">
        <is>
          <t>Москва</t>
        </is>
      </c>
      <c r="E68" s="1" t="inlineStr">
        <is>
          <t>Россия, 105082, г. Москва, вн. тер. г. м. о. Басманный, ул. Большая Почтовая, д. 36, стр. 6, оф. 202-1</t>
        </is>
      </c>
      <c r="F68" s="10" t="inlineStr">
        <is>
          <t>http://tomograph.pro</t>
        </is>
      </c>
      <c r="G68" s="1" t="inlineStr">
        <is>
          <t>Info@tomograph.pro</t>
        </is>
      </c>
      <c r="H68" s="1" t="inlineStr">
        <is>
          <t>Компания «Томограф ПРО» специализируется на обслуживании и ремонте оборудования для лучевой и ультразвуковой диагностики, а также поставках запасных частей и комплектующих в самые короткие сроки.</t>
        </is>
      </c>
      <c r="I68" s="1" t="inlineStr">
        <is>
          <t>Медицинский инжиниринг</t>
        </is>
      </c>
      <c r="J68" s="1">
        <f>IFERROR(__xludf.DUMMYFUNCTION("AI(Prompt!$B$6, H70:I70)"),"Поставщик услуг")</f>
        <v/>
      </c>
      <c r="K68" s="1">
        <f>IFERROR(__xludf.DUMMYFUNCTION("AI(Prompt!$B$12, H70:J70)"),"OK")</f>
        <v/>
      </c>
      <c r="L68" s="1">
        <f>IFERROR(__xludf.DUMMYFUNCTION("AI(Prompt!$B$17, H70:I70)"),"запасные части и комплектующие")</f>
        <v/>
      </c>
      <c r="M68" s="1">
        <f>IFERROR(__xludf.DUMMYFUNCTION("AI(Prompt!$B$21,A70)"),"Томограф Про")</f>
        <v/>
      </c>
      <c r="N68" s="1" t="inlineStr">
        <is>
          <t>Здравоохранение-2025</t>
        </is>
      </c>
      <c r="O68" s="9" t="inlineStr">
        <is>
          <t>https://icatalog.expocentr.ru/ru/exhibitions/de590dc5-417d-11ee-80ce-a0d3c1fab97f</t>
        </is>
      </c>
    </row>
    <row r="69" ht="16" customHeight="1">
      <c r="A69" s="1" t="inlineStr">
        <is>
          <t>МЕДИЦИНСКИЕ СИСТЕМЫ, ЗАО</t>
        </is>
      </c>
      <c r="B69" s="1" t="inlineStr">
        <is>
          <t>8G115</t>
        </is>
      </c>
      <c r="C69" s="1" t="inlineStr">
        <is>
          <t>Россия</t>
        </is>
      </c>
      <c r="D69" s="1" t="inlineStr">
        <is>
          <t>Санкт-Петербург</t>
        </is>
      </c>
      <c r="E69" s="1" t="inlineStr">
        <is>
          <t>Россия, 199178, г. Санкт-Петербург, 10-я линия В. О., д. 17, корп. 2, литера А, пом. 1Н</t>
        </is>
      </c>
      <c r="F69" s="10" t="inlineStr">
        <is>
          <t>http://www.medsystems.ru</t>
        </is>
      </c>
      <c r="G69" s="1" t="inlineStr">
        <is>
          <t>info@medsystems.ru</t>
        </is>
      </c>
      <c r="H69" s="1" t="inlineStr">
        <is>
          <t>ЗАО «Медицинские системы» — представитель ведущих мировых производителей медицинского оборудования: Natus Medical, Jaeger, Cardioline, PulmOne, Magstim, GSI, TSA. Прямые продажи, сервис, обучение.</t>
        </is>
      </c>
      <c r="I69" s="1" t="inlineStr">
        <is>
          <t>Оборудование для мониторинга функций сердечно-сосудистой системы; Системы мониторирования ЭЭГ; Нейрофизиологическое оборудование; Приборы для исследования внешнего дыхания; Прочие диагностические устройства; Поставка медицинского оборудования и расходных материалов</t>
        </is>
      </c>
      <c r="J69" s="1">
        <f>IFERROR(__xludf.DUMMYFUNCTION("AI(Prompt!$B$6, H71:I71)"),"Дилер")</f>
        <v/>
      </c>
      <c r="K69" s="1">
        <f>IFERROR(__xludf.DUMMYFUNCTION("AI(Prompt!$B$12, H71:J71)"),"OK")</f>
        <v/>
      </c>
      <c r="L69" s="1">
        <f>IFERROR(__xludf.DUMMYFUNCTION("AI(Prompt!$B$17, H71:I71)"),"медицинское оборудование, расходные материалы")</f>
        <v/>
      </c>
      <c r="M69" s="1">
        <f>IFERROR(__xludf.DUMMYFUNCTION("AI(Prompt!$B$21,A71)"),"Медицинские Системы")</f>
        <v/>
      </c>
      <c r="N69" s="1" t="inlineStr">
        <is>
          <t>Здравоохранение-2025</t>
        </is>
      </c>
      <c r="O69" s="9" t="inlineStr">
        <is>
          <t>https://icatalog.expocentr.ru/ru/exhibitions/de590dc5-417d-11ee-80ce-a0d3c1fab97f</t>
        </is>
      </c>
    </row>
    <row r="70" ht="16" customHeight="1">
      <c r="A70" s="1" t="inlineStr">
        <is>
          <t>МЕДЛИГА, АО</t>
        </is>
      </c>
      <c r="B70" s="1" t="inlineStr">
        <is>
          <t>8D080</t>
        </is>
      </c>
      <c r="C70" s="1" t="inlineStr">
        <is>
          <t>Россия</t>
        </is>
      </c>
      <c r="D70" s="1" t="inlineStr">
        <is>
          <t>Санкт-Петербург</t>
        </is>
      </c>
      <c r="E70" s="1" t="inlineStr">
        <is>
          <t>Россия, 191187, г. Санкт-Петербург, вн. тер. г. м. о. Литейный округ, ул. Чайковского, д. 1, корп. 2, литера Б, пом. 1-Н, комн. 218-227, этаж 4, оф. 402</t>
        </is>
      </c>
      <c r="F70" s="10" t="inlineStr">
        <is>
          <t>http://www.medliga.ru</t>
        </is>
      </c>
      <c r="G70" s="1" t="inlineStr">
        <is>
          <t>info@medliga.ru</t>
        </is>
      </c>
      <c r="H70" s="1" t="inlineStr">
        <is>
          <t>MEDLIGA — официальный дистрибьютор медоборудования в России, занимающийся производством, поставками, обучением специалистов, сертифицированным сервисным и гарантийным обслуживанием по всей стране.</t>
        </is>
      </c>
      <c r="I70" s="1" t="inlineStr">
        <is>
          <t>Оборудование для мониторинга функций сердечно-сосудистой системы; Компьютерные томографы; Эндоскопические комплексы и системы; Наркозно-дыхательные аппараты; Комплекты реанимационного оборудования; Операционные столы</t>
        </is>
      </c>
      <c r="J70" s="1">
        <f>IFERROR(__xludf.DUMMYFUNCTION("AI(Prompt!$B$6, H72:I72)"),"Производитель")</f>
        <v/>
      </c>
      <c r="K70" s="1">
        <f>IFERROR(__xludf.DUMMYFUNCTION("AI(Prompt!$B$12, H72:J72)"),"OK")</f>
        <v/>
      </c>
      <c r="L70" s="1">
        <f>IFERROR(__xludf.DUMMYFUNCTION("AI(Prompt!$B$17, H72:I72)"),"томографы, эндоскопические комплексы, аппараты и столы")</f>
        <v/>
      </c>
      <c r="M70" s="1">
        <f>IFERROR(__xludf.DUMMYFUNCTION("AI(Prompt!$B$21,A72)"),"Медлига")</f>
        <v/>
      </c>
      <c r="N70" s="1" t="inlineStr">
        <is>
          <t>Здравоохранение-2025</t>
        </is>
      </c>
      <c r="O70" s="9" t="inlineStr">
        <is>
          <t>https://icatalog.expocentr.ru/ru/exhibitions/de590dc5-417d-11ee-80ce-a0d3c1fab97f</t>
        </is>
      </c>
    </row>
    <row r="71" ht="16" customHeight="1">
      <c r="A71" s="1" t="inlineStr">
        <is>
          <t>ЕВРОТЕХ</t>
        </is>
      </c>
      <c r="B71" s="1" t="inlineStr">
        <is>
          <t>8F070</t>
        </is>
      </c>
      <c r="C71" s="1" t="inlineStr">
        <is>
          <t>Россия</t>
        </is>
      </c>
      <c r="E71" s="1" t="inlineStr">
        <is>
          <t>Россия</t>
        </is>
      </c>
      <c r="F71" s="10" t="inlineStr">
        <is>
          <t>https://eurotech.ru</t>
        </is>
      </c>
      <c r="G71" s="1" t="inlineStr">
        <is>
          <t>info@eurotech.ru</t>
        </is>
      </c>
      <c r="H71" s="1" t="inlineStr">
        <is>
          <t>Официальный представитель и сервисный центр: ЦИМ, «Лейзеганг», «Медифа», «Е.М.С.», «Мизухо», «АТОМ», «Нейролоджика», «Пенлон», «Шимадзу», «Пентакс», «Фанем», «ИМС ДЖОТТО», «Джи Эм Эм», «Самсун»г, «Ру Скан» (НПО «Сканер»).</t>
        </is>
      </c>
      <c r="I71" s="1" t="inlineStr">
        <is>
          <t>Диагностическое оборудование для гинекологии; Инкубаторы и открытые реанимационные системы; Литотрипторы; Рентгеновские диагностические установки, передвижные и стационарные; Маммографы; Операционные столы</t>
        </is>
      </c>
      <c r="J71" s="1">
        <f>IFERROR(__xludf.DUMMYFUNCTION("AI(Prompt!$B$6, H73:I73)"),"Дилер")</f>
        <v/>
      </c>
      <c r="K71" s="1">
        <f>IFERROR(__xludf.DUMMYFUNCTION("AI(Prompt!$B$12, H73:J73)"),"OK")</f>
        <v/>
      </c>
      <c r="L71" s="1">
        <f>IFERROR(__xludf.DUMMYFUNCTION("AI(Prompt!$B$17, H73:I73)"),"диагностическое оборудование, инкубаторы, литотрипторы, маммографы и столы")</f>
        <v/>
      </c>
      <c r="M71" s="1">
        <f>IFERROR(__xludf.DUMMYFUNCTION("AI(Prompt!$B$21,A73)"),"Евротех")</f>
        <v/>
      </c>
      <c r="N71" s="1" t="inlineStr">
        <is>
          <t>Здравоохранение-2025</t>
        </is>
      </c>
      <c r="O71" s="9" t="inlineStr">
        <is>
          <t>https://icatalog.expocentr.ru/ru/exhibitions/de590dc5-417d-11ee-80ce-a0d3c1fab97f</t>
        </is>
      </c>
    </row>
    <row r="72" ht="16" customHeight="1">
      <c r="A72" s="1" t="inlineStr">
        <is>
          <t>CTC CAPITAL</t>
        </is>
      </c>
      <c r="B72" s="1" t="inlineStr">
        <is>
          <t>8G100</t>
        </is>
      </c>
      <c r="C72" s="1" t="inlineStr">
        <is>
          <t>Россия</t>
        </is>
      </c>
      <c r="D72" s="1" t="inlineStr">
        <is>
          <t>Москва</t>
        </is>
      </c>
      <c r="E72" s="1" t="inlineStr">
        <is>
          <t>Россия, 111024, г. Москва, ш. Энтузиастов, д. 11а, корп. 1, этаж 1, оф. 2</t>
        </is>
      </c>
      <c r="F72" s="10" t="inlineStr">
        <is>
          <t>https://ctccapital.ru</t>
        </is>
      </c>
      <c r="G72" s="1" t="inlineStr">
        <is>
          <t>info@ctccapital.ru</t>
        </is>
      </c>
      <c r="H72" s="1" t="inlineStr">
        <is>
          <t>CTC CAPITAL – российская дистрибьюторская компания, основанная в 1992 году. На выставке мы представляем медицинские мониторы для различных отраслей здравоохранения бельгийского производителя BARCO.</t>
        </is>
      </c>
      <c r="I72" s="1" t="inlineStr">
        <is>
          <t>Стоматологическое оборудование и инструменты; Рентгеновские диагностические установки, передвижные и стационарные; Компьютерные томографы; Маммографы; Эндоскопические комплексы и системы; Хирургическое оборудование</t>
        </is>
      </c>
      <c r="J72" s="1">
        <f>IFERROR(__xludf.DUMMYFUNCTION("AI(Prompt!$B$6, H74:I74)"),"Дилер")</f>
        <v/>
      </c>
      <c r="K72" s="1">
        <f>IFERROR(__xludf.DUMMYFUNCTION("AI(Prompt!$B$12, H74:J74)"),"OK")</f>
        <v/>
      </c>
      <c r="L72" s="1">
        <f>IFERROR(__xludf.DUMMYFUNCTION("AI(Prompt!$B$17, H74:I74)"),"медицинские мониторы, стоматологическое оборудование, рентгеновские установки, компьютерные томографы и маммографы")</f>
        <v/>
      </c>
      <c r="M72" s="1">
        <f>IFERROR(__xludf.DUMMYFUNCTION("AI(Prompt!$B$21,A74)"),"CTC Capital")</f>
        <v/>
      </c>
      <c r="N72" s="1" t="inlineStr">
        <is>
          <t>Здравоохранение-2025</t>
        </is>
      </c>
      <c r="O72" s="9" t="inlineStr">
        <is>
          <t>https://icatalog.expocentr.ru/ru/exhibitions/de590dc5-417d-11ee-80ce-a0d3c1fab97f</t>
        </is>
      </c>
    </row>
    <row r="73" hidden="1" ht="16" customHeight="1">
      <c r="A73" s="1" t="inlineStr">
        <is>
          <t>SHANTOU INSTITUTE OF ULTRASONIC INSTRUMENTS CO. LTD</t>
        </is>
      </c>
      <c r="B73" s="11" t="n">
        <v>8e+132</v>
      </c>
      <c r="C73" s="1" t="inlineStr">
        <is>
          <t>Китай</t>
        </is>
      </c>
      <c r="E73" s="1" t="inlineStr">
        <is>
          <t>Китай</t>
        </is>
      </c>
      <c r="F73" s="10" t="inlineStr">
        <is>
          <t>http://www.siui.com</t>
        </is>
      </c>
      <c r="G73" s="1" t="inlineStr">
        <is>
          <t>siui@siui.com</t>
        </is>
      </c>
      <c r="H73" s="1" t="inlineStr">
        <is>
          <t>Основанная в 1982 году компания SIUI — китайская высокотехнологичная корпорация, специализирующаяся на ультразвуковых и рентгеновских системах визуализации.</t>
        </is>
      </c>
      <c r="I73" s="1" t="inlineStr">
        <is>
          <t>Рентгеновские диагностические установки, передвижные и стационарные; Ультразвуковые сканеры и диагностические системы</t>
        </is>
      </c>
      <c r="J73" s="1">
        <f>IFERROR(__xludf.DUMMYFUNCTION("AI(Prompt!$B$6, H75:I75)"),"Производитель")</f>
        <v/>
      </c>
      <c r="K73" s="1">
        <f>IFERROR(__xludf.DUMMYFUNCTION("AI(Prompt!$B$12, H75:J75)"),"OK")</f>
        <v/>
      </c>
      <c r="L73" s="1">
        <f>IFERROR(__xludf.DUMMYFUNCTION("AI(Prompt!$B$17, H75:I75)"),"рентгеновские установки и ультразвуковые сканеры")</f>
        <v/>
      </c>
      <c r="M73" s="1">
        <f>IFERROR(__xludf.DUMMYFUNCTION("AI(Prompt!$B$21,A75)"),"SIUI")</f>
        <v/>
      </c>
      <c r="N73" s="1" t="inlineStr">
        <is>
          <t>Здравоохранение-2025</t>
        </is>
      </c>
      <c r="O73" s="9" t="inlineStr">
        <is>
          <t>https://icatalog.expocentr.ru/ru/exhibitions/de590dc5-417d-11ee-80ce-a0d3c1fab97f</t>
        </is>
      </c>
    </row>
    <row r="74" ht="16" customHeight="1">
      <c r="A74" s="1" t="inlineStr">
        <is>
          <t>ПОЛЮС, ТПФ, ООО</t>
        </is>
      </c>
      <c r="B74" s="1" t="inlineStr">
        <is>
          <t>8C001</t>
        </is>
      </c>
      <c r="C74" s="1" t="inlineStr">
        <is>
          <t>Россия</t>
        </is>
      </c>
      <c r="D74" s="1" t="inlineStr">
        <is>
          <t>Екатеринбург</t>
        </is>
      </c>
      <c r="E74" s="1" t="inlineStr">
        <is>
          <t>Россия, 620050, г. Екатеринбург, ул. Маневровая, д. 43а</t>
        </is>
      </c>
      <c r="F74" s="10" t="inlineStr">
        <is>
          <t>http://www.pole96.ru</t>
        </is>
      </c>
      <c r="G74" s="1" t="inlineStr">
        <is>
          <t>info@pole96.ru</t>
        </is>
      </c>
      <c r="H74" s="1" t="inlineStr">
        <is>
          <t>Обеспечиваем защиту здоровья людей, предоставляя передовые надежные рентгенозащитные решения, которые помогают создавать безопасные условия работы в медицинской, научной и промышленной сферах.</t>
        </is>
      </c>
      <c r="I74" s="1" t="inlineStr">
        <is>
          <t>Проектирование, производство, монтаж, валидация чистых операционных и реанимационных; Проектирование и оснащение медицинских учреждений под ключ; Медицинский инжиниринг; Поставка медицинского оборудования и расходных материалов; Средства защиты от рентгеновских лучей</t>
        </is>
      </c>
      <c r="J74" s="1">
        <f>IFERROR(__xludf.DUMMYFUNCTION("AI(Prompt!$B$6, H76:I76)"),"Производитель")</f>
        <v/>
      </c>
      <c r="K74" s="1">
        <f>IFERROR(__xludf.DUMMYFUNCTION("AI(Prompt!$B$12, H76:J76)"),"OK")</f>
        <v/>
      </c>
      <c r="L74" s="1">
        <f>IFERROR(__xludf.DUMMYFUNCTION("AI(Prompt!$B$17, H76:I76)"),"рентгенозащитные решения, медицинское оборудование и расходные материалы")</f>
        <v/>
      </c>
      <c r="M74" s="1">
        <f>IFERROR(__xludf.DUMMYFUNCTION("AI(Prompt!$B$21,A76)"),"Полюс")</f>
        <v/>
      </c>
      <c r="N74" s="1" t="inlineStr">
        <is>
          <t>Здравоохранение-2025</t>
        </is>
      </c>
      <c r="O74" s="9" t="inlineStr">
        <is>
          <t>https://icatalog.expocentr.ru/ru/exhibitions/de590dc5-417d-11ee-80ce-a0d3c1fab97f</t>
        </is>
      </c>
    </row>
    <row r="75" ht="16" customHeight="1">
      <c r="A75" s="1" t="inlineStr">
        <is>
          <t>КРИОТЕК, ООО</t>
        </is>
      </c>
      <c r="B75" s="1" t="inlineStr">
        <is>
          <t>8A090</t>
        </is>
      </c>
      <c r="C75" s="1" t="inlineStr">
        <is>
          <t>Россия</t>
        </is>
      </c>
      <c r="D75" s="1" t="inlineStr">
        <is>
          <t>Москва</t>
        </is>
      </c>
      <c r="E75" s="1" t="inlineStr">
        <is>
          <t>Россия, 121596, г. Москва, ул. Горбунова, д. 2, стр. 3, БЦ «Гранд Сетунь Плаза»</t>
        </is>
      </c>
      <c r="F75" s="10" t="inlineStr">
        <is>
          <t>http://www.cryotec.ru</t>
        </is>
      </c>
      <c r="G75" s="1" t="inlineStr">
        <is>
          <t>info@cryotec.ru</t>
        </is>
      </c>
      <c r="H75" s="1" t="inlineStr">
        <is>
          <t>Оборудование для криоконсервации биоматериалов – криобанки под ключ, криохирургические аппараты, сосуды Дьюара биологические и лабораторные, криосауны безазотные, аппараты локальной криотерапии.</t>
        </is>
      </c>
      <c r="I75" s="1" t="inlineStr">
        <is>
          <t>Оборудование для криотерапии; Технологии, оборудование и расходные материалы для спа и велнес; Закаливание; Лабораторное оборудование; Оборудование для банков крови; Криохирургические аппараты</t>
        </is>
      </c>
      <c r="J75" s="1">
        <f>IFERROR(__xludf.DUMMYFUNCTION("AI(Prompt!$B$6, H77:I77)"),"Производитель")</f>
        <v/>
      </c>
      <c r="K75" s="1">
        <f>IFERROR(__xludf.DUMMYFUNCTION("AI(Prompt!$B$12, H77:J77)"),"OK")</f>
        <v/>
      </c>
      <c r="L75" s="1">
        <f>IFERROR(__xludf.DUMMYFUNCTION("AI(Prompt!$B$17, H77:I77)"),"криобанки, криохирургические аппараты, сосуды Дьюара и криосауны")</f>
        <v/>
      </c>
      <c r="M75" s="1">
        <f>IFERROR(__xludf.DUMMYFUNCTION("AI(Prompt!$B$21,A77)"),"Криотэк")</f>
        <v/>
      </c>
      <c r="N75" s="1" t="inlineStr">
        <is>
          <t>Здравоохранение-2025</t>
        </is>
      </c>
      <c r="O75" s="9" t="inlineStr">
        <is>
          <t>https://icatalog.expocentr.ru/ru/exhibitions/de590dc5-417d-11ee-80ce-a0d3c1fab97f</t>
        </is>
      </c>
    </row>
    <row r="76" ht="16" customHeight="1">
      <c r="A76" s="1" t="inlineStr">
        <is>
          <t>КОМПЛЕКСНЫЕ РЕШЕНИЯ, ООО</t>
        </is>
      </c>
      <c r="B76" s="11" t="n">
        <v>8e+130</v>
      </c>
      <c r="C76" s="1" t="inlineStr">
        <is>
          <t>Россия</t>
        </is>
      </c>
      <c r="D76" s="1" t="inlineStr">
        <is>
          <t>Москва</t>
        </is>
      </c>
      <c r="E76" s="1" t="inlineStr">
        <is>
          <t>Россия, 125504, г. Москва, Дмитровское ш., д. 71Б, оф. 515</t>
        </is>
      </c>
      <c r="F76" s="10" t="inlineStr">
        <is>
          <t>https://medicalcom.ru</t>
        </is>
      </c>
      <c r="G76" s="1" t="inlineStr">
        <is>
          <t>sale@medicalcom.ru</t>
        </is>
      </c>
      <c r="H76" s="1" t="inlineStr">
        <is>
          <t>Эксклюзивные рентгены GEMSS и POSKOM, а также широкий выбор УЗИ, эндоскопии, лор-оборудования и техники для реанимации. Полный цикл: от подбора и демонстрации до запуска и сервисного сопровождения.</t>
        </is>
      </c>
      <c r="I76" s="1" t="inlineStr">
        <is>
          <t>Рентгеновские диагностические установки, передвижные и стационарные; Маммографы; Флюорографы; Ультразвуковые сканеры и диагностические системы</t>
        </is>
      </c>
      <c r="J76" s="1">
        <f>IFERROR(__xludf.DUMMYFUNCTION("AI(Prompt!$B$6, H78:I78)"),"Дилер")</f>
        <v/>
      </c>
      <c r="K76" s="1">
        <f>IFERROR(__xludf.DUMMYFUNCTION("AI(Prompt!$B$12, H78:J78)"),"OK")</f>
        <v/>
      </c>
      <c r="L76" s="1">
        <f>IFERROR(__xludf.DUMMYFUNCTION("AI(Prompt!$B$17, H78:I78)"),"рентгены, маммографы, флюорографы, УЗИ и эндоскопия")</f>
        <v/>
      </c>
      <c r="M76" s="1">
        <f>IFERROR(__xludf.DUMMYFUNCTION("AI(Prompt!$B$21,A78)"),"Комплексные Решения")</f>
        <v/>
      </c>
      <c r="N76" s="1" t="inlineStr">
        <is>
          <t>Здравоохранение-2025</t>
        </is>
      </c>
      <c r="O76" s="9" t="inlineStr">
        <is>
          <t>https://icatalog.expocentr.ru/ru/exhibitions/de590dc5-417d-11ee-80ce-a0d3c1fab97f</t>
        </is>
      </c>
    </row>
    <row r="77" ht="16" customHeight="1">
      <c r="A77" s="1" t="inlineStr">
        <is>
          <t>ИМК «ИНСАЙТ», ООО</t>
        </is>
      </c>
      <c r="B77" s="1" t="inlineStr">
        <is>
          <t>8D050</t>
        </is>
      </c>
      <c r="C77" s="1" t="inlineStr">
        <is>
          <t>Россия</t>
        </is>
      </c>
      <c r="D77" s="1" t="inlineStr">
        <is>
          <t>Иркутск</t>
        </is>
      </c>
      <c r="E77" s="1" t="inlineStr">
        <is>
          <t>Россия, 664075, г. Иркутск, ул. Байкальская, стр. 239/20, комн. 2-74</t>
        </is>
      </c>
      <c r="F77" s="10" t="inlineStr">
        <is>
          <t>http://www.inmed.ru</t>
        </is>
      </c>
      <c r="G77" s="1" t="inlineStr">
        <is>
          <t>info@inmed.ru</t>
        </is>
      </c>
      <c r="H77" s="1" t="inlineStr">
        <is>
          <t>ООО «ИМК «ИНСАЙТ» является представителем брендов новейших медицинских технологий и поставщиком полного спектра медицинского оборудования. «ИНСАЙТ» более 30 лет сохраняет репутацию надежного партнера по реализации проектов для здравоохранения, предлагая комплексные решения и сервис высокого уровня. Мы не просто продаем оборудование, современные методы лечения и диагностики, а решаем сложные задачи для повышения качества оказания медицинской помощи.</t>
        </is>
      </c>
      <c r="I77" s="1" t="inlineStr">
        <is>
          <t>Компьютерные томографы; Ультразвуковые сканеры и диагностические системы; Наркозно-дыхательные аппараты</t>
        </is>
      </c>
      <c r="J77" s="1">
        <f>IFERROR(__xludf.DUMMYFUNCTION("AI(Prompt!$B$6, H79:I79)"),"Дилер")</f>
        <v/>
      </c>
      <c r="K77" s="1">
        <f>IFERROR(__xludf.DUMMYFUNCTION("AI(Prompt!$B$12, H79:J79)"),"OK")</f>
        <v/>
      </c>
      <c r="L77" s="1">
        <f>IFERROR(__xludf.DUMMYFUNCTION("AI(Prompt!$B$17, H79:I79)"),"компьютерные томографы, ультразвуковые сканеры и аппараты")</f>
        <v/>
      </c>
      <c r="M77" s="1">
        <f>IFERROR(__xludf.DUMMYFUNCTION("AI(Prompt!$B$21,A79)"),"ИМК «ИНСАЙТ»")</f>
        <v/>
      </c>
      <c r="N77" s="1" t="inlineStr">
        <is>
          <t>Здравоохранение-2025</t>
        </is>
      </c>
      <c r="O77" s="9" t="inlineStr">
        <is>
          <t>https://icatalog.expocentr.ru/ru/exhibitions/de590dc5-417d-11ee-80ce-a0d3c1fab97f</t>
        </is>
      </c>
    </row>
    <row r="78" ht="16" customHeight="1">
      <c r="A78" s="1" t="inlineStr">
        <is>
          <t>ГОЛДИДЕНТ, ООО</t>
        </is>
      </c>
      <c r="B78" s="1" t="inlineStr">
        <is>
          <t>8C090</t>
        </is>
      </c>
      <c r="C78" s="1" t="inlineStr">
        <is>
          <t>Россия</t>
        </is>
      </c>
      <c r="D78" s="1" t="inlineStr">
        <is>
          <t>Москва</t>
        </is>
      </c>
      <c r="E78" s="1" t="inlineStr">
        <is>
          <t>Россия, 115162, г. Москва, ул. Шухова, д. 10, пом. II</t>
        </is>
      </c>
      <c r="F78" s="10" t="inlineStr">
        <is>
          <t>https://goldident.ru</t>
        </is>
      </c>
      <c r="G78" s="1" t="inlineStr">
        <is>
          <t>info@goldident.ru</t>
        </is>
      </c>
      <c r="H78" s="1" t="inlineStr">
        <is>
          <t>С 2010 года компания «ГОЛДИДЕНТ» успешно занимается проектированием, подбором и оснащением стоматологических клиник и зуботехнических лабораторий профессиональным оборудованием. В нашем ассортименте имеются компьютерные томографы, стоматологические установки, интраоральные сканеры, дентальные рентгены и многое другое.</t>
        </is>
      </c>
      <c r="I78" s="1" t="inlineStr">
        <is>
          <t>Стоматологическое оборудование и инструменты; Оборудование для цифровой стоматологии; Стоматологическая рентгенодиагностическая аппаратура</t>
        </is>
      </c>
      <c r="J78" s="1">
        <f>IFERROR(__xludf.DUMMYFUNCTION("AI(Prompt!$B$6, H80:I80)"),"Дилер")</f>
        <v/>
      </c>
      <c r="K78" s="1">
        <f>IFERROR(__xludf.DUMMYFUNCTION("AI(Prompt!$B$12, H80:J80)"),"OK")</f>
        <v/>
      </c>
      <c r="L78" s="1">
        <f>IFERROR(__xludf.DUMMYFUNCTION("AI(Prompt!$B$17, H80:I80)"),"стоматологическое оборудование, инструменты и сканеры")</f>
        <v/>
      </c>
      <c r="M78" s="1">
        <f>IFERROR(__xludf.DUMMYFUNCTION("AI(Prompt!$B$21,A80)"),"Голдидент")</f>
        <v/>
      </c>
      <c r="N78" s="1" t="inlineStr">
        <is>
          <t>Здравоохранение-2025</t>
        </is>
      </c>
      <c r="O78" s="9" t="inlineStr">
        <is>
          <t>https://icatalog.expocentr.ru/ru/exhibitions/de590dc5-417d-11ee-80ce-a0d3c1fab97f</t>
        </is>
      </c>
    </row>
    <row r="79" ht="16" customHeight="1">
      <c r="A79" s="1" t="inlineStr">
        <is>
          <t>МТ ТЕХНИКА, ООО</t>
        </is>
      </c>
      <c r="B79" s="1" t="inlineStr">
        <is>
          <t>8D015</t>
        </is>
      </c>
      <c r="C79" s="1" t="inlineStr">
        <is>
          <t>Россия</t>
        </is>
      </c>
      <c r="D79" s="1" t="inlineStr">
        <is>
          <t>Москва</t>
        </is>
      </c>
      <c r="E79" s="1" t="inlineStr">
        <is>
          <t>Россия, 121357, г. Москва, вн. тер. г. м. о. Можайский, ул. Верейская, д. 29, стр. 134, этаж 3, комн. 25</t>
        </is>
      </c>
      <c r="F79" s="10" t="inlineStr">
        <is>
          <t>http://www.mttechnica.ru</t>
        </is>
      </c>
      <c r="G79" s="1" t="inlineStr">
        <is>
          <t>info@mttechnica.ru</t>
        </is>
      </c>
      <c r="H79" s="1" t="inlineStr">
        <is>
          <t>Компания «МТ Техника» осуществляет комплексные поставки медицинского оборудования ведущих мировых производителей со склада в Москве.</t>
        </is>
      </c>
      <c r="I79" s="1" t="inlineStr">
        <is>
          <t>Инструменты гинекологические; Оборудование для урологической диагностики; Эндоскопы жесткие; Эндоскопы гибкие; Эндоскопические комплексы и системы; Оборудование и средства для лапароскопии</t>
        </is>
      </c>
      <c r="J79" s="1">
        <f>IFERROR(__xludf.DUMMYFUNCTION("AI(Prompt!$B$6, H81:I81)"),"Дилер")</f>
        <v/>
      </c>
      <c r="K79" s="1">
        <f>IFERROR(__xludf.DUMMYFUNCTION("AI(Prompt!$B$12, H81:J81)"),"OK")</f>
        <v/>
      </c>
      <c r="L79" s="1">
        <f>IFERROR(__xludf.DUMMYFUNCTION("AI(Prompt!$B$17, H81:I81)"),"инструменты, оборудование и эндоскопы")</f>
        <v/>
      </c>
      <c r="M79" s="1">
        <f>IFERROR(__xludf.DUMMYFUNCTION("AI(Prompt!$B$21,A81)"),"МТ Техника")</f>
        <v/>
      </c>
      <c r="N79" s="1" t="inlineStr">
        <is>
          <t>Здравоохранение-2025</t>
        </is>
      </c>
      <c r="O79" s="9" t="inlineStr">
        <is>
          <t>https://icatalog.expocentr.ru/ru/exhibitions/de590dc5-417d-11ee-80ce-a0d3c1fab97f</t>
        </is>
      </c>
    </row>
    <row r="80" ht="16" customHeight="1">
      <c r="A80" s="1" t="inlineStr">
        <is>
          <t>КОНСОРЦИУМ МЕДИЦИНСКАЯ ТЕХНИКА, АНО</t>
        </is>
      </c>
      <c r="B80" s="1" t="inlineStr">
        <is>
          <t>8G070</t>
        </is>
      </c>
      <c r="C80" s="1" t="inlineStr">
        <is>
          <t>Россия</t>
        </is>
      </c>
      <c r="D80" s="1" t="inlineStr">
        <is>
          <t>Москва</t>
        </is>
      </c>
      <c r="E80" s="1" t="inlineStr">
        <is>
          <t>Россия, 129366, г. Москва, просп. Мира, д. 176, пом. I, комн. 61</t>
        </is>
      </c>
      <c r="F80" s="10" t="inlineStr">
        <is>
          <t>http://www.anokmt.ru</t>
        </is>
      </c>
      <c r="G80" s="1" t="inlineStr">
        <is>
          <t>info@anokmt.ru</t>
        </is>
      </c>
      <c r="H80" s="1" t="inlineStr">
        <is>
          <t>АНО "Консорциум «Медицинская техника» – система государственно-частного партнерства, способствующая развитию производства отечественного высокотехнологичного медицинского оборудования.</t>
        </is>
      </c>
      <c r="I80" s="1" t="inlineStr">
        <is>
          <t>Оборудование для урологической диагностики; Прочие изделия для лабораторий; Эндоскопы гибкие; Аппараты для искусственной вентиляции легких; Наркозно-дыхательные аппараты; Эндопротезы и имплантаты</t>
        </is>
      </c>
      <c r="J80" s="1">
        <f>IFERROR(__xludf.DUMMYFUNCTION("AI(Prompt!$B$6, H82:I82)"),"Производитель")</f>
        <v/>
      </c>
      <c r="K80" s="1">
        <f>IFERROR(__xludf.DUMMYFUNCTION("AI(Prompt!$B$12, H82:J82)"),"OK")</f>
        <v/>
      </c>
      <c r="L80" s="1">
        <f>IFERROR(__xludf.DUMMYFUNCTION("AI(Prompt!$B$17, H82:I82)"),"оборудование для диагностики, эндоскопы, аппараты ИВЛ и эндопротезы")</f>
        <v/>
      </c>
      <c r="M80" s="1">
        <f>IFERROR(__xludf.DUMMYFUNCTION("AI(Prompt!$B$21,A82)"),"Консорциум Медицинская Техника")</f>
        <v/>
      </c>
      <c r="N80" s="1" t="inlineStr">
        <is>
          <t>Здравоохранение-2025</t>
        </is>
      </c>
      <c r="O80" s="9" t="inlineStr">
        <is>
          <t>https://icatalog.expocentr.ru/ru/exhibitions/de590dc5-417d-11ee-80ce-a0d3c1fab97f</t>
        </is>
      </c>
    </row>
    <row r="81" ht="16" customHeight="1">
      <c r="A81" s="1" t="inlineStr">
        <is>
          <t>ПЕРСПЕКТИВА, ООО</t>
        </is>
      </c>
      <c r="B81" s="1" t="inlineStr">
        <is>
          <t>8B135</t>
        </is>
      </c>
      <c r="C81" s="1" t="inlineStr">
        <is>
          <t>Россия</t>
        </is>
      </c>
      <c r="D81" s="1" t="inlineStr">
        <is>
          <t>Москва</t>
        </is>
      </c>
      <c r="E81" s="1" t="inlineStr">
        <is>
          <t>Россия, 109202, г. Москва, Перовское ш., д. 12, пом. 2, комн. 9</t>
        </is>
      </c>
      <c r="G81" s="1" t="inlineStr">
        <is>
          <t>asbzhezinsky@gmail.com</t>
        </is>
      </c>
      <c r="H81" s="1" t="inlineStr">
        <is>
          <t>ООО «Перспектива» — официальный представитель китайских производителей медтехники. Поставляет комплектующие для рентген-аппаратов: детекторы, трубки, генераторы и коллиматоры.</t>
        </is>
      </c>
      <c r="I81" s="1" t="inlineStr">
        <is>
          <t>Прочие диагностические устройства; Рентгеновские диагностические установки, передвижные и стационарные</t>
        </is>
      </c>
      <c r="J81" s="1">
        <f>IFERROR(__xludf.DUMMYFUNCTION("AI(Prompt!$B$6, H83:I83)"),"Дилер")</f>
        <v/>
      </c>
      <c r="K81" s="1">
        <f>IFERROR(__xludf.DUMMYFUNCTION("AI(Prompt!$B$12, H83:J83)"),"OK")</f>
        <v/>
      </c>
      <c r="L81" s="1">
        <f>IFERROR(__xludf.DUMMYFUNCTION("AI(Prompt!$B$17, H83:I83)"),"комплектующие, детекторы, трубки, генераторы и коллиматоры")</f>
        <v/>
      </c>
      <c r="M81" s="1">
        <f>IFERROR(__xludf.DUMMYFUNCTION("AI(Prompt!$B$21,A83)"),"Перспектива")</f>
        <v/>
      </c>
      <c r="N81" s="1" t="inlineStr">
        <is>
          <t>Здравоохранение-2025</t>
        </is>
      </c>
      <c r="O81" s="9" t="inlineStr">
        <is>
          <t>https://icatalog.expocentr.ru/ru/exhibitions/de590dc5-417d-11ee-80ce-a0d3c1fab97f</t>
        </is>
      </c>
    </row>
    <row r="82" hidden="1" ht="16" customHeight="1">
      <c r="A82" s="1" t="inlineStr">
        <is>
          <t>EDAN INSTRUMENTS INC.</t>
        </is>
      </c>
      <c r="B82" s="1" t="inlineStr">
        <is>
          <t>8G130</t>
        </is>
      </c>
      <c r="C82" s="1" t="inlineStr">
        <is>
          <t>Китай</t>
        </is>
      </c>
      <c r="E82" s="1" t="inlineStr">
        <is>
          <t>123112, Россия, г. Москва,  вн. тер. г. м. о. Пресненский, Пресненская наб., д. 1212, Presnenskaya Naberezhnaya, Presnenskiy Municipality,123112, Russia, MoscowTEL +7 (499) 682-6787E-mail: russia.office@edan.comInternet: http://www.edanrussia.com</t>
        </is>
      </c>
      <c r="H82" s="1" t="inlineStr">
        <is>
          <t>Edan Instruments Inc. — высокотехнологичная компания, сочетающая научные исследования и разработки, производство и реализацию медицинского оборудования. Линейка продуктов Edan включает в себя диагностическое оборудование для акушерства и гинекологии, мониторы пациента, диагностические ЭКГ, ультразвуковые системы и оборудование для POCT и in-vitro-диагностики.</t>
        </is>
      </c>
      <c r="I82" s="1" t="inlineStr">
        <is>
          <t>Системы мониторирования ЭЭГ; Диагностическое оборудование для гинекологии; Фетальные мониторы; Ультразвуковые сканеры и диагностические системы; Гематология; Мониторы пациента</t>
        </is>
      </c>
      <c r="J82" s="1">
        <f>IFERROR(__xludf.DUMMYFUNCTION("AI(Prompt!$B$6, H84:I84)"),"Производитель")</f>
        <v/>
      </c>
      <c r="K82" s="1">
        <f>IFERROR(__xludf.DUMMYFUNCTION("AI(Prompt!$B$12, H84:J84)"),"OK")</f>
        <v/>
      </c>
      <c r="L82" s="1">
        <f>IFERROR(__xludf.DUMMYFUNCTION("AI(Prompt!$B$17, H84:I84)"),"диагностическое оборудование, мониторы и сканеры")</f>
        <v/>
      </c>
      <c r="M82" s="1">
        <f>IFERROR(__xludf.DUMMYFUNCTION("AI(Prompt!$B$21,A84)"),"Edan Instruments")</f>
        <v/>
      </c>
      <c r="N82" s="1" t="inlineStr">
        <is>
          <t>Здравоохранение-2025</t>
        </is>
      </c>
      <c r="O82" s="9" t="inlineStr">
        <is>
          <t>https://icatalog.expocentr.ru/ru/exhibitions/de590dc5-417d-11ee-80ce-a0d3c1fab97f</t>
        </is>
      </c>
    </row>
    <row r="83" ht="16" customHeight="1">
      <c r="A83" s="1" t="inlineStr">
        <is>
          <t>ГК ВЕКТОР</t>
        </is>
      </c>
      <c r="B83" s="1" t="inlineStr">
        <is>
          <t>8G090</t>
        </is>
      </c>
      <c r="C83" s="1" t="inlineStr">
        <is>
          <t>Россия</t>
        </is>
      </c>
      <c r="D83" s="1" t="inlineStr">
        <is>
          <t>Санкт-Петербург</t>
        </is>
      </c>
      <c r="E83" s="1" t="inlineStr">
        <is>
          <t>Россия, 195273, г. Санкт-Петербург, просп. Непокоренных, д. 74, корп. 1, литера А, пом. 107-Н</t>
        </is>
      </c>
      <c r="F83" s="10" t="inlineStr">
        <is>
          <t>https://gkvector.com</t>
        </is>
      </c>
      <c r="G83" s="1" t="inlineStr">
        <is>
          <t>send@gkvector.com</t>
        </is>
      </c>
      <c r="H83" s="1" t="inlineStr">
        <is>
          <t>Поставляем медицинское оборудование, разрабатываем собственные решения, помогаем клиникам запускать кабинеты без лишних сложностей. Работаем с частными и государственными организациями по всей России.</t>
        </is>
      </c>
      <c r="I83" s="1" t="inlineStr">
        <is>
          <t>Ультразвуковые сканеры и диагностические системы; Физиотерапия и реабилитация; Лабораторное оборудование; Реагенты и расходные материалы для лабораторной диагностики</t>
        </is>
      </c>
      <c r="J83" s="1">
        <f>IFERROR(__xludf.DUMMYFUNCTION("AI(Prompt!$B$6, H85:I85)"),"Производитель")</f>
        <v/>
      </c>
      <c r="K83" s="1">
        <f>IFERROR(__xludf.DUMMYFUNCTION("AI(Prompt!$B$12, H85:J85)"),"OK")</f>
        <v/>
      </c>
      <c r="L83" s="1">
        <f>IFERROR(__xludf.DUMMYFUNCTION("AI(Prompt!$B$17, H85:I85)"),"медицинское оборудование, сканеры, реагенты и расходные материалы")</f>
        <v/>
      </c>
      <c r="M83" s="1">
        <f>IFERROR(__xludf.DUMMYFUNCTION("AI(Prompt!$B$21,A85)"),"Вектор")</f>
        <v/>
      </c>
      <c r="N83" s="1" t="inlineStr">
        <is>
          <t>Здравоохранение-2025</t>
        </is>
      </c>
      <c r="O83" s="9" t="inlineStr">
        <is>
          <t>https://icatalog.expocentr.ru/ru/exhibitions/de590dc5-417d-11ee-80ce-a0d3c1fab97f</t>
        </is>
      </c>
    </row>
    <row r="84" ht="16" customHeight="1">
      <c r="A84" s="1" t="inlineStr">
        <is>
          <t>Р-ФАРМ, АО</t>
        </is>
      </c>
      <c r="B84" s="1" t="inlineStr">
        <is>
          <t>8D030</t>
        </is>
      </c>
      <c r="C84" s="1" t="inlineStr">
        <is>
          <t>Россия</t>
        </is>
      </c>
      <c r="D84" s="1" t="inlineStr">
        <is>
          <t>Москва</t>
        </is>
      </c>
      <c r="E84" s="1" t="inlineStr">
        <is>
          <t>Россия, г. Москва, Ленинский просп., д. 111, корп. 1</t>
        </is>
      </c>
      <c r="F84" s="10" t="inlineStr">
        <is>
          <t>http://www.rpharm.ru</t>
        </is>
      </c>
      <c r="G84" s="1" t="inlineStr">
        <is>
          <t>info@rpharm.ru</t>
        </is>
      </c>
      <c r="H84" s="1" t="inlineStr">
        <is>
          <t>АО «Р-Фарм» предлагает комплексные решения для здравоохранения, специализируясь на исследованиях, разработке, производстве лекарственных средств, лабораторного оборудования и медицинской техники.</t>
        </is>
      </c>
      <c r="I84" s="1" t="inlineStr">
        <is>
          <t>Диагностическое оборудование для гинекологии; Компьютерные томографы; Маммографы; Ультразвуковые сканеры и диагностические системы; ПЦР-диагностика; Эндоскопы гибкие</t>
        </is>
      </c>
      <c r="J84" s="1">
        <f>IFERROR(__xludf.DUMMYFUNCTION("AI(Prompt!$B$6, H86:I86)"),"Производитель")</f>
        <v/>
      </c>
      <c r="K84" s="1">
        <f>IFERROR(__xludf.DUMMYFUNCTION("AI(Prompt!$B$12, H86:J86)"),"OK")</f>
        <v/>
      </c>
      <c r="L84" s="1">
        <f>IFERROR(__xludf.DUMMYFUNCTION("AI(Prompt!$B$17, H86:I86)"),"лекарственные средства, оборудование и техника")</f>
        <v/>
      </c>
      <c r="M84" s="1">
        <f>IFERROR(__xludf.DUMMYFUNCTION("AI(Prompt!$B$21,A86)"),"Р-ФАРМ")</f>
        <v/>
      </c>
      <c r="N84" s="1" t="inlineStr">
        <is>
          <t>Здравоохранение-2025</t>
        </is>
      </c>
      <c r="O84" s="9" t="inlineStr">
        <is>
          <t>https://icatalog.expocentr.ru/ru/exhibitions/de590dc5-417d-11ee-80ce-a0d3c1fab97f</t>
        </is>
      </c>
    </row>
    <row r="85" ht="16" customHeight="1">
      <c r="A85" s="1" t="inlineStr">
        <is>
          <t>АЛМАЗ-АНТЕЙ, КОНЦЕРН ВКО, АО</t>
        </is>
      </c>
      <c r="B85" s="11" t="n">
        <v>80000000000</v>
      </c>
      <c r="C85" s="1" t="inlineStr">
        <is>
          <t>Россия</t>
        </is>
      </c>
      <c r="D85" s="1" t="inlineStr">
        <is>
          <t>Москва</t>
        </is>
      </c>
      <c r="E85" s="1" t="inlineStr">
        <is>
          <t>Россия, 121357, г. Москва, ул. Верейская, д. 41</t>
        </is>
      </c>
      <c r="F85" s="10" t="inlineStr">
        <is>
          <t>http://www.almaz-antey.ru</t>
        </is>
      </c>
      <c r="G85" s="1" t="inlineStr">
        <is>
          <t>antey@almaz-antey.ru</t>
        </is>
      </c>
      <c r="H85" s="1" t="inlineStr">
        <is>
          <t>Разработка и производство высокотехнологичного рентгенодиагностического оборудования, систем хирургической навигации, роботизированных скелетов для реабилитации.</t>
        </is>
      </c>
      <c r="I85" s="1" t="inlineStr">
        <is>
          <t>Зуботехническое оборудование и инструменты; Рентгеновские диагностические установки, передвижные и стационарные; Флюорографы; Реабилитационное оборудование; Хирургическое оборудование; Ортопедическое оборудование и инструменты</t>
        </is>
      </c>
      <c r="J85" s="1">
        <f>IFERROR(__xludf.DUMMYFUNCTION("AI(Prompt!$B$6, H87:I87)"),"Производитель")</f>
        <v/>
      </c>
      <c r="K85" s="1">
        <f>IFERROR(__xludf.DUMMYFUNCTION("AI(Prompt!$B$12, H87:J87)"),"OK")</f>
        <v/>
      </c>
      <c r="L85" s="1">
        <f>IFERROR(__xludf.DUMMYFUNCTION("AI(Prompt!$B$17, H87:I87)"),"рентгенодиагностическое оборудование, системы навигации, роботизированные скелеты и флюорографы")</f>
        <v/>
      </c>
      <c r="M85" s="1">
        <f>IFERROR(__xludf.DUMMYFUNCTION("AI(Prompt!$B$21,A87)"),"Алмаз-Антей")</f>
        <v/>
      </c>
      <c r="N85" s="1" t="inlineStr">
        <is>
          <t>Здравоохранение-2025</t>
        </is>
      </c>
      <c r="O85" s="9" t="inlineStr">
        <is>
          <t>https://icatalog.expocentr.ru/ru/exhibitions/de590dc5-417d-11ee-80ce-a0d3c1fab97f</t>
        </is>
      </c>
    </row>
    <row r="86" ht="16" customHeight="1">
      <c r="A86" s="1" t="inlineStr">
        <is>
          <t>САУС МЕДИКА, ООО</t>
        </is>
      </c>
      <c r="B86" s="1" t="inlineStr">
        <is>
          <t>8D120</t>
        </is>
      </c>
      <c r="C86" s="1" t="inlineStr">
        <is>
          <t>Россия</t>
        </is>
      </c>
      <c r="D86" s="1" t="inlineStr">
        <is>
          <t>Ростов-на-Дону</t>
        </is>
      </c>
      <c r="E86" s="1" t="inlineStr">
        <is>
          <t>Россия, 344002, г. Ростов-на-Дону, ул. Максима Горького, д. 102, оф. 1</t>
        </is>
      </c>
      <c r="F86" s="10" t="inlineStr">
        <is>
          <t>https://southmedica.ru</t>
        </is>
      </c>
      <c r="G86" s="1" t="inlineStr">
        <is>
          <t>info@southmedica.ru</t>
        </is>
      </c>
      <c r="H86" s="1" t="inlineStr">
        <is>
          <t>ООО «Саус Медика» (г. Ростов-на-Дону) является премиальным партнером Philips и специализируется на поставке аппаратов ультразвуковой диагностики.</t>
        </is>
      </c>
      <c r="I86" s="1" t="inlineStr">
        <is>
          <t>Ультразвуковые сканеры и диагностические системы</t>
        </is>
      </c>
      <c r="J86" s="1">
        <f>IFERROR(__xludf.DUMMYFUNCTION("AI(Prompt!$B$6, H88:I88)"),"Дилер")</f>
        <v/>
      </c>
      <c r="K86" s="1">
        <f>IFERROR(__xludf.DUMMYFUNCTION("AI(Prompt!$B$12, H88:J88)"),"OK")</f>
        <v/>
      </c>
      <c r="L86" s="1">
        <f>IFERROR(__xludf.DUMMYFUNCTION("AI(Prompt!$B$17, H88:I88)"),"ультразвуковые сканеры и диагностические системы")</f>
        <v/>
      </c>
      <c r="M86" s="1">
        <f>IFERROR(__xludf.DUMMYFUNCTION("AI(Prompt!$B$21,A88)"),"Саус Медика")</f>
        <v/>
      </c>
      <c r="N86" s="1" t="inlineStr">
        <is>
          <t>Здравоохранение-2025</t>
        </is>
      </c>
      <c r="O86" s="9" t="inlineStr">
        <is>
          <t>https://icatalog.expocentr.ru/ru/exhibitions/de590dc5-417d-11ee-80ce-a0d3c1fab97f</t>
        </is>
      </c>
    </row>
    <row r="87" ht="16" customHeight="1">
      <c r="A87" s="1" t="inlineStr">
        <is>
          <t>СИТИМЕД, ООО</t>
        </is>
      </c>
      <c r="B87" s="1" t="inlineStr">
        <is>
          <t>8C100</t>
        </is>
      </c>
      <c r="C87" s="1" t="inlineStr">
        <is>
          <t>Россия</t>
        </is>
      </c>
      <c r="D87" s="1" t="inlineStr">
        <is>
          <t>Москва</t>
        </is>
      </c>
      <c r="E87" s="1" t="inlineStr">
        <is>
          <t>Россия, 109147, г. Москва, вн. тер. г. м. о. Таганский, ул. Марксистская, д. 20, стр. 8, пом. 13</t>
        </is>
      </c>
      <c r="F87" s="10" t="inlineStr">
        <is>
          <t>https://siti-med.com</t>
        </is>
      </c>
      <c r="G87" s="1" t="inlineStr">
        <is>
          <t>info@siti-med.com</t>
        </is>
      </c>
      <c r="H87" s="1" t="inlineStr">
        <is>
          <t>Эксклюзивный представитель видеоэндоскопического оборудования Mindsion. Беспроводные видеоэндоскопы: бронхоскопы, риноларингоскопы, уретерореноскопы. Поставляем широкий спектр медоборудования по РФ.</t>
        </is>
      </c>
      <c r="I87" s="1" t="inlineStr">
        <is>
          <t>Оборудование для урологической диагностики; Оборудование для оториноларингологической диагностики и лечения; Эндоскопы гибкие; Эндоскопические комплексы и системы; Инструменты и принадлежности для эндоскопии; Ларингоскопы</t>
        </is>
      </c>
      <c r="J87" s="1">
        <f>IFERROR(__xludf.DUMMYFUNCTION("AI(Prompt!$B$6, H89:I89)"),"Дилер")</f>
        <v/>
      </c>
      <c r="K87" s="1">
        <f>IFERROR(__xludf.DUMMYFUNCTION("AI(Prompt!$B$12, H89:J89)"),"OK")</f>
        <v/>
      </c>
      <c r="L87" s="1">
        <f>IFERROR(__xludf.DUMMYFUNCTION("AI(Prompt!$B$17, H89:I89)"),"видеоэндоскопы, эндоскопы, ларингоскопы и медицинское оборудование")</f>
        <v/>
      </c>
      <c r="M87" s="1">
        <f>IFERROR(__xludf.DUMMYFUNCTION("AI(Prompt!$B$21,A89)"),"Ситимед")</f>
        <v/>
      </c>
      <c r="N87" s="1" t="inlineStr">
        <is>
          <t>Здравоохранение-2025</t>
        </is>
      </c>
      <c r="O87" s="9" t="inlineStr">
        <is>
          <t>https://icatalog.expocentr.ru/ru/exhibitions/de590dc5-417d-11ee-80ce-a0d3c1fab97f</t>
        </is>
      </c>
    </row>
    <row r="88" ht="16" customHeight="1">
      <c r="A88" s="1" t="inlineStr">
        <is>
          <t>ЦЕНТР ПЕРИНАТАЛЬНОЙ МЕДИЦИНЫ, ООО</t>
        </is>
      </c>
      <c r="B88" s="1" t="inlineStr">
        <is>
          <t>8B100</t>
        </is>
      </c>
      <c r="C88" s="1" t="inlineStr">
        <is>
          <t>Россия</t>
        </is>
      </c>
      <c r="D88" s="1" t="inlineStr">
        <is>
          <t>Москва</t>
        </is>
      </c>
      <c r="E88" s="1" t="inlineStr">
        <is>
          <t>Россия, 105082, г. Москва, вн. тер. г. м. о. Басманный, ул. Большая Почтовая, д. 26в, стр. 2, пом. 2/1</t>
        </is>
      </c>
      <c r="F88" s="10" t="inlineStr">
        <is>
          <t>https://cpm.center</t>
        </is>
      </c>
      <c r="G88" s="1" t="inlineStr">
        <is>
          <t>cpmsveta@yandex.ru</t>
        </is>
      </c>
      <c r="H88" s="1" t="inlineStr">
        <is>
          <t>ООО «ЦПМ» предоставляет сервис и поставляет оборудование для отделений реанимации: ИВЛ HFO, реанимационные комплексы, видеоларингоскопы, компрессоры Fabian (Zoll), David Ningbо, Peak Medical, Taurus.</t>
        </is>
      </c>
      <c r="I88" s="1" t="inlineStr">
        <is>
          <t>Инкубаторы и открытые реанимационные системы; Аппараты для искусственной вентиляции легких; Оборудование для медицинских газов; Ларингоскопы; Комплекты реанимационного оборудования; Принадлежности и расходные материалы для реанимации и экстренной помощи</t>
        </is>
      </c>
      <c r="J88" s="1">
        <f>IFERROR(__xludf.DUMMYFUNCTION("AI(Prompt!$B$6, H90:I90)"),"Дилер")</f>
        <v/>
      </c>
      <c r="K88" s="1">
        <f>IFERROR(__xludf.DUMMYFUNCTION("AI(Prompt!$B$12, H90:J90)"),"OK")</f>
        <v/>
      </c>
      <c r="L88" s="1">
        <f>IFERROR(__xludf.DUMMYFUNCTION("AI(Prompt!$B$17, H90:I90)"),"аппараты ИВЛ, комплексы, инкубаторы и ларингоскопы")</f>
        <v/>
      </c>
      <c r="M88" s="1">
        <f>IFERROR(__xludf.DUMMYFUNCTION("AI(Prompt!$B$21,A90)"),"Центр Перинатальной Медицины")</f>
        <v/>
      </c>
      <c r="N88" s="1" t="inlineStr">
        <is>
          <t>Здравоохранение-2025</t>
        </is>
      </c>
      <c r="O88" s="9" t="inlineStr">
        <is>
          <t>https://icatalog.expocentr.ru/ru/exhibitions/de590dc5-417d-11ee-80ce-a0d3c1fab97f</t>
        </is>
      </c>
    </row>
    <row r="89" ht="16" customHeight="1">
      <c r="A89" s="1" t="inlineStr">
        <is>
          <t>ПАНЕП, ООО</t>
        </is>
      </c>
      <c r="B89" s="1" t="inlineStr">
        <is>
          <t>8F085</t>
        </is>
      </c>
      <c r="C89" s="1" t="inlineStr">
        <is>
          <t>Россия</t>
        </is>
      </c>
      <c r="D89" s="1" t="inlineStr">
        <is>
          <t>Ногинск</t>
        </is>
      </c>
      <c r="E89" s="1" t="inlineStr">
        <is>
          <t>Россия, 142400, Московская обл., г. Ногинск, ул. Рогожская, д. 65, комн. 15</t>
        </is>
      </c>
      <c r="F89" s="10" t="inlineStr">
        <is>
          <t>http://formed.ru</t>
        </is>
      </c>
      <c r="G89" s="1" t="inlineStr">
        <is>
          <t>panep2013@gmail.com</t>
        </is>
      </c>
      <c r="H89" s="1" t="inlineStr">
        <is>
          <t>ООО «ПАНЕП» (FORMED) осуществляет поставку и продвижение медицинского оборудования, а также имеет авторизованный сервисный центр. Продвигает инновационные медицинские технологии и методики.</t>
        </is>
      </c>
      <c r="I89" s="1" t="inlineStr">
        <is>
          <t>Приборы для исследования внешнего дыхания; Пульмонологические мониторные системы; Физиотерапия и реабилитация; Профилактическая медицина, увеличение продолжительности жизни; Аппараты для искусственной вентиляции легких; Дефибрилляторы</t>
        </is>
      </c>
      <c r="J89" s="1">
        <f>IFERROR(__xludf.DUMMYFUNCTION("AI(Prompt!$B$6, H91:I91)"),"Дилер")</f>
        <v/>
      </c>
      <c r="K89" s="1">
        <f>IFERROR(__xludf.DUMMYFUNCTION("AI(Prompt!$B$12, H91:J91)"),"OK")</f>
        <v/>
      </c>
      <c r="L89" s="1">
        <f>IFERROR(__xludf.DUMMYFUNCTION("AI(Prompt!$B$17, H91:I91)"),"приборы, системы, аппараты и дефибрилляторы")</f>
        <v/>
      </c>
      <c r="M89" s="1">
        <f>IFERROR(__xludf.DUMMYFUNCTION("AI(Prompt!$B$21,A91)"),"Панеп")</f>
        <v/>
      </c>
      <c r="N89" s="1" t="inlineStr">
        <is>
          <t>Здравоохранение-2025</t>
        </is>
      </c>
      <c r="O89" s="9" t="inlineStr">
        <is>
          <t>https://icatalog.expocentr.ru/ru/exhibitions/de590dc5-417d-11ee-80ce-a0d3c1fab97f</t>
        </is>
      </c>
    </row>
    <row r="90" ht="16" customHeight="1">
      <c r="A90" s="1" t="inlineStr">
        <is>
          <t>КОРДИСМЕД, ООО</t>
        </is>
      </c>
      <c r="B90" s="1" t="inlineStr">
        <is>
          <t>8B130</t>
        </is>
      </c>
      <c r="C90" s="1" t="inlineStr">
        <is>
          <t>Россия</t>
        </is>
      </c>
      <c r="D90" s="1" t="inlineStr">
        <is>
          <t>Москва</t>
        </is>
      </c>
      <c r="E90" s="1" t="inlineStr">
        <is>
          <t>Россия, 117105, г. Москва, 1-й Нагатинский пр-д, д. 2, стр. 34, пом. 5</t>
        </is>
      </c>
      <c r="F90" s="10" t="inlineStr">
        <is>
          <t>https://cordismed.ru</t>
        </is>
      </c>
      <c r="G90" s="1" t="inlineStr">
        <is>
          <t>sale@cordismed.ru</t>
        </is>
      </c>
      <c r="H90" s="1" t="inlineStr">
        <is>
          <t>«Кордисмед» — дистрибьютор медоборудования. Оснащаем операционные, лор- и гинекологические отделения, кабинеты эндоскопии. Поставляем медицинский свет. Работаем с ведущими клиниками. Экспертный подход.</t>
        </is>
      </c>
      <c r="I90" s="1" t="inlineStr">
        <is>
          <t>Оборудование для мониторинга функций сердечно-сосудистой системы; Мебель для гинекологии и акушерства; Фетальные мониторы; Осветительные приборы; Оборудование для оториноларингологической диагностики и лечения; Осветители хирургические</t>
        </is>
      </c>
      <c r="J90" s="1">
        <f>IFERROR(__xludf.DUMMYFUNCTION("AI(Prompt!$B$6, H92:I92)"),"Дилер")</f>
        <v/>
      </c>
      <c r="K90" s="1">
        <f>IFERROR(__xludf.DUMMYFUNCTION("AI(Prompt!$B$12, H92:J92)"),"OK")</f>
        <v/>
      </c>
      <c r="L90" s="1">
        <f>IFERROR(__xludf.DUMMYFUNCTION("AI(Prompt!$B$17, H92:I92)"),"медоборудование, мебель и осветительные приборы")</f>
        <v/>
      </c>
      <c r="M90" s="1">
        <f>IFERROR(__xludf.DUMMYFUNCTION("AI(Prompt!$B$21,A92)"),"Кордисмед")</f>
        <v/>
      </c>
      <c r="N90" s="1" t="inlineStr">
        <is>
          <t>Здравоохранение-2025</t>
        </is>
      </c>
      <c r="O90" s="9" t="inlineStr">
        <is>
          <t>https://icatalog.expocentr.ru/ru/exhibitions/de590dc5-417d-11ee-80ce-a0d3c1fab97f</t>
        </is>
      </c>
    </row>
    <row r="91" ht="16" customHeight="1">
      <c r="A91" s="1" t="inlineStr">
        <is>
          <t>ГРАНД МЕДИКАЛ ГРУПП, ООО</t>
        </is>
      </c>
      <c r="B91" s="1" t="inlineStr">
        <is>
          <t>8F080</t>
        </is>
      </c>
      <c r="C91" s="1" t="inlineStr">
        <is>
          <t>Россия</t>
        </is>
      </c>
      <c r="D91" s="1" t="inlineStr">
        <is>
          <t>Москва</t>
        </is>
      </c>
      <c r="E91" s="1" t="inlineStr">
        <is>
          <t>Россия, г. Москва, ул. Миклухо-Маклая, д. 8, стр. 3</t>
        </is>
      </c>
      <c r="F91" s="10" t="inlineStr">
        <is>
          <t>http://www.grandmedgroup.ru</t>
        </is>
      </c>
      <c r="G91" s="1" t="inlineStr">
        <is>
          <t>gklider39@mail.ru</t>
        </is>
      </c>
      <c r="H91" s="1" t="inlineStr">
        <is>
          <t>Оборудование для лечения онкологических заболеваний (ФУЗ-абляция). Диагностика: магнитно-резонансные и компьютерные томографы, маммографы, С-дуги, УЗ-сканеры, рентгены с 3D-визуализацией.</t>
        </is>
      </c>
      <c r="I91" s="1" t="inlineStr">
        <is>
          <t>Диагностическое оборудование для гинекологии; Рентгеновские диагностические установки, передвижные и стационарные; Маммографы; Ультразвуковые сканеры и диагностические системы</t>
        </is>
      </c>
      <c r="J91" s="1">
        <f>IFERROR(__xludf.DUMMYFUNCTION("AI(Prompt!$B$6, H93:I93)"),"Производитель")</f>
        <v/>
      </c>
      <c r="K91" s="1">
        <f>IFERROR(__xludf.DUMMYFUNCTION("AI(Prompt!$B$12, H93:J93)"),"OK")</f>
        <v/>
      </c>
      <c r="L91" s="1">
        <f>IFERROR(__xludf.DUMMYFUNCTION("AI(Prompt!$B$17, H93:I93)"),"томографы, маммографы и сканеры")</f>
        <v/>
      </c>
      <c r="M91" s="1">
        <f>IFERROR(__xludf.DUMMYFUNCTION("AI(Prompt!$B$21,A93)"),"Гранд Медикал Групп")</f>
        <v/>
      </c>
      <c r="N91" s="1" t="inlineStr">
        <is>
          <t>Здравоохранение-2025</t>
        </is>
      </c>
      <c r="O91" s="9" t="inlineStr">
        <is>
          <t>https://icatalog.expocentr.ru/ru/exhibitions/de590dc5-417d-11ee-80ce-a0d3c1fab97f</t>
        </is>
      </c>
    </row>
    <row r="92" ht="16" customHeight="1">
      <c r="A92" s="1" t="inlineStr">
        <is>
          <t>ЭЛЕКТРОН, НИПК, АО</t>
        </is>
      </c>
      <c r="B92" s="11" t="n">
        <v>8e+80</v>
      </c>
      <c r="C92" s="1" t="inlineStr">
        <is>
          <t>Россия</t>
        </is>
      </c>
      <c r="D92" s="1" t="inlineStr">
        <is>
          <t>Санкт-Петербург</t>
        </is>
      </c>
      <c r="E92" s="1" t="inlineStr">
        <is>
          <t>Россия, 198323, г. Санкт-Петербург, Волхонское ш., д. 4Б</t>
        </is>
      </c>
      <c r="F92" s="10" t="inlineStr">
        <is>
          <t>http://www.electronxray.com</t>
        </is>
      </c>
      <c r="G92" s="1" t="inlineStr">
        <is>
          <t>omb@electronxray.com</t>
        </is>
      </c>
      <c r="H92" s="1" t="inlineStr">
        <is>
          <t>Один из лидеров российского рынка в области разработки и производства медицинского оборудования для рентгенодиагностики, рентгенохирургии, компьютерной томографии, ядерной медицины и ультразвуковой диагностики.</t>
        </is>
      </c>
      <c r="I92" s="1" t="inlineStr">
        <is>
          <t>Диагностическое оборудование для гинекологии; Рентгеновские диагностические установки, передвижные и стационарные; Компьютерные томографы; Флюорографы; Ультразвуковые сканеры и диагностические системы</t>
        </is>
      </c>
      <c r="J92" s="1">
        <f>IFERROR(__xludf.DUMMYFUNCTION("AI(Prompt!$B$6, H94:I94)"),"Производитель")</f>
        <v/>
      </c>
      <c r="K92" s="1">
        <f>IFERROR(__xludf.DUMMYFUNCTION("AI(Prompt!$B$12, H94:J94)"),"OK")</f>
        <v/>
      </c>
      <c r="L92" s="1">
        <f>IFERROR(__xludf.DUMMYFUNCTION("AI(Prompt!$B$17, H94:I94)"),"диагностическое оборудование, томографы, флюорографы и сканеры")</f>
        <v/>
      </c>
      <c r="M92" s="1">
        <f>IFERROR(__xludf.DUMMYFUNCTION("AI(Prompt!$B$21,A94)"),"ЭЛЕКТРОН, НИПК")</f>
        <v/>
      </c>
      <c r="N92" s="1" t="inlineStr">
        <is>
          <t>Здравоохранение-2025</t>
        </is>
      </c>
      <c r="O92" s="9" t="inlineStr">
        <is>
          <t>https://icatalog.expocentr.ru/ru/exhibitions/de590dc5-417d-11ee-80ce-a0d3c1fab97f</t>
        </is>
      </c>
    </row>
    <row r="93" ht="16" customHeight="1">
      <c r="A93" s="1" t="inlineStr">
        <is>
          <t>357 ГРУПП, ООО</t>
        </is>
      </c>
      <c r="B93" s="1" t="inlineStr">
        <is>
          <t>8C120</t>
        </is>
      </c>
      <c r="C93" s="1" t="inlineStr">
        <is>
          <t>Россия</t>
        </is>
      </c>
      <c r="D93" s="1" t="inlineStr">
        <is>
          <t>Москва</t>
        </is>
      </c>
      <c r="E93" s="1" t="inlineStr">
        <is>
          <t>Россия, 117420, г. Москва, ул. Намёткина, д. 14, корп. 2</t>
        </is>
      </c>
      <c r="F93" s="10" t="inlineStr">
        <is>
          <t>http://www.357.pro</t>
        </is>
      </c>
      <c r="G93" s="1" t="inlineStr">
        <is>
          <t>info@357.pro</t>
        </is>
      </c>
      <c r="H93" s="1" t="inlineStr">
        <is>
          <t>357 GROUP — надежный поставщик медицинского оборудования: кольпоскопов, стерилизаторов, компрессоров, бестеневых светильников, мебели, микроскопов, оборудования для реанимации, анестезиологии и т. д.</t>
        </is>
      </c>
      <c r="I93" s="1" t="inlineStr">
        <is>
          <t>Диагностическое оборудование для гинекологии; Стоматологическое оборудование и инструменты; Мебель для стоматологических кабинетов; Оборудование для цифровой стоматологии; Стоматологическая рентгенодиагностическая аппаратура; Оборудование для стерилизации</t>
        </is>
      </c>
      <c r="J93" s="1">
        <f>IFERROR(__xludf.DUMMYFUNCTION("AI(Prompt!$B$6, H95:I95)"),"Дилер")</f>
        <v/>
      </c>
      <c r="K93" s="1">
        <f>IFERROR(__xludf.DUMMYFUNCTION("AI(Prompt!$B$12, H95:J95)"),"OK")</f>
        <v/>
      </c>
      <c r="L93" s="1">
        <f>IFERROR(__xludf.DUMMYFUNCTION("AI(Prompt!$B$17, H95:I95)"),"кольпоскопы, стерилизаторы, компрессоры, светильники и мебель")</f>
        <v/>
      </c>
      <c r="M93" s="1">
        <f>IFERROR(__xludf.DUMMYFUNCTION("AI(Prompt!$B$21,A95)"),"357 ГРУПП")</f>
        <v/>
      </c>
      <c r="N93" s="1" t="inlineStr">
        <is>
          <t>Здравоохранение-2025</t>
        </is>
      </c>
      <c r="O93" s="9" t="inlineStr">
        <is>
          <t>https://icatalog.expocentr.ru/ru/exhibitions/de590dc5-417d-11ee-80ce-a0d3c1fab97f</t>
        </is>
      </c>
    </row>
    <row r="94" ht="16" customHeight="1">
      <c r="A94" s="1" t="inlineStr">
        <is>
          <t>ПАРИТЕТ, ГРУППА КОМПАНИЙ, ООО</t>
        </is>
      </c>
      <c r="B94" s="1" t="inlineStr">
        <is>
          <t>8B010</t>
        </is>
      </c>
      <c r="C94" s="1" t="inlineStr">
        <is>
          <t>Россия</t>
        </is>
      </c>
      <c r="D94" s="1" t="inlineStr">
        <is>
          <t>Москва</t>
        </is>
      </c>
      <c r="E94" s="1" t="inlineStr">
        <is>
          <t>Россия, 127018, г. Москва, 3-й пр-д Марьиной Рощи, д. 40, стр. 1</t>
        </is>
      </c>
      <c r="F94" s="10" t="inlineStr">
        <is>
          <t>http://www.paritet-moscow.ru</t>
        </is>
      </c>
      <c r="G94" s="1" t="inlineStr">
        <is>
          <t>zakaz10@paritet-moscow.ru</t>
        </is>
      </c>
      <c r="H94" s="1" t="inlineStr">
        <is>
          <t>ГК «Паритет» имеет представительства в 11 городах и занимается активным развитием партнерской сети, успешно реализуя проекты в области медицинского оборудования и расходных материалов по всей территории РФ.</t>
        </is>
      </c>
      <c r="I94" s="1" t="inlineStr">
        <is>
          <t>Рентгеновские диагностические установки, передвижные и стационарные; Ультразвуковые сканеры и диагностические системы; Лабораторное оборудование; Эндоскопические комплексы и системы; Комплекты реанимационного оборудования; Хирургическое оборудование</t>
        </is>
      </c>
      <c r="J94" s="1">
        <f>IFERROR(__xludf.DUMMYFUNCTION("AI(Prompt!$B$6, H96:I96)"),"Дилер")</f>
        <v/>
      </c>
      <c r="K94" s="1">
        <f>IFERROR(__xludf.DUMMYFUNCTION("AI(Prompt!$B$12, H96:J96)"),"OK")</f>
        <v/>
      </c>
      <c r="L94" s="1">
        <f>IFERROR(__xludf.DUMMYFUNCTION("AI(Prompt!$B$17, H96:I96)"),"рентгеновские установки, ультразвуковые сканеры, лабораторное, эндоскопическое и хирургическое оборудование")</f>
        <v/>
      </c>
      <c r="M94" s="1">
        <f>IFERROR(__xludf.DUMMYFUNCTION("AI(Prompt!$B$21,A96)"),"Паритет, Группа Компаний")</f>
        <v/>
      </c>
      <c r="N94" s="1" t="inlineStr">
        <is>
          <t>Здравоохранение-2025</t>
        </is>
      </c>
      <c r="O94" s="9" t="inlineStr">
        <is>
          <t>https://icatalog.expocentr.ru/ru/exhibitions/de590dc5-417d-11ee-80ce-a0d3c1fab97f</t>
        </is>
      </c>
    </row>
    <row r="95" ht="16" customHeight="1">
      <c r="A95" s="1" t="inlineStr">
        <is>
          <t>МОНИТОР, НПП, OOO</t>
        </is>
      </c>
      <c r="B95" s="1" t="inlineStr">
        <is>
          <t>8A060</t>
        </is>
      </c>
      <c r="C95" s="1" t="inlineStr">
        <is>
          <t>Россия</t>
        </is>
      </c>
      <c r="D95" s="1" t="inlineStr">
        <is>
          <t>Ростов-на-Дону</t>
        </is>
      </c>
      <c r="E95" s="1" t="inlineStr">
        <is>
          <t>Россия, 344068, г. Ростов-на-Дону, ул. Краснокурсантская, д. 104а</t>
        </is>
      </c>
      <c r="F95" s="10" t="inlineStr">
        <is>
          <t>http://www.monitor-ltd.ru</t>
        </is>
      </c>
      <c r="G95" s="1" t="inlineStr">
        <is>
          <t>mon@monitor-ltd.ru</t>
        </is>
      </c>
      <c r="H95" s="1" t="inlineStr">
        <is>
          <t>ООО «НПП «МОНИТОР» — ведущая компания в РФ по производству медицинского диагностическогооборудования и программного обеспечения собственного производства.</t>
        </is>
      </c>
      <c r="I95" s="1" t="inlineStr">
        <is>
          <t>Приборы и принадлежности для кардиографических исследований; Системы мониторирования ЭКГ и АД; Приборы для исследования внешнего дыхания; Мониторы пациента</t>
        </is>
      </c>
      <c r="J95" s="1">
        <f>IFERROR(__xludf.DUMMYFUNCTION("AI(Prompt!$B$6, H97:I97)"),"Производитель")</f>
        <v/>
      </c>
      <c r="K95" s="1">
        <f>IFERROR(__xludf.DUMMYFUNCTION("AI(Prompt!$B$12, H97:J97)"),"OK")</f>
        <v/>
      </c>
      <c r="L95" s="1">
        <f>IFERROR(__xludf.DUMMYFUNCTION("AI(Prompt!$B$17, H97:I97)"),"диагностическое оборудование, приборы, мониторы и принадлежности")</f>
        <v/>
      </c>
      <c r="M95" s="1">
        <f>IFERROR(__xludf.DUMMYFUNCTION("AI(Prompt!$B$21,A97)"),"Монитор, НПП")</f>
        <v/>
      </c>
      <c r="N95" s="1" t="inlineStr">
        <is>
          <t>Здравоохранение-2025</t>
        </is>
      </c>
      <c r="O95" s="9" t="inlineStr">
        <is>
          <t>https://icatalog.expocentr.ru/ru/exhibitions/de590dc5-417d-11ee-80ce-a0d3c1fab97f</t>
        </is>
      </c>
    </row>
    <row r="96" ht="16" customHeight="1">
      <c r="A96" s="1" t="inlineStr">
        <is>
          <t>МедАльянс®</t>
        </is>
      </c>
      <c r="B96" s="11" t="n">
        <v>8.000000000000001e+128</v>
      </c>
      <c r="C96" s="1" t="inlineStr">
        <is>
          <t>Россия</t>
        </is>
      </c>
      <c r="D96" s="1" t="inlineStr">
        <is>
          <t>Москва</t>
        </is>
      </c>
      <c r="E96" s="1" t="inlineStr">
        <is>
          <t>Россия, 117638, г. Москва, ул. Одесская, д. 2, бизнес-центр «Лотос»</t>
        </is>
      </c>
      <c r="F96" s="10" t="inlineStr">
        <is>
          <t>https://medal.group</t>
        </is>
      </c>
      <c r="G96" s="1" t="inlineStr">
        <is>
          <t>info@medal.group</t>
        </is>
      </c>
      <c r="H96" s="1" t="inlineStr">
        <is>
          <t>«МедАльянс®» – авторизованный сервисный и бизнес-партнер зарубежных и отечественных производителей медицинского оборудования, специализирующийся на комплексном оснащении под ключ лечебных учреждений.</t>
        </is>
      </c>
      <c r="I96" s="1" t="inlineStr">
        <is>
          <t>Аналитика рынка, консалтинг; Проектирование, производство, монтаж, валидация чистых операционных и реанимационных; Проектирование и оснащение медицинских учреждений под ключ; Медицинский инжиниринг; Поставка медицинского оборудования и расходных материалов; Юридическое сопровождение медицинских организаций</t>
        </is>
      </c>
      <c r="J96" s="1">
        <f>IFERROR(__xludf.DUMMYFUNCTION("AI(Prompt!$B$6, H98:I98)"),"Дилер")</f>
        <v/>
      </c>
      <c r="K96" s="1">
        <f>IFERROR(__xludf.DUMMYFUNCTION("AI(Prompt!$B$12, H98:J98)"),"OK")</f>
        <v/>
      </c>
      <c r="L96" s="1">
        <f>IFERROR(__xludf.DUMMYFUNCTION("AI(Prompt!$B$17, H98:I98)"),"медицинское оборудование и расходные материалы")</f>
        <v/>
      </c>
      <c r="M96" s="1">
        <f>IFERROR(__xludf.DUMMYFUNCTION("AI(Prompt!$B$21,A98)"),"Медальянс")</f>
        <v/>
      </c>
      <c r="N96" s="1" t="inlineStr">
        <is>
          <t>Здравоохранение-2025</t>
        </is>
      </c>
      <c r="O96" s="9" t="inlineStr">
        <is>
          <t>https://icatalog.expocentr.ru/ru/exhibitions/de590dc5-417d-11ee-80ce-a0d3c1fab97f</t>
        </is>
      </c>
    </row>
    <row r="97" ht="16" customHeight="1">
      <c r="A97" s="1" t="inlineStr">
        <is>
          <t>БИМК КАРДИО ВОЛГА</t>
        </is>
      </c>
      <c r="B97" s="11" t="n">
        <v>8e+60</v>
      </c>
      <c r="C97" s="1" t="inlineStr">
        <is>
          <t>Россия</t>
        </is>
      </c>
      <c r="D97" s="1" t="inlineStr">
        <is>
          <t>Москва</t>
        </is>
      </c>
      <c r="E97" s="1" t="inlineStr">
        <is>
          <t>Россия, 109044, г. Москва, 4-й Крутицкий пер., д. 14</t>
        </is>
      </c>
      <c r="F97" s="10" t="inlineStr">
        <is>
          <t>http://www.bimcvol.ru</t>
        </is>
      </c>
      <c r="G97" s="1" t="inlineStr">
        <is>
          <t>info@bimcvol.ru</t>
        </is>
      </c>
      <c r="H97" s="1" t="inlineStr">
        <is>
          <t>Официальный дистрибьютор ведущих производителей медицинского оборудования: Philips Healthcare, Olympus Medical Systems, GE Healthcare, Accuray, «Мед Теко». Компания предлагает широкий спектр современного высокотехнологичного медицинского оборудования по наиболее привлекательным ценам, в том числе комплексное инженерно-техническое проектирование и оснащение лечебных учреждений, гарантийный и постгарантийный сервис. Глубокие экспертные знания и многолетний опыт лежат в основе ежедневной эффективной работы компании «БИМК Кардио Волга». Высококвалифицированные специалисты проконсультируют вас и сформируют выгодное предложение, возьмут на себя решение всех вопросов по доставке, установке и сервисному обслуживанию и, что самое главное, обучат врачей работать на новейшем оборудовании.</t>
        </is>
      </c>
      <c r="I97" s="1" t="inlineStr">
        <is>
          <t>Проектирование и оснащение медицинских учреждений под ключ; Рентгеновские диагностические установки, передвижные и стационарные; Компьютерные томографы; ПЭТ; Маммографы; Флюорографы; Магнитно-резонансные томографы; Ультразвуковые сканеры и диагностические системы; Приборы и аппараты для радиоизотопной диагностики; Эндоскопы жесткие; Эндоскопы гибкие; Эндоскопические комплексы и системы; Оборудование и средства для лапароскопии; Инструменты и принадлежности для эндоскопии</t>
        </is>
      </c>
      <c r="J97" s="1">
        <f>IFERROR(__xludf.DUMMYFUNCTION("AI(Prompt!$B$6, H99:I99)"),"Дилер")</f>
        <v/>
      </c>
      <c r="K97" s="1">
        <f>IFERROR(__xludf.DUMMYFUNCTION("AI(Prompt!$B$12, H99:J99)"),"OK")</f>
        <v/>
      </c>
      <c r="L97" s="1">
        <f>IFERROR(__xludf.DUMMYFUNCTION("AI(Prompt!$B$17, H99:I99)"),"томографы, сканеры, эндоскопы и аппараты")</f>
        <v/>
      </c>
      <c r="M97" s="1">
        <f>IFERROR(__xludf.DUMMYFUNCTION("AI(Prompt!$B$21,A99)"),"Бимк Кардио Волга")</f>
        <v/>
      </c>
      <c r="N97" s="1" t="inlineStr">
        <is>
          <t>Здравоохранение-2025</t>
        </is>
      </c>
      <c r="O97" s="9" t="inlineStr">
        <is>
          <t>https://icatalog.expocentr.ru/ru/exhibitions/de590dc5-417d-11ee-80ce-a0d3c1fab97f</t>
        </is>
      </c>
    </row>
    <row r="98" ht="16" customHeight="1">
      <c r="A98" s="1" t="inlineStr">
        <is>
          <t>МЕДТЕХНИКА, ООО</t>
        </is>
      </c>
      <c r="B98" s="1" t="inlineStr">
        <is>
          <t>8C100</t>
        </is>
      </c>
      <c r="C98" s="1" t="inlineStr">
        <is>
          <t>Россия</t>
        </is>
      </c>
      <c r="D98" s="1" t="inlineStr">
        <is>
          <t>Москва</t>
        </is>
      </c>
      <c r="E98" s="1" t="inlineStr">
        <is>
          <t>Россия, г. Москва, Ленинградский просп., д. 35</t>
        </is>
      </c>
      <c r="F98" s="10" t="inlineStr">
        <is>
          <t>http://endomedi.ru</t>
        </is>
      </c>
      <c r="G98" s="1" t="inlineStr">
        <is>
          <t>info@mdt-mdt.ru</t>
        </is>
      </c>
      <c r="H98" s="1" t="inlineStr">
        <is>
          <t>Ремонт, продажа и обслуживание эндоскопического оборудования Olympus, Pentax, Fujinon, Mindsion.</t>
        </is>
      </c>
      <c r="I98" s="1" t="inlineStr">
        <is>
          <t>Эндоскопы жесткие; Эндоскопы гибкие; Эндоскопические комплексы и системы; Оборудование и средства для лапароскопии; Инструменты и принадлежности для эндоскопии</t>
        </is>
      </c>
      <c r="J98" s="1">
        <f>IFERROR(__xludf.DUMMYFUNCTION("AI(Prompt!$B$6, H101:I101)"),"Дилер")</f>
        <v/>
      </c>
      <c r="K98" s="1">
        <f>IFERROR(__xludf.DUMMYFUNCTION("AI(Prompt!$B$12, H101:J101)"),"OK")</f>
        <v/>
      </c>
      <c r="L98" s="1">
        <f>IFERROR(__xludf.DUMMYFUNCTION("AI(Prompt!$B$17, H101:I101)"),"эндоскопы, комплексы, средства и инструменты")</f>
        <v/>
      </c>
      <c r="M98" s="1">
        <f>IFERROR(__xludf.DUMMYFUNCTION("AI(Prompt!$B$21,A101)"),"Медтехника")</f>
        <v/>
      </c>
      <c r="N98" s="1" t="inlineStr">
        <is>
          <t>Здравоохранение-2025</t>
        </is>
      </c>
      <c r="O98" s="9" t="inlineStr">
        <is>
          <t>https://icatalog.expocentr.ru/ru/exhibitions/de590dc5-417d-11ee-80ce-a0d3c1fab97f</t>
        </is>
      </c>
    </row>
    <row r="99" ht="16" customHeight="1">
      <c r="A99" s="1" t="inlineStr">
        <is>
          <t>МЕДТЕХ.РУ</t>
        </is>
      </c>
      <c r="B99" s="1" t="inlineStr">
        <is>
          <t>8G010</t>
        </is>
      </c>
      <c r="C99" s="1" t="inlineStr">
        <is>
          <t>Россия</t>
        </is>
      </c>
      <c r="E99" s="1" t="inlineStr">
        <is>
          <t>Россия</t>
        </is>
      </c>
      <c r="F99" s="10" t="inlineStr">
        <is>
          <t>https://medteh.ru</t>
        </is>
      </c>
      <c r="G99" s="1" t="inlineStr">
        <is>
          <t>info@medteh.ru</t>
        </is>
      </c>
      <c r="H99" s="1" t="inlineStr">
        <is>
          <t>Маркетплейс медицинского оборудования. Стоматологическое рентгеновское оборудование.</t>
        </is>
      </c>
      <c r="I99" s="1" t="inlineStr">
        <is>
          <t>Мебель для стоматологических кабинетов; Стоматологическая рентгенодиагностическая аппаратура; Рентгеновские диагностические установки, передвижные и стационарные; Средства защиты от рентгеновских лучей; Вспомогательное оборудование; Ультразвуковые сканеры и диагностические системы</t>
        </is>
      </c>
      <c r="J99" s="1">
        <f>IFERROR(__xludf.DUMMYFUNCTION("AI(Prompt!$B$6, H102:I102)"),"Дилер")</f>
        <v/>
      </c>
      <c r="K99" s="1">
        <f>IFERROR(__xludf.DUMMYFUNCTION("AI(Prompt!$B$12, H102:J102)"),"OK")</f>
        <v/>
      </c>
      <c r="L99" s="1">
        <f>IFERROR(__xludf.DUMMYFUNCTION("AI(Prompt!$B$17, H102:I102)"),"мебель, аппаратура, установки и сканеры")</f>
        <v/>
      </c>
      <c r="M99" s="1">
        <f>IFERROR(__xludf.DUMMYFUNCTION("AI(Prompt!$B$21,A102)"),"Медтех")</f>
        <v/>
      </c>
      <c r="N99" s="1" t="inlineStr">
        <is>
          <t>Здравоохранение-2025</t>
        </is>
      </c>
      <c r="O99" s="9" t="inlineStr">
        <is>
          <t>https://icatalog.expocentr.ru/ru/exhibitions/de590dc5-417d-11ee-80ce-a0d3c1fab97f</t>
        </is>
      </c>
    </row>
    <row r="100" ht="16" customHeight="1">
      <c r="A100" s="1" t="inlineStr">
        <is>
          <t>ИНФОМЕД, ООО</t>
        </is>
      </c>
      <c r="B100" s="1" t="inlineStr">
        <is>
          <t>8B092</t>
        </is>
      </c>
      <c r="C100" s="1" t="inlineStr">
        <is>
          <t>Россия</t>
        </is>
      </c>
      <c r="D100" s="1" t="inlineStr">
        <is>
          <t>Москва</t>
        </is>
      </c>
      <c r="E100" s="1" t="inlineStr">
        <is>
          <t>Россия, 109444, г. Москва, ул. Ферганская, д. 8а, этаж 4, комн. 8, 9, 10</t>
        </is>
      </c>
      <c r="F100" s="10" t="inlineStr">
        <is>
          <t>http://www.infomed.com.ru</t>
        </is>
      </c>
      <c r="G100" s="1" t="inlineStr">
        <is>
          <t>zakaz@infomed.com.ru</t>
        </is>
      </c>
      <c r="H100" s="1" t="inlineStr">
        <is>
          <t>«Инфомед» – эксклюзивный дистрибьютор в РФ таких производителей, как Bedfont, Magventure, EBNeuro, MMS, Jinshan, SEESHEEN, MTR+, g.tec, Mcube, Fiegert, Localite, Verity Medical. 29 лет на рынке.</t>
        </is>
      </c>
      <c r="I100" s="1" t="inlineStr">
        <is>
          <t>Нейрофизиологическое оборудование; Пульмонологические мониторные системы; Приборы для оценки функции ЖКТ; Оборудование для урологической диагностики; Оборудование для магнитотерапии; Эндоскопы гибкие</t>
        </is>
      </c>
      <c r="J100" s="1">
        <f>IFERROR(__xludf.DUMMYFUNCTION("AI(Prompt!$B$6, H103:I103)"),"Дилер")</f>
        <v/>
      </c>
      <c r="K100" s="1">
        <f>IFERROR(__xludf.DUMMYFUNCTION("AI(Prompt!$B$12, H103:J103)"),"OK")</f>
        <v/>
      </c>
      <c r="L100" s="1">
        <f>IFERROR(__xludf.DUMMYFUNCTION("AI(Prompt!$B$17, H103:I103)"),"оборудование, системы, приборы и эндоскопы")</f>
        <v/>
      </c>
      <c r="M100" s="1">
        <f>IFERROR(__xludf.DUMMYFUNCTION("AI(Prompt!$B$21,A103)"),"Инфомед")</f>
        <v/>
      </c>
      <c r="N100" s="1" t="inlineStr">
        <is>
          <t>Здравоохранение-2025</t>
        </is>
      </c>
      <c r="O100" s="9" t="inlineStr">
        <is>
          <t>https://icatalog.expocentr.ru/ru/exhibitions/de590dc5-417d-11ee-80ce-a0d3c1fab97f</t>
        </is>
      </c>
    </row>
    <row r="101" ht="16" customHeight="1">
      <c r="A101" s="1" t="inlineStr">
        <is>
          <t>ГОЛДЕН МЕДИКАЛ ГРУПП</t>
        </is>
      </c>
      <c r="B101" s="1" t="inlineStr">
        <is>
          <t>8B145</t>
        </is>
      </c>
      <c r="C101" s="1" t="inlineStr">
        <is>
          <t>Россия</t>
        </is>
      </c>
      <c r="D101" s="1" t="inlineStr">
        <is>
          <t>Санкт-Петербург</t>
        </is>
      </c>
      <c r="E101" s="1" t="inlineStr">
        <is>
          <t>Россия, 199004, г. Санкт-Петербург, 6-я линия В. О., д. 23, литера А, этаж 3, пом. 15-Н, оф. 5</t>
        </is>
      </c>
      <c r="F101" s="10" t="inlineStr">
        <is>
          <t>http://gmgrus.ru</t>
        </is>
      </c>
      <c r="G101" s="1" t="inlineStr">
        <is>
          <t>gmgrus@bk.ru</t>
        </is>
      </c>
      <c r="H101" s="1" t="inlineStr">
        <is>
          <t>Импортер инновационных беспроводных УЗ-сканеров Apache. Компактные решения для диагностики, подключаемые к телефону или планшету. Быстрое внедрение оборудования.Полная сервисная поддержка.</t>
        </is>
      </c>
      <c r="I101" s="1" t="inlineStr">
        <is>
          <t>Ультразвуковые сканеры и диагностические системы</t>
        </is>
      </c>
      <c r="J101" s="1">
        <f>IFERROR(__xludf.DUMMYFUNCTION("AI(Prompt!$B$6, H104:I104)"),"Дилер")</f>
        <v/>
      </c>
      <c r="K101" s="1">
        <f>IFERROR(__xludf.DUMMYFUNCTION("AI(Prompt!$B$12, H104:J104)"),"OK")</f>
        <v/>
      </c>
      <c r="L101" s="1">
        <f>IFERROR(__xludf.DUMMYFUNCTION("AI(Prompt!$B$17, H104:I104)"),"ультразвуковые сканеры и диагностические системы")</f>
        <v/>
      </c>
      <c r="M101" s="1">
        <f>IFERROR(__xludf.DUMMYFUNCTION("AI(Prompt!$B$21,A104)"),"Голден Медикал Групп")</f>
        <v/>
      </c>
      <c r="N101" s="1" t="inlineStr">
        <is>
          <t>Здравоохранение-2025</t>
        </is>
      </c>
      <c r="O101" s="9" t="inlineStr">
        <is>
          <t>https://icatalog.expocentr.ru/ru/exhibitions/de590dc5-417d-11ee-80ce-a0d3c1fab97f</t>
        </is>
      </c>
    </row>
    <row r="102" ht="16" customHeight="1">
      <c r="A102" s="1" t="inlineStr">
        <is>
          <t>ФАРМСТЕР, ООО</t>
        </is>
      </c>
      <c r="B102" s="1" t="inlineStr">
        <is>
          <t>8C070</t>
        </is>
      </c>
      <c r="C102" s="1" t="inlineStr">
        <is>
          <t>Россия</t>
        </is>
      </c>
      <c r="D102" s="1" t="inlineStr">
        <is>
          <t>Москва</t>
        </is>
      </c>
      <c r="E102" s="1" t="inlineStr">
        <is>
          <t>Россия, 119334, г. Москва, Ленинский просп., д. 41/2</t>
        </is>
      </c>
      <c r="F102" s="10" t="inlineStr">
        <is>
          <t>http://www.pharmster.com</t>
        </is>
      </c>
      <c r="G102" s="1" t="inlineStr">
        <is>
          <t>info@pharmster.com</t>
        </is>
      </c>
      <c r="H102" s="1" t="inlineStr">
        <is>
          <t>«Фармстер» — проектно-инжиниринговая компания, один из лидеров российского медицинского рынка; основана в 1989 году. Собственное производство медицинских изделий, проектирование, комплексное оснащение, поставка оборудования и сервисное обслуживание.</t>
        </is>
      </c>
      <c r="I102" s="1" t="inlineStr">
        <is>
          <t>Оборудование и средства борьбы с внутрибольничной инфекцией; Оборудование для дезинфекции; Оборудование для стерилизации; Средства контроля стерилизации; Средства для чистки и детергенты; Производство медицинских изделий</t>
        </is>
      </c>
      <c r="J102" s="1">
        <f>IFERROR(__xludf.DUMMYFUNCTION("AI(Prompt!$B$6, H105:I105)"),"Производитель")</f>
        <v/>
      </c>
      <c r="K102" s="1">
        <f>IFERROR(__xludf.DUMMYFUNCTION("AI(Prompt!$B$12, H105:J105)"),"OK")</f>
        <v/>
      </c>
      <c r="L102" s="1">
        <f>IFERROR(__xludf.DUMMYFUNCTION("AI(Prompt!$B$17, H105:I105)"),"медицинские изделия, оборудование, средства контроля, средства для чистки и детергенты")</f>
        <v/>
      </c>
      <c r="M102" s="1">
        <f>IFERROR(__xludf.DUMMYFUNCTION("AI(Prompt!$B$21,A105)"),"Фармстер")</f>
        <v/>
      </c>
      <c r="N102" s="1" t="inlineStr">
        <is>
          <t>Здравоохранение-2025</t>
        </is>
      </c>
      <c r="O102" s="9" t="inlineStr">
        <is>
          <t>https://icatalog.expocentr.ru/ru/exhibitions/de590dc5-417d-11ee-80ce-a0d3c1fab97f</t>
        </is>
      </c>
    </row>
    <row r="103" ht="16" customHeight="1">
      <c r="A103" s="1" t="inlineStr">
        <is>
          <t>ДИАГНОСТИЧЕСКИЕ МЕДИЦИНСКИЕ СИСТЕМЫ, ООО</t>
        </is>
      </c>
      <c r="B103" s="1" t="inlineStr">
        <is>
          <t>8F080</t>
        </is>
      </c>
      <c r="C103" s="1" t="inlineStr">
        <is>
          <t>Россия</t>
        </is>
      </c>
      <c r="D103" s="1" t="inlineStr">
        <is>
          <t>Москва</t>
        </is>
      </c>
      <c r="E103" s="1" t="inlineStr">
        <is>
          <t>Россия, 117495, г. Москва, ул. Миклухо-Маклая, д. 8, стр. 3, оф. 101В</t>
        </is>
      </c>
      <c r="F103" s="1" t="inlineStr">
        <is>
          <t>http://всетомографы.рф</t>
        </is>
      </c>
      <c r="G103" s="1" t="inlineStr">
        <is>
          <t>all-tomografs@mail.ru</t>
        </is>
      </c>
      <c r="H103" s="1" t="inlineStr">
        <is>
          <t>Поставка мобильных медицинских комплексов от производителя, в т. ч. флюоромобилей, медприцепов. Мобильная cтоматология, УЗИ, рентген, маммографы, аппараты КТ, МРТ, С-дуга. Новые, восстановленные и б/у, поставка в лизинг.</t>
        </is>
      </c>
      <c r="I103" s="1" t="inlineStr">
        <is>
          <t>Рентгеновские диагностические установки, передвижные и стационарные; Компьютерные томографы; Маммографы; Флюорографы; Магнитно-резонансные томографы; Ультразвуковые сканеры и диагностические системы</t>
        </is>
      </c>
      <c r="J103" s="1">
        <f>IFERROR(__xludf.DUMMYFUNCTION("AI(Prompt!$B$6, H106:I106)"),"Дилер")</f>
        <v/>
      </c>
      <c r="K103" s="1">
        <f>IFERROR(__xludf.DUMMYFUNCTION("AI(Prompt!$B$12, H106:J106)"),"OK")</f>
        <v/>
      </c>
      <c r="L103" s="1">
        <f>IFERROR(__xludf.DUMMYFUNCTION("AI(Prompt!$B$17, H106:I106)"),"мобильные комплексы, томографы, маммографы, флюорографы и сканеры")</f>
        <v/>
      </c>
      <c r="M103" s="1">
        <f>IFERROR(__xludf.DUMMYFUNCTION("AI(Prompt!$B$21,A106)"),"Диагностические Системы")</f>
        <v/>
      </c>
      <c r="N103" s="1" t="inlineStr">
        <is>
          <t>Здравоохранение-2025</t>
        </is>
      </c>
      <c r="O103" s="9" t="inlineStr">
        <is>
          <t>https://icatalog.expocentr.ru/ru/exhibitions/de590dc5-417d-11ee-80ce-a0d3c1fab97f</t>
        </is>
      </c>
    </row>
    <row r="104" ht="16" customHeight="1">
      <c r="A104" s="1" t="inlineStr">
        <is>
          <t>АВТОДОМ, ООО</t>
        </is>
      </c>
      <c r="B104" s="1" t="inlineStr">
        <is>
          <t>8D150</t>
        </is>
      </c>
      <c r="C104" s="1" t="inlineStr">
        <is>
          <t>Россия</t>
        </is>
      </c>
      <c r="D104" s="1" t="inlineStr">
        <is>
          <t>Ульяновск</t>
        </is>
      </c>
      <c r="E104" s="1" t="inlineStr">
        <is>
          <t>Россия, 432045, г. Ульяновск, Московское ш., д. 8, оф. 20</t>
        </is>
      </c>
      <c r="F104" s="10" t="inlineStr">
        <is>
          <t>http://www.avtodom73.ru</t>
        </is>
      </c>
      <c r="G104" s="1" t="inlineStr">
        <is>
          <t>avtodom2000@list.ru</t>
        </is>
      </c>
      <c r="H104" s="1" t="inlineStr">
        <is>
          <t>Производство автомобилей скорой медицинской помощи (АСМП) классов А, В, С на базе УАЗ, УАЗ Профи, Sollers Atlant с комплектацией медицинским оборудованием по Приказу № 388н.</t>
        </is>
      </c>
      <c r="I104" s="1" t="inlineStr">
        <is>
          <t>Транспортные средства, в том числе транспортные самолеты; Средства для оказания экстренной медицинской помощи</t>
        </is>
      </c>
      <c r="J104" s="1">
        <f>IFERROR(__xludf.DUMMYFUNCTION("AI(Prompt!$B$6, H107:I107)"),"Производитель")</f>
        <v/>
      </c>
      <c r="K104" s="1">
        <f>IFERROR(__xludf.DUMMYFUNCTION("AI(Prompt!$B$12, H107:J107)"),"OK")</f>
        <v/>
      </c>
      <c r="L104" s="1">
        <f>IFERROR(__xludf.DUMMYFUNCTION("AI(Prompt!$B$17, H107:I107)"),"транспортные средства и медицинское оборудование")</f>
        <v/>
      </c>
      <c r="M104" s="1">
        <f>IFERROR(__xludf.DUMMYFUNCTION("AI(Prompt!$B$21,A107)"),"Автодом")</f>
        <v/>
      </c>
      <c r="N104" s="1" t="inlineStr">
        <is>
          <t>Здравоохранение-2025</t>
        </is>
      </c>
      <c r="O104" s="9" t="inlineStr">
        <is>
          <t>https://icatalog.expocentr.ru/ru/exhibitions/de590dc5-417d-11ee-80ce-a0d3c1fab97f</t>
        </is>
      </c>
    </row>
    <row r="105" ht="16" customHeight="1">
      <c r="A105" s="1" t="inlineStr">
        <is>
          <t>KT Medical</t>
        </is>
      </c>
      <c r="B105" s="1" t="inlineStr">
        <is>
          <t>8H010</t>
        </is>
      </c>
      <c r="C105" s="1" t="inlineStr">
        <is>
          <t>Россия</t>
        </is>
      </c>
      <c r="D105" s="1" t="inlineStr">
        <is>
          <t>Москва</t>
        </is>
      </c>
      <c r="E105" s="1" t="inlineStr">
        <is>
          <t>Россия, 121354, г. Москва, ул. Дорогобужская, д. 14, стр. 6</t>
        </is>
      </c>
      <c r="G105" s="1" t="inlineStr">
        <is>
          <t>sale@alpharma-dental.ru</t>
        </is>
      </c>
      <c r="H105" s="1" t="inlineStr">
        <is>
          <t>Компания является прямым поставщиком диагностического оборудования New Tom (Cefla, Италия). На нашем стенде представлены компьютерные томографы общемедицинские и стоматологические.</t>
        </is>
      </c>
      <c r="I105" s="1" t="inlineStr">
        <is>
          <t>Стоматологическая рентгенодиагностическая аппаратура; Рентгеновские диагностические установки, передвижные и стационарные; Компьютерные томографы</t>
        </is>
      </c>
      <c r="J105" s="1">
        <f>IFERROR(__xludf.DUMMYFUNCTION("AI(Prompt!$B$6, H108:I108)"),"Дилер")</f>
        <v/>
      </c>
      <c r="K105" s="1">
        <f>IFERROR(__xludf.DUMMYFUNCTION("AI(Prompt!$B$12, H108:J108)"),"OK")</f>
        <v/>
      </c>
      <c r="L105" s="1">
        <f>IFERROR(__xludf.DUMMYFUNCTION("AI(Prompt!$B$17, H108:I108)"),"томографы, диагностическая аппаратура, рентгеновские установки")</f>
        <v/>
      </c>
      <c r="M105" s="1">
        <f>IFERROR(__xludf.DUMMYFUNCTION("AI(Prompt!$B$21,A108)"),"KT Medical")</f>
        <v/>
      </c>
      <c r="N105" s="1" t="inlineStr">
        <is>
          <t>Здравоохранение-2025</t>
        </is>
      </c>
      <c r="O105" s="9" t="inlineStr">
        <is>
          <t>https://icatalog.expocentr.ru/ru/exhibitions/de590dc5-417d-11ee-80ce-a0d3c1fab97f</t>
        </is>
      </c>
    </row>
    <row r="106" ht="16" customHeight="1">
      <c r="A106" s="1" t="inlineStr">
        <is>
          <t>ЭНДОВИДЕО ГРУППА</t>
        </is>
      </c>
      <c r="B106" s="1" t="inlineStr">
        <is>
          <t>8H112</t>
        </is>
      </c>
      <c r="C106" s="1" t="inlineStr">
        <is>
          <t>Россия</t>
        </is>
      </c>
      <c r="D106" s="1" t="inlineStr">
        <is>
          <t>Воронеж</t>
        </is>
      </c>
      <c r="E106" s="1" t="inlineStr">
        <is>
          <t>Россия, 394042, г. Воронеж, ул. Димитрова, д. 27, пом. 1</t>
        </is>
      </c>
      <c r="F106" s="10" t="inlineStr">
        <is>
          <t>http://www.endo.video</t>
        </is>
      </c>
      <c r="G106" s="1" t="inlineStr">
        <is>
          <t>info@endo.video</t>
        </is>
      </c>
      <c r="H106" s="1" t="inlineStr">
        <is>
          <t>На протяжении 20 лет компания занимается поставками медицинского оборудования по таким направлениям, как эндоскопия, хирургия, офтальмология, функциональная диагностика и пр. Имеет лицензию на техобслуживание.</t>
        </is>
      </c>
      <c r="I106" s="1" t="inlineStr">
        <is>
          <t>Оборудование для мониторинга функций сердечно-сосудистой системы; Эндоскопические комплексы и системы; Операционные столы; Электрохирургические аппараты; Ультразвуковые хирургические аппараты; Лазерные  хирургические аппараты</t>
        </is>
      </c>
      <c r="J106" s="1">
        <f>IFERROR(__xludf.DUMMYFUNCTION("AI(Prompt!$B$6, H109:I109)"),"Дилер")</f>
        <v/>
      </c>
      <c r="K106" s="1">
        <f>IFERROR(__xludf.DUMMYFUNCTION("AI(Prompt!$B$12, H109:J109)"),"OK")</f>
        <v/>
      </c>
      <c r="L106" s="1">
        <f>IFERROR(__xludf.DUMMYFUNCTION("AI(Prompt!$B$17, H109:I109)"),"медицинское оборудование, эндоскопические комплексы, операционные столы и аппараты")</f>
        <v/>
      </c>
      <c r="M106" s="1">
        <f>IFERROR(__xludf.DUMMYFUNCTION("AI(Prompt!$B$21,A109)"),"Эндовидео Группа")</f>
        <v/>
      </c>
      <c r="N106" s="1" t="inlineStr">
        <is>
          <t>Здравоохранение-2025</t>
        </is>
      </c>
      <c r="O106" s="9" t="inlineStr">
        <is>
          <t>https://icatalog.expocentr.ru/ru/exhibitions/de590dc5-417d-11ee-80ce-a0d3c1fab97f</t>
        </is>
      </c>
    </row>
    <row r="107" ht="16" customHeight="1">
      <c r="A107" s="1" t="inlineStr">
        <is>
          <t>МЕДИКАЛ-СЕРВИС, ООО</t>
        </is>
      </c>
      <c r="B107" s="1" t="inlineStr">
        <is>
          <t>8C150,   8F120</t>
        </is>
      </c>
      <c r="C107" s="1" t="inlineStr">
        <is>
          <t>Россия</t>
        </is>
      </c>
      <c r="D107" s="1" t="inlineStr">
        <is>
          <t>Ярославль</t>
        </is>
      </c>
      <c r="E107" s="1" t="inlineStr">
        <is>
          <t>Россия, 150043, г. Ярославль, ул. Радищева, д. 5а, оф. 10</t>
        </is>
      </c>
      <c r="F107" s="10" t="inlineStr">
        <is>
          <t>http://www.medical112.ru</t>
        </is>
      </c>
      <c r="G107" s="1" t="inlineStr">
        <is>
          <t>sales@medical112.ru</t>
        </is>
      </c>
      <c r="H107" s="1" t="inlineStr">
        <is>
          <t>«Медикал-Сервис» — одна из лидирующих компаний в сфере комплексного оснащения медучреждений. Обладает собственным производственным цехом, квалифицированными инженерами и обширным портфелем дистрибьюции.</t>
        </is>
      </c>
      <c r="I107" s="1" t="inlineStr">
        <is>
          <t>Рентгеновские диагностические установки, передвижные и стационарные; Компьютерные томографы; Маммографы; Магнитно-резонансные томографы; Эндоскопические комплексы и системы; Наркозно-дыхательные аппараты</t>
        </is>
      </c>
      <c r="J107" s="1">
        <f>IFERROR(__xludf.DUMMYFUNCTION("AI(Prompt!$B$6, H110:I110)"),"Производитель")</f>
        <v/>
      </c>
      <c r="K107" s="1">
        <f>IFERROR(__xludf.DUMMYFUNCTION("AI(Prompt!$B$12, H110:J110)"),"OK")</f>
        <v/>
      </c>
      <c r="L107" s="1">
        <f>IFERROR(__xludf.DUMMYFUNCTION("AI(Prompt!$B$17, H110:I110)"),"томографы, маммографы, эндоскопические системы и аппараты")</f>
        <v/>
      </c>
      <c r="M107" s="1">
        <f>IFERROR(__xludf.DUMMYFUNCTION("AI(Prompt!$B$21,A110)"),"Медикал Сервис")</f>
        <v/>
      </c>
      <c r="N107" s="1" t="inlineStr">
        <is>
          <t>Здравоохранение-2025</t>
        </is>
      </c>
      <c r="O107" s="9" t="inlineStr">
        <is>
          <t>https://icatalog.expocentr.ru/ru/exhibitions/de590dc5-417d-11ee-80ce-a0d3c1fab97f</t>
        </is>
      </c>
    </row>
    <row r="108" ht="16" customHeight="1">
      <c r="A108" s="1" t="inlineStr">
        <is>
          <t>ОФИМЕД, ООО</t>
        </is>
      </c>
      <c r="B108" s="1" t="inlineStr">
        <is>
          <t>8B020</t>
        </is>
      </c>
      <c r="C108" s="1" t="inlineStr">
        <is>
          <t>Россия</t>
        </is>
      </c>
      <c r="D108" s="1" t="inlineStr">
        <is>
          <t>Москва</t>
        </is>
      </c>
      <c r="E108" s="1" t="inlineStr">
        <is>
          <t>Россия, 125047, г. Москва, ул. 1-я Тверская-Ямская, д. 23, стр. 1</t>
        </is>
      </c>
      <c r="F108" s="10" t="inlineStr">
        <is>
          <t>http://www.ophimed.ru</t>
        </is>
      </c>
      <c r="G108" s="1" t="inlineStr">
        <is>
          <t>info@ophimed.ru</t>
        </is>
      </c>
      <c r="H108" s="1" t="inlineStr">
        <is>
          <t>«ОФИМЕД» – официальный представитель производителя высокотехнологичных медицинских изделий для лучевой диагностики — Beijing Wandong Medical Technology Co. Ltd (Китай). Уполномоченный представитель производителя на территории РФ по обращению томографа магнитно-резонансного (МРТ) i_Vision 1.5T Plus — первого в мире сверхпроводящего МРТ без жидкого гелия.Поставка, монтаж и сервис высокотехнологичного медицинского оборудования.</t>
        </is>
      </c>
      <c r="I108" s="1" t="inlineStr">
        <is>
          <t>Проектирование и оснащение медицинских учреждений под ключ; Поставка медицинского оборудования и расходных материалов; Магнитно-резонансные томографы</t>
        </is>
      </c>
      <c r="J108" s="1">
        <f>IFERROR(__xludf.DUMMYFUNCTION("AI(Prompt!$B$6, H111:I111)"),"Дилер")</f>
        <v/>
      </c>
      <c r="K108" s="1">
        <f>IFERROR(__xludf.DUMMYFUNCTION("AI(Prompt!$B$12, H111:J111)"),"OK")</f>
        <v/>
      </c>
      <c r="L108" s="1">
        <f>IFERROR(__xludf.DUMMYFUNCTION("AI(Prompt!$B$17, H111:I111)"),"медицинские изделия, оборудование и расходные материалы")</f>
        <v/>
      </c>
      <c r="M108" s="1">
        <f>IFERROR(__xludf.DUMMYFUNCTION("AI(Prompt!$B$21,A111)"),"Офимед")</f>
        <v/>
      </c>
      <c r="N108" s="1" t="inlineStr">
        <is>
          <t>Здравоохранение-2025</t>
        </is>
      </c>
      <c r="O108" s="9" t="inlineStr">
        <is>
          <t>https://icatalog.expocentr.ru/ru/exhibitions/de590dc5-417d-11ee-80ce-a0d3c1fab97f</t>
        </is>
      </c>
    </row>
    <row r="109" ht="16" customHeight="1">
      <c r="A109" s="1" t="inlineStr">
        <is>
          <t>ОТДЕЛ МЕДИЦИНСКОЙ ТЕХНИКИ, ООО</t>
        </is>
      </c>
      <c r="B109" s="1" t="inlineStr">
        <is>
          <t>8D090</t>
        </is>
      </c>
      <c r="C109" s="1" t="inlineStr">
        <is>
          <t>Россия</t>
        </is>
      </c>
      <c r="D109" s="1" t="inlineStr">
        <is>
          <t>Екатеринбург</t>
        </is>
      </c>
      <c r="E109" s="1" t="inlineStr">
        <is>
          <t>Россия, 620102, г. Екатеринбург, ул. Белореченская, д. 22</t>
        </is>
      </c>
      <c r="F109" s="10" t="inlineStr">
        <is>
          <t>http://www.omt-ural.ru</t>
        </is>
      </c>
      <c r="G109" s="1" t="inlineStr">
        <is>
          <t>omt@omt-ural.ru</t>
        </is>
      </c>
      <c r="H109" s="1" t="inlineStr">
        <is>
          <t>Производство функциональных кроватей, каталок, комплексное оснащение ЛПУ под ключ, торговля медицинским оборудованием, расходными материалами и реагентами, техническое обслуживание медоборудования.</t>
        </is>
      </c>
      <c r="I109" s="1" t="inlineStr">
        <is>
          <t>Оборудование для мониторинга функций сердечно-сосудистой системы; Инкубаторы и открытые реанимационные системы; Производство медицинских изделий; Комплекты реанимационного оборудования; Принадлежности и расходные материалы для реанимации и экстренной помощи</t>
        </is>
      </c>
      <c r="J109" s="1">
        <f>IFERROR(__xludf.DUMMYFUNCTION("AI(Prompt!$B$6, H112:I112)"),"Производитель")</f>
        <v/>
      </c>
      <c r="K109" s="1">
        <f>IFERROR(__xludf.DUMMYFUNCTION("AI(Prompt!$B$12, H112:J112)"),"OK")</f>
        <v/>
      </c>
      <c r="L109" s="1">
        <f>IFERROR(__xludf.DUMMYFUNCTION("AI(Prompt!$B$17, H112:I112)"),"кровати, каталки, оборудование и расходные материалы")</f>
        <v/>
      </c>
      <c r="M109" s="1">
        <f>IFERROR(__xludf.DUMMYFUNCTION("AI(Prompt!$B$21,A112)"),"Отдел Медицинской Техники")</f>
        <v/>
      </c>
      <c r="N109" s="1" t="inlineStr">
        <is>
          <t>Здравоохранение-2025</t>
        </is>
      </c>
      <c r="O109" s="9" t="inlineStr">
        <is>
          <t>https://icatalog.expocentr.ru/ru/exhibitions/de590dc5-417d-11ee-80ce-a0d3c1fab97f</t>
        </is>
      </c>
    </row>
    <row r="110" ht="16" customHeight="1">
      <c r="A110" s="1" t="inlineStr">
        <is>
          <t>СТОРМОВЪ, МТО, ООО</t>
        </is>
      </c>
      <c r="B110" s="11" t="n">
        <v>8.000000000000001e+50</v>
      </c>
      <c r="C110" s="1" t="inlineStr">
        <is>
          <t>Россия</t>
        </is>
      </c>
      <c r="D110" s="1" t="inlineStr">
        <is>
          <t>Красногорск</t>
        </is>
      </c>
      <c r="E110" s="1" t="inlineStr">
        <is>
          <t>Россия, 143401, Московская обл., г. Красногорск, Строителей б-р, д. 4, корп. 1, пом. XX</t>
        </is>
      </c>
      <c r="F110" s="10" t="inlineStr">
        <is>
          <t>http://www.stormoff.com</t>
        </is>
      </c>
      <c r="G110" s="1" t="inlineStr">
        <is>
          <t>info@stormoff.com</t>
        </is>
      </c>
      <c r="H110" s="1" t="inlineStr">
        <is>
          <t>Поставки медицинского оборудования, комплексное оснащение ЛПУ, собственное производство и обслуживание медицинской техники в России.</t>
        </is>
      </c>
      <c r="I110" s="1" t="inlineStr">
        <is>
          <t>Фототерапевтические системы; Приборы и аппараты для офтальмодиагностики; Стоматологическая рентгенодиагностическая аппаратура; Реабилитационное оборудование; Эндоскопические комплексы и системы; Мониторы пациента</t>
        </is>
      </c>
      <c r="J110" s="1">
        <f>IFERROR(__xludf.DUMMYFUNCTION("AI(Prompt!$B$6, H113:I113)"),"Производитель")</f>
        <v/>
      </c>
      <c r="K110" s="1">
        <f>IFERROR(__xludf.DUMMYFUNCTION("AI(Prompt!$B$12, H113:J113)"),"OK")</f>
        <v/>
      </c>
      <c r="L110" s="1">
        <f>IFERROR(__xludf.DUMMYFUNCTION("AI(Prompt!$B$17, H113:I113)"),"медицинское оборудование, эндоскопические комплексы, мониторы и системы")</f>
        <v/>
      </c>
      <c r="M110" s="1">
        <f>IFERROR(__xludf.DUMMYFUNCTION("AI(Prompt!$B$21,A113)"),"Стормовъ МТО")</f>
        <v/>
      </c>
      <c r="N110" s="1" t="inlineStr">
        <is>
          <t>Здравоохранение-2025</t>
        </is>
      </c>
      <c r="O110" s="9" t="inlineStr">
        <is>
          <t>https://icatalog.expocentr.ru/ru/exhibitions/de590dc5-417d-11ee-80ce-a0d3c1fab97f</t>
        </is>
      </c>
    </row>
    <row r="111" ht="16" customHeight="1">
      <c r="A111" s="1" t="inlineStr">
        <is>
          <t>ЗЕЛМЕДСЕРВИС, ООО</t>
        </is>
      </c>
      <c r="B111" s="11" t="n">
        <v>8000000000000000</v>
      </c>
      <c r="C111" s="1" t="inlineStr">
        <is>
          <t>Россия</t>
        </is>
      </c>
      <c r="D111" s="1" t="inlineStr">
        <is>
          <t>Москва</t>
        </is>
      </c>
      <c r="E111" s="1" t="inlineStr">
        <is>
          <t>Россия, 124489, г. Москва, г. Зеленоград, проезд 4922, д. 4, стр. 5, Технопарк «ЭЛМА»</t>
        </is>
      </c>
      <c r="F111" s="10" t="inlineStr">
        <is>
          <t>https://zelmedservice.ru</t>
        </is>
      </c>
      <c r="G111" s="1" t="inlineStr">
        <is>
          <t>info@zelmedservice.ru</t>
        </is>
      </c>
      <c r="H111" s="1" t="inlineStr">
        <is>
          <t>Крупнейший официальный поставщик ведущих российских и зарубежных производителей медицинского оборудования — КТ, МРТ, ангиографы, маммографы, рентгенодиагностические аппараты, эндоскопические системы.</t>
        </is>
      </c>
      <c r="I111" s="1" t="inlineStr">
        <is>
          <t>Рентгеновские диагностические установки, передвижные и стационарные; Компьютерные томографы; ПЭТ; Маммографы; Флюорографы; Магнитно-резонансные томографы</t>
        </is>
      </c>
      <c r="J111" s="1">
        <f>IFERROR(__xludf.DUMMYFUNCTION("AI(Prompt!$B$6, H115:I115)"),"Дилер")</f>
        <v/>
      </c>
      <c r="K111" s="1">
        <f>IFERROR(__xludf.DUMMYFUNCTION("AI(Prompt!$B$12, H115:J115)"),"OK")</f>
        <v/>
      </c>
      <c r="L111" s="1">
        <f>IFERROR(__xludf.DUMMYFUNCTION("AI(Prompt!$B$17, H115:I115)"),"медицинское оборудование, томографы, маммографы и флюорографы")</f>
        <v/>
      </c>
      <c r="M111" s="1">
        <f>IFERROR(__xludf.DUMMYFUNCTION("AI(Prompt!$B$21,A115)"),"Зелмедсервис")</f>
        <v/>
      </c>
      <c r="N111" s="1" t="inlineStr">
        <is>
          <t>Здравоохранение-2025</t>
        </is>
      </c>
      <c r="O111" s="9" t="inlineStr">
        <is>
          <t>https://icatalog.expocentr.ru/ru/exhibitions/de590dc5-417d-11ee-80ce-a0d3c1fab97f</t>
        </is>
      </c>
    </row>
    <row r="112" ht="16" customHeight="1">
      <c r="A112" s="1" t="inlineStr">
        <is>
          <t>ТЕХНОМЕДГРУПП</t>
        </is>
      </c>
      <c r="B112" s="1" t="inlineStr">
        <is>
          <t>8G095</t>
        </is>
      </c>
      <c r="C112" s="1" t="inlineStr">
        <is>
          <t>Россия</t>
        </is>
      </c>
      <c r="D112" s="1" t="inlineStr">
        <is>
          <t>Санкт-Петербург</t>
        </is>
      </c>
      <c r="E112" s="1" t="inlineStr">
        <is>
          <t>Россия, 194044, г. Санкт-Петербург, ул. Оренбургская, д. 2, литера А, пом. 7Н</t>
        </is>
      </c>
      <c r="F112" s="10" t="inlineStr">
        <is>
          <t>http://technomedgroup.ru</t>
        </is>
      </c>
      <c r="G112" s="1" t="inlineStr">
        <is>
          <t>office@promedtrade.com</t>
        </is>
      </c>
      <c r="H112" s="1" t="inlineStr">
        <is>
          <t>ООО «ТехноМедГрупп» представляет полный спектр медицинского оборудования и расходных материалов для нейрохирургии, нейростимуляции, лор и урологии, а также медицинской диагностики.</t>
        </is>
      </c>
      <c r="I112" s="1" t="inlineStr">
        <is>
          <t>Расходные материалы для медицинских приборов; Расходные материалы для медицинского оборудования; Рентгеновские диагностические установки, передвижные и стационарные; Принадлежности для хирургических аппаратов; Электрохирургические аппараты; Ультразвуковые хирургические аппараты</t>
        </is>
      </c>
      <c r="J112" s="1">
        <f>IFERROR(__xludf.DUMMYFUNCTION("AI(Prompt!$B$6, H116:I116)"),"Дилер")</f>
        <v/>
      </c>
      <c r="K112" s="1">
        <f>IFERROR(__xludf.DUMMYFUNCTION("AI(Prompt!$B$12, H116:J116)"),"OK")</f>
        <v/>
      </c>
      <c r="L112" s="1">
        <f>IFERROR(__xludf.DUMMYFUNCTION("AI(Prompt!$B$17, H116:I116)"),"медицинское оборудование, расходные материалы и диагностические установки")</f>
        <v/>
      </c>
      <c r="M112" s="1">
        <f>IFERROR(__xludf.DUMMYFUNCTION("AI(Prompt!$B$21,A116)"),"Техномедгрупп")</f>
        <v/>
      </c>
      <c r="N112" s="1" t="inlineStr">
        <is>
          <t>Здравоохранение-2025</t>
        </is>
      </c>
      <c r="O112" s="9" t="inlineStr">
        <is>
          <t>https://icatalog.expocentr.ru/ru/exhibitions/de590dc5-417d-11ee-80ce-a0d3c1fab97f</t>
        </is>
      </c>
    </row>
    <row r="113" ht="16" customHeight="1">
      <c r="A113" s="1" t="inlineStr">
        <is>
          <t>КС-ПРОФ, ООО</t>
        </is>
      </c>
      <c r="B113" s="1" t="inlineStr">
        <is>
          <t>8H020</t>
        </is>
      </c>
      <c r="C113" s="1" t="inlineStr">
        <is>
          <t>Россия</t>
        </is>
      </c>
      <c r="D113" s="1" t="inlineStr">
        <is>
          <t>Пенза</t>
        </is>
      </c>
      <c r="E113" s="1" t="inlineStr">
        <is>
          <t>Россия, г. Пенза, ул. Центральная, д. 1в, корп. 6</t>
        </is>
      </c>
      <c r="F113" s="10" t="inlineStr">
        <is>
          <t>https://kc-prof.ru</t>
        </is>
      </c>
      <c r="G113" s="1" t="inlineStr">
        <is>
          <t>info@kc-prof.ru</t>
        </is>
      </c>
      <c r="H113" s="1" t="inlineStr">
        <is>
          <t>Центр регистрации, лицензирования, сертификации медицинских изделий и их постпродажного сопровождения. Разработка и внедрение СМК, подготовка к аудитам. Организация и проведение испытаний медизделий.</t>
        </is>
      </c>
      <c r="I113" s="1" t="inlineStr">
        <is>
          <t>Оборудование для урологической диагностики; Материалы и инструменты для костной пластики и челюстно-лицевой хирургии; Микроскопы; Аппараты для искусственной вентиляции легких; Хирургическое оборудование; Аппараты и материалы для сердечно-сосудистой хирургии</t>
        </is>
      </c>
      <c r="J113" s="1">
        <f>IFERROR(__xludf.DUMMYFUNCTION("AI(Prompt!$B$6, H117:I117)"),"Поставщик услуг")</f>
        <v/>
      </c>
      <c r="K113" s="1">
        <f>IFERROR(__xludf.DUMMYFUNCTION("AI(Prompt!$B$12, H117:J117)"),"OK")</f>
        <v/>
      </c>
      <c r="L113" s="1">
        <f>IFERROR(__xludf.DUMMYFUNCTION("AI(Prompt!$B$17, H117:I117)"),"оборудование, материалы, микроскопы и аппараты")</f>
        <v/>
      </c>
      <c r="M113" s="1">
        <f>IFERROR(__xludf.DUMMYFUNCTION("AI(Prompt!$B$21,A117)"),"КС-ПРОФ")</f>
        <v/>
      </c>
      <c r="N113" s="1" t="inlineStr">
        <is>
          <t>Здравоохранение-2025</t>
        </is>
      </c>
      <c r="O113" s="9" t="inlineStr">
        <is>
          <t>https://icatalog.expocentr.ru/ru/exhibitions/de590dc5-417d-11ee-80ce-a0d3c1fab97f</t>
        </is>
      </c>
    </row>
    <row r="114" ht="16" customHeight="1">
      <c r="A114" s="1" t="inlineStr">
        <is>
          <t>НПО РТИ, ООО</t>
        </is>
      </c>
      <c r="B114" s="1" t="inlineStr">
        <is>
          <t>8A020</t>
        </is>
      </c>
      <c r="C114" s="1" t="inlineStr">
        <is>
          <t>Россия</t>
        </is>
      </c>
      <c r="D114" s="1" t="inlineStr">
        <is>
          <t>Москва</t>
        </is>
      </c>
      <c r="E114" s="1" t="inlineStr">
        <is>
          <t>Россия, 117393, г. Москва, ул. Академика Пилюгина, д. 26, корп. 2</t>
        </is>
      </c>
      <c r="F114" s="10" t="inlineStr">
        <is>
          <t>https://mrtprofi.ru</t>
        </is>
      </c>
      <c r="G114" s="1" t="inlineStr">
        <is>
          <t>info@mrtprofi.ru</t>
        </is>
      </c>
      <c r="H114" s="16" t="inlineStr">
        <is>
          <t>Полный цикл работ в сфере МРТ: поставка, хранение, логистика, монтаж, настройка, заправка, сервис.С 2016 по 2024 г. реализовали:— 360 000 литров жидкого гелия;— 29 000 литров газового гелия;— 20 проектов по МРТ полного цикла;— произвели монтаж 15 радиочастотных кабин.</t>
        </is>
      </c>
      <c r="I114" s="1" t="inlineStr">
        <is>
          <t>Профессиональные объединения и ассоциации; Аренда (лизинг) медицинского оборудования; ПЭТ; Магнитно-резонансные томографы; Передвижные пункты первичной (скорой) медицинской помощи</t>
        </is>
      </c>
      <c r="J114" s="1">
        <f>IFERROR(__xludf.DUMMYFUNCTION("AI(Prompt!$B$6, H118:I118)"),"Поставщик услуг")</f>
        <v/>
      </c>
      <c r="K114" s="1">
        <f>IFERROR(__xludf.DUMMYFUNCTION("AI(Prompt!$B$12, H118:J118)"),"OK")</f>
        <v/>
      </c>
      <c r="L114" s="1">
        <f>IFERROR(__xludf.DUMMYFUNCTION("AI(Prompt!$B$17, H118:I118)"),"жидкий гелий, газовый гелий, томографы и радиочастотные кабины")</f>
        <v/>
      </c>
      <c r="M114" s="1">
        <f>IFERROR(__xludf.DUMMYFUNCTION("AI(Prompt!$B$21,A118)"),"НПО РТИ")</f>
        <v/>
      </c>
      <c r="N114" s="1" t="inlineStr">
        <is>
          <t>Здравоохранение-2025</t>
        </is>
      </c>
      <c r="O114" s="9" t="inlineStr">
        <is>
          <t>https://icatalog.expocentr.ru/ru/exhibitions/de590dc5-417d-11ee-80ce-a0d3c1fab97f</t>
        </is>
      </c>
    </row>
    <row r="115" hidden="1" ht="16" customHeight="1">
      <c r="A115" s="1" t="inlineStr">
        <is>
          <t>SHENZHEN BEACON DISPLAY TECHNOLOGY CO. LTD</t>
        </is>
      </c>
      <c r="B115" s="1" t="inlineStr">
        <is>
          <t>8C132</t>
        </is>
      </c>
      <c r="C115" s="1" t="inlineStr">
        <is>
          <t>Китай</t>
        </is>
      </c>
      <c r="E115" s="1" t="inlineStr">
        <is>
          <t>Китай</t>
        </is>
      </c>
      <c r="F115" s="10" t="inlineStr">
        <is>
          <t>http://en.beacon-display.cn</t>
        </is>
      </c>
      <c r="G115" s="1" t="inlineStr">
        <is>
          <t>marketing@beacon-display.cn</t>
        </is>
      </c>
      <c r="H115" s="1" t="inlineStr">
        <is>
          <t>Shenzhen Beacon Display Technology Co. Ltd — высокотехнологичное предприятие, предоставляющее профессиональные решения для медицинской визуализации.</t>
        </is>
      </c>
      <c r="I115" s="1" t="inlineStr">
        <is>
          <t>Прочее общебольничное оборудование</t>
        </is>
      </c>
      <c r="J115" s="1">
        <f>IFERROR(__xludf.DUMMYFUNCTION("AI(Prompt!$B$6, H120:I120)"),"Производитель")</f>
        <v/>
      </c>
      <c r="K115" s="1">
        <f>IFERROR(__xludf.DUMMYFUNCTION("AI(Prompt!$B$12, H120:J120)"),"OK")</f>
        <v/>
      </c>
      <c r="L115" s="1">
        <f>IFERROR(__xludf.DUMMYFUNCTION("AI(Prompt!$B$17, H120:I120)"),"медицинские дисплеи и оборудование")</f>
        <v/>
      </c>
      <c r="M115" s="1">
        <f>IFERROR(__xludf.DUMMYFUNCTION("AI(Prompt!$B$21,A120)"),"Shenzhen Beacon Display Technology")</f>
        <v/>
      </c>
      <c r="N115" s="1" t="inlineStr">
        <is>
          <t>Здравоохранение-2025</t>
        </is>
      </c>
      <c r="O115" s="9" t="inlineStr">
        <is>
          <t>https://icatalog.expocentr.ru/ru/exhibitions/de590dc5-417d-11ee-80ce-a0d3c1fab97f</t>
        </is>
      </c>
    </row>
    <row r="116" ht="16" customHeight="1">
      <c r="A116" s="1" t="inlineStr">
        <is>
          <t>КРЭТ, АО</t>
        </is>
      </c>
      <c r="B116" s="1" t="inlineStr">
        <is>
          <t>8C020</t>
        </is>
      </c>
      <c r="C116" s="1" t="inlineStr">
        <is>
          <t>Россия</t>
        </is>
      </c>
      <c r="D116" s="1" t="inlineStr">
        <is>
          <t>Москва</t>
        </is>
      </c>
      <c r="E116" s="1" t="inlineStr">
        <is>
          <t>Россия, 109240, г. Москва, ул. Гончарная, д. 20/1, стр. 1</t>
        </is>
      </c>
      <c r="G116" s="1" t="inlineStr">
        <is>
          <t>info@kret.com</t>
        </is>
      </c>
      <c r="H116" s="1" t="inlineStr">
        <is>
          <t>Концерн «Радиоэлектронные технологии» — крупнейший российский холдинг в радиоэлектронной отрасли, входит в состав Госкорпорации «Ростех». В настоящее время концерн активно развивает производство гражданской продукции, в том числе медицинских изделий.</t>
        </is>
      </c>
      <c r="I116" s="1" t="inlineStr">
        <is>
          <t>Приборы и аппараты для офтальмодиагностики; Оборудование для дезинфекции; Оборудование для стерилизации; Пипетки и пипеточные устройства; Аппараты для искусственной вентиляции легких; Наркозно-дыхательные аппараты</t>
        </is>
      </c>
      <c r="J116" s="1">
        <f>IFERROR(__xludf.DUMMYFUNCTION("AI(Prompt!$B$6, H121:I121)"),"Производитель")</f>
        <v/>
      </c>
      <c r="K116" s="1">
        <f>IFERROR(__xludf.DUMMYFUNCTION("AI(Prompt!$B$12, H121:J121)"),"OK")</f>
        <v/>
      </c>
      <c r="L116" s="1">
        <f>IFERROR(__xludf.DUMMYFUNCTION("AI(Prompt!$B$17, H121:I121)"),"приборы, аппараты, оборудование и пипетки")</f>
        <v/>
      </c>
      <c r="M116" s="1">
        <f>IFERROR(__xludf.DUMMYFUNCTION("AI(Prompt!$B$21,A121)"),"КРЭТ")</f>
        <v/>
      </c>
      <c r="N116" s="1" t="inlineStr">
        <is>
          <t>Здравоохранение-2025</t>
        </is>
      </c>
      <c r="O116" s="9" t="inlineStr">
        <is>
          <t>https://icatalog.expocentr.ru/ru/exhibitions/de590dc5-417d-11ee-80ce-a0d3c1fab97f</t>
        </is>
      </c>
    </row>
    <row r="117" ht="16" customHeight="1">
      <c r="A117" s="1" t="inlineStr">
        <is>
          <t>ШВАБЕ, АО</t>
        </is>
      </c>
      <c r="B117" s="1" t="inlineStr">
        <is>
          <t>8D020</t>
        </is>
      </c>
      <c r="C117" s="1" t="inlineStr">
        <is>
          <t>Россия</t>
        </is>
      </c>
      <c r="D117" s="1" t="inlineStr">
        <is>
          <t>Москва</t>
        </is>
      </c>
      <c r="E117" s="1" t="inlineStr">
        <is>
          <t>Россия, 129366, г. Москва, просп. Мира, д. 176</t>
        </is>
      </c>
      <c r="F117" s="10" t="inlineStr">
        <is>
          <t>http://www.shvabe.com</t>
        </is>
      </c>
      <c r="G117" s="1" t="inlineStr">
        <is>
          <t>mail@shvabe.com</t>
        </is>
      </c>
      <c r="H117" s="1" t="inlineStr">
        <is>
          <t>В «Швабе» разрабатывают и серийно производят широкий спектр наукоемких медицинских изделий. На сегодняшний день на территории страны установлены десятки тысяч единиц медтехники холдинга.</t>
        </is>
      </c>
      <c r="I117" s="1" t="inlineStr">
        <is>
          <t>Приборы и аппараты для офтальмодиагностики; Микроскопы</t>
        </is>
      </c>
      <c r="J117" s="1">
        <f>IFERROR(__xludf.DUMMYFUNCTION("AI(Prompt!$B$6, H122:I122)"),"Производитель")</f>
        <v/>
      </c>
      <c r="K117" s="1">
        <f>IFERROR(__xludf.DUMMYFUNCTION("AI(Prompt!$B$12, H122:J122)"),"OK")</f>
        <v/>
      </c>
      <c r="L117" s="1">
        <f>IFERROR(__xludf.DUMMYFUNCTION("AI(Prompt!$B$17, H122:I122)"),"медицинские изделия, приборы и микроскопы")</f>
        <v/>
      </c>
      <c r="M117" s="1">
        <f>IFERROR(__xludf.DUMMYFUNCTION("AI(Prompt!$B$21,A122)"),"Швабе")</f>
        <v/>
      </c>
      <c r="N117" s="1" t="inlineStr">
        <is>
          <t>Здравоохранение-2025</t>
        </is>
      </c>
      <c r="O117" s="9" t="inlineStr">
        <is>
          <t>https://icatalog.expocentr.ru/ru/exhibitions/de590dc5-417d-11ee-80ce-a0d3c1fab97f</t>
        </is>
      </c>
    </row>
    <row r="118" ht="16" customHeight="1">
      <c r="A118" s="1" t="inlineStr">
        <is>
          <t>ЕВРОПА МЕДИКАЛ, ООО</t>
        </is>
      </c>
      <c r="B118" s="1" t="inlineStr">
        <is>
          <t>8B055</t>
        </is>
      </c>
      <c r="C118" s="1" t="inlineStr">
        <is>
          <t>Россия</t>
        </is>
      </c>
      <c r="D118" s="1" t="inlineStr">
        <is>
          <t>Люберцы</t>
        </is>
      </c>
      <c r="E118" s="1" t="inlineStr">
        <is>
          <t>Россия, 140002, Московская обл., г. Люберцы, ул. Колхозная, д. 19а, литера Б</t>
        </is>
      </c>
      <c r="F118" s="10" t="inlineStr">
        <is>
          <t>http://www.evropamedical.ru</t>
        </is>
      </c>
      <c r="G118" s="1" t="inlineStr">
        <is>
          <t>info@evropamedical.ru</t>
        </is>
      </c>
      <c r="H118" s="1" t="inlineStr">
        <is>
          <t>Компания основана в 2008 году, занимается поставкой высококачественного медицинского оборудования. Оснастила более 150 объектов здравоохранения по всей России.</t>
        </is>
      </c>
      <c r="I118" s="1" t="inlineStr">
        <is>
          <t>Оборудование для медицинских газов</t>
        </is>
      </c>
      <c r="J118" s="1">
        <f>IFERROR(__xludf.DUMMYFUNCTION("AI(Prompt!$B$6, H123:I123)"),"Дилер")</f>
        <v/>
      </c>
      <c r="K118" s="1">
        <f>IFERROR(__xludf.DUMMYFUNCTION("AI(Prompt!$B$12, H123:J123)"),"OK")</f>
        <v/>
      </c>
      <c r="L118" s="1">
        <f>IFERROR(__xludf.DUMMYFUNCTION("AI(Prompt!$B$17, H123:I123)"),"медицинское оборудование, оборудование для медицинских газов")</f>
        <v/>
      </c>
      <c r="M118" s="1">
        <f>IFERROR(__xludf.DUMMYFUNCTION("AI(Prompt!$B$21,A123)"),"Европа Медикал")</f>
        <v/>
      </c>
      <c r="N118" s="1" t="inlineStr">
        <is>
          <t>Здравоохранение-2025</t>
        </is>
      </c>
      <c r="O118" s="9" t="inlineStr">
        <is>
          <t>https://icatalog.expocentr.ru/ru/exhibitions/de590dc5-417d-11ee-80ce-a0d3c1fab97f</t>
        </is>
      </c>
    </row>
    <row r="119" hidden="1" ht="16" customHeight="1">
      <c r="A119" s="1" t="inlineStr">
        <is>
          <t>HAIER BIOMEDICAL</t>
        </is>
      </c>
      <c r="B119" s="1" t="inlineStr">
        <is>
          <t>8C130</t>
        </is>
      </c>
      <c r="C119" s="1" t="inlineStr">
        <is>
          <t>Китай</t>
        </is>
      </c>
      <c r="E119" s="1" t="inlineStr">
        <is>
          <t>Китай</t>
        </is>
      </c>
      <c r="F119" s="10" t="inlineStr">
        <is>
          <t>http://www.haiermedical.com</t>
        </is>
      </c>
      <c r="G119" s="1" t="inlineStr">
        <is>
          <t>inquiry@haierbiomedical.com</t>
        </is>
      </c>
      <c r="H119" s="1" t="inlineStr">
        <is>
          <t>Haier Biomedical делает все возможное, чтобы обеспечить наилучшие продукты для широкого круга организаций, включая больницы, университеты, научно-исследовательские институты и центры по контролю заболеваний.</t>
        </is>
      </c>
      <c r="I119" s="1" t="inlineStr">
        <is>
          <t>Оборудование для стерилизации; Медицинская упаковка; Расходные материалы для медицинских приборов; Лабораторное оборудование; Оборудование для заготовки и хранения донорской крови и ее компонентов; Оборудование для банков крови</t>
        </is>
      </c>
      <c r="J119" s="1">
        <f>IFERROR(__xludf.DUMMYFUNCTION("AI(Prompt!$B$6, H124:I124)"),"Производитель")</f>
        <v/>
      </c>
      <c r="K119" s="1">
        <f>IFERROR(__xludf.DUMMYFUNCTION("AI(Prompt!$B$12, H124:J124)"),"OK")</f>
        <v/>
      </c>
      <c r="L119" s="1">
        <f>IFERROR(__xludf.DUMMYFUNCTION("AI(Prompt!$B$17, H124:I124)"),"оборудование для стерилизации, лабораторное оборудование, расходные материалы и медицинская упаковка")</f>
        <v/>
      </c>
      <c r="M119" s="1">
        <f>IFERROR(__xludf.DUMMYFUNCTION("AI(Prompt!$B$21,A124)"),"Haier Biomedical")</f>
        <v/>
      </c>
      <c r="N119" s="1" t="inlineStr">
        <is>
          <t>Здравоохранение-2025</t>
        </is>
      </c>
      <c r="O119" s="9" t="inlineStr">
        <is>
          <t>https://icatalog.expocentr.ru/ru/exhibitions/de590dc5-417d-11ee-80ce-a0d3c1fab97f</t>
        </is>
      </c>
    </row>
    <row r="120" ht="16" customHeight="1">
      <c r="A120" s="1" t="inlineStr">
        <is>
          <t>АКРОСС, ООО</t>
        </is>
      </c>
      <c r="B120" s="1" t="inlineStr">
        <is>
          <t>8C160</t>
        </is>
      </c>
      <c r="C120" s="1" t="inlineStr">
        <is>
          <t>Россия</t>
        </is>
      </c>
      <c r="D120" s="1" t="inlineStr">
        <is>
          <t>Нижний Новгород</t>
        </is>
      </c>
      <c r="E120" s="1" t="inlineStr">
        <is>
          <t>Россия, 603004, г. Нижний Новгород, просп. Ленина, д. 107</t>
        </is>
      </c>
      <c r="F120" s="10" t="inlineStr">
        <is>
          <t>https://akross-auto.ru</t>
        </is>
      </c>
      <c r="G120" s="1" t="inlineStr">
        <is>
          <t>kozubsky@akross.tech</t>
        </is>
      </c>
      <c r="H120" s="1" t="inlineStr">
        <is>
          <t>Мы — российская автомобильная компания. Компания-доработчик, действующая на базе Горьковского автомобильного завода. Делаем как автомобили скорой помощи, так и любые другие специализированные автомобили.</t>
        </is>
      </c>
      <c r="I120" s="1" t="inlineStr">
        <is>
          <t>Поставка медицинского оборудования и расходных материалов</t>
        </is>
      </c>
      <c r="J120" s="1">
        <f>IFERROR(__xludf.DUMMYFUNCTION("AI(Prompt!$B$6, H125:I125)"),"Производитель")</f>
        <v/>
      </c>
      <c r="K120" s="1">
        <f>IFERROR(__xludf.DUMMYFUNCTION("AI(Prompt!$B$12, H125:J125)"),"OK")</f>
        <v/>
      </c>
      <c r="L120" s="1">
        <f>IFERROR(__xludf.DUMMYFUNCTION("AI(Prompt!$B$17, H125:I125)"),"автомобили, медицинское оборудование и расходные материалы")</f>
        <v/>
      </c>
      <c r="M120" s="1">
        <f>IFERROR(__xludf.DUMMYFUNCTION("AI(Prompt!$B$21,A125)"),"Акросс")</f>
        <v/>
      </c>
      <c r="N120" s="1" t="inlineStr">
        <is>
          <t>Здравоохранение-2025</t>
        </is>
      </c>
      <c r="O120" s="9" t="inlineStr">
        <is>
          <t>https://icatalog.expocentr.ru/ru/exhibitions/de590dc5-417d-11ee-80ce-a0d3c1fab97f</t>
        </is>
      </c>
    </row>
    <row r="121" ht="16" customHeight="1">
      <c r="A121" s="1" t="inlineStr">
        <is>
          <t>ПРОМТЕХ, ООО</t>
        </is>
      </c>
      <c r="B121" s="11" t="n">
        <v>8e+150</v>
      </c>
      <c r="C121" s="1" t="inlineStr">
        <is>
          <t>Россия</t>
        </is>
      </c>
      <c r="D121" s="1" t="inlineStr">
        <is>
          <t>Нижний Новгород</t>
        </is>
      </c>
      <c r="E121" s="1" t="inlineStr">
        <is>
          <t>Россия, 603065, г. Нижний Новгород, ул. Переходникова, д. 1д</t>
        </is>
      </c>
      <c r="F121" s="10" t="inlineStr">
        <is>
          <t>http://www.promteh-nn.ru</t>
        </is>
      </c>
      <c r="G121" s="1" t="inlineStr">
        <is>
          <t>info.com@promteh-nn.ru</t>
        </is>
      </c>
      <c r="H121" s="1" t="inlineStr">
        <is>
          <t>Производство санитарного транспорта и автомобилей скорой медицинской помощи классов А, В, С. Эргономика салонов проработана с врачами скорой помощи. Автомобили подходят для коммерческих и госзакупок.</t>
        </is>
      </c>
      <c r="I121" s="1" t="inlineStr">
        <is>
          <t>Транспортные средства, в том числе транспортные самолеты; Средства для оказания экстренной медицинской помощи</t>
        </is>
      </c>
      <c r="J121" s="1">
        <f>IFERROR(__xludf.DUMMYFUNCTION("AI(Prompt!$B$6, H126:I126)"),"Производитель")</f>
        <v/>
      </c>
      <c r="K121" s="1">
        <f>IFERROR(__xludf.DUMMYFUNCTION("AI(Prompt!$B$12, H126:J126)"),"OK")</f>
        <v/>
      </c>
      <c r="L121" s="1">
        <f>IFERROR(__xludf.DUMMYFUNCTION("AI(Prompt!$B$17, H126:I126)"),"санитарный транспорт и автомобили скорой помощи")</f>
        <v/>
      </c>
      <c r="M121" s="1">
        <f>IFERROR(__xludf.DUMMYFUNCTION("AI(Prompt!$B$21,A126)"),"Промтех")</f>
        <v/>
      </c>
      <c r="N121" s="1" t="inlineStr">
        <is>
          <t>Здравоохранение-2025</t>
        </is>
      </c>
      <c r="O121" s="9" t="inlineStr">
        <is>
          <t>https://icatalog.expocentr.ru/ru/exhibitions/de590dc5-417d-11ee-80ce-a0d3c1fab97f</t>
        </is>
      </c>
    </row>
    <row r="122" ht="16" customHeight="1">
      <c r="A122" s="1" t="inlineStr">
        <is>
          <t>MAX TECHNOLOGIES</t>
        </is>
      </c>
      <c r="B122" s="1" t="inlineStr">
        <is>
          <t>8F030</t>
        </is>
      </c>
      <c r="C122" s="1" t="inlineStr">
        <is>
          <t>Россия</t>
        </is>
      </c>
      <c r="D122" s="1" t="inlineStr">
        <is>
          <t>Москва</t>
        </is>
      </c>
      <c r="E122" s="1" t="inlineStr">
        <is>
          <t>Россия, 121351, г. Москва, ул. Коцюбинского, д. 4</t>
        </is>
      </c>
      <c r="F122" s="10" t="inlineStr">
        <is>
          <t>http://mtmedical.net</t>
        </is>
      </c>
      <c r="G122" s="1" t="inlineStr">
        <is>
          <t>info@mtmedical.net</t>
        </is>
      </c>
      <c r="H122" s="1" t="inlineStr">
        <is>
          <t>Три десятилетия — эталон надежности. Официальный дистрибьютор Fujifilm (МРТ, КТ, УЗИ) и сервисный центр для оборудования любых марок.</t>
        </is>
      </c>
      <c r="I122" s="1" t="inlineStr">
        <is>
          <t>Аппараты и системы для обработки рентгеновской пленки; Вспомогательное оборудование; Компьютерные томографы; Магнитно-резонансные томографы</t>
        </is>
      </c>
      <c r="J122" s="1">
        <f>IFERROR(__xludf.DUMMYFUNCTION("AI(Prompt!$B$6, H127:I127)"),"Дилер")</f>
        <v/>
      </c>
      <c r="K122" s="1">
        <f>IFERROR(__xludf.DUMMYFUNCTION("AI(Prompt!$B$12, H127:J127)"),"OK")</f>
        <v/>
      </c>
      <c r="L122" s="1">
        <f>IFERROR(__xludf.DUMMYFUNCTION("AI(Prompt!$B$17, H127:I127)"),"томографы, аппараты и оборудование")</f>
        <v/>
      </c>
      <c r="M122" s="1">
        <f>IFERROR(__xludf.DUMMYFUNCTION("AI(Prompt!$B$21,A127)"),"MAX Technologies")</f>
        <v/>
      </c>
      <c r="N122" s="1" t="inlineStr">
        <is>
          <t>Здравоохранение-2025</t>
        </is>
      </c>
      <c r="O122" s="9" t="inlineStr">
        <is>
          <t>https://icatalog.expocentr.ru/ru/exhibitions/de590dc5-417d-11ee-80ce-a0d3c1fab97f</t>
        </is>
      </c>
    </row>
    <row r="123" ht="16" customHeight="1">
      <c r="A123" s="1" t="inlineStr">
        <is>
          <t>ДАЛИ МЕДИКАЛ, ООО</t>
        </is>
      </c>
      <c r="B123" s="1" t="inlineStr">
        <is>
          <t>8F071</t>
        </is>
      </c>
      <c r="C123" s="1" t="inlineStr">
        <is>
          <t>Россия</t>
        </is>
      </c>
      <c r="E123" s="1" t="inlineStr">
        <is>
          <t>Россия, 143700, Московская обл., р. п. Шаховская, Рижское ш., д. 1д, пом. 1</t>
        </is>
      </c>
      <c r="F123" s="10" t="inlineStr">
        <is>
          <t>https://dali-medical.com</t>
        </is>
      </c>
      <c r="G123" s="1" t="inlineStr">
        <is>
          <t>info@dali-medical.com</t>
        </is>
      </c>
      <c r="H123" s="1" t="inlineStr">
        <is>
          <t>Производство и поставка медицинского диагностического рентгеновского оборудования.</t>
        </is>
      </c>
      <c r="I123" s="1" t="inlineStr">
        <is>
          <t>Литотрипторы; Производство медицинских изделий; Рентгеновские диагностические установки, передвижные и стационарные</t>
        </is>
      </c>
      <c r="J123" s="1">
        <f>IFERROR(__xludf.DUMMYFUNCTION("AI(Prompt!$B$6, H129:I129)"),"Производитель")</f>
        <v/>
      </c>
      <c r="K123" s="1">
        <f>IFERROR(__xludf.DUMMYFUNCTION("AI(Prompt!$B$12, H129:J129)"),"OK")</f>
        <v/>
      </c>
      <c r="L123" s="1">
        <f>IFERROR(__xludf.DUMMYFUNCTION("AI(Prompt!$B$17, H129:I129)"),"литотрипторы, медицинские изделия и рентгеновское оборудование")</f>
        <v/>
      </c>
      <c r="M123" s="1">
        <f>IFERROR(__xludf.DUMMYFUNCTION("AI(Prompt!$B$21,A129)"),"Дали Медикал")</f>
        <v/>
      </c>
      <c r="N123" s="1" t="inlineStr">
        <is>
          <t>Здравоохранение-2025</t>
        </is>
      </c>
      <c r="O123" s="9" t="inlineStr">
        <is>
          <t>https://icatalog.expocentr.ru/ru/exhibitions/de590dc5-417d-11ee-80ce-a0d3c1fab97f</t>
        </is>
      </c>
    </row>
    <row r="124" ht="16" customHeight="1">
      <c r="A124" s="1" t="inlineStr">
        <is>
          <t>БИОЛАЙН, ООО</t>
        </is>
      </c>
      <c r="B124" s="11" t="n">
        <v>8e+110</v>
      </c>
      <c r="C124" s="1" t="inlineStr">
        <is>
          <t>Россия</t>
        </is>
      </c>
      <c r="D124" s="1" t="inlineStr">
        <is>
          <t>Санкт-Петербург</t>
        </is>
      </c>
      <c r="E124" s="1" t="inlineStr">
        <is>
          <t>Россия, 197022, г. Санкт-Петербург, вн. тер. г. м. о. Аптекарский Остров, ул. Профессора Попова, д. 23, литера Е, пом. 3Н/5Н, комн. 208</t>
        </is>
      </c>
      <c r="F124" s="10" t="inlineStr">
        <is>
          <t>http://www.bioline.ru</t>
        </is>
      </c>
      <c r="G124" s="1" t="inlineStr">
        <is>
          <t>main@bioline.ru</t>
        </is>
      </c>
      <c r="H124" s="1" t="inlineStr">
        <is>
          <t>«БиоЛайн» — один из ведущих поставщиков продукции для лабораторий и учреждений научного и медицинского профиля.— Проточные цитометры Cellriver (Россия).— Оснащение патоморфологических лабораторий под ключ оборудованием Leica, Milestone (Италия).— ldylla — автоматическая платформа для исследований в молекулярной онкологии Biocartis (Бельгия).— Операционные микроскопы для нейрохирургии, спинальной хирургии, лор, пластики и реконструкции Leica (Швейцария).— Функциональные медицинские кровати и противопролежневые матрацы PARDO (Испания).— Манипуляционно-смотровые кресла Medielle для гинекологических, урологических и проктологических обследований и процедур Bawariamed d.o.o. (Босния и Герцеговина).— Устройства для перемещения пациентов Transaroll, Transatlantic (Германия).— Автоматические приборы для маркировки и выдачи пробирок серии HEN и GNT9, Energium (Корея).</t>
        </is>
      </c>
      <c r="I124" s="1" t="inlineStr">
        <is>
          <t>Гинекологические кресла; Медицинская мебель; Средства перевозки (перемещения) пациентов, оборудования и материалов; Генетика и молекулярная генетика; Оборудование для банков крови; Операционные микроскопы и видеоустройства</t>
        </is>
      </c>
      <c r="J124" s="1">
        <f>IFERROR(__xludf.DUMMYFUNCTION("AI(Prompt!$B$6, H156:I156)"),"Дилер")</f>
        <v/>
      </c>
      <c r="K124" s="1">
        <f>IFERROR(__xludf.DUMMYFUNCTION("AI(Prompt!$B$12, H156:J156)"),"OK")</f>
        <v/>
      </c>
      <c r="L124" s="1">
        <f>IFERROR(__xludf.DUMMYFUNCTION("AI(Prompt!$B$17, H156:I156)"),"цитометры, лабораторное оборудование, медицинские кровати и кресла")</f>
        <v/>
      </c>
      <c r="M124" s="1">
        <f>IFERROR(__xludf.DUMMYFUNCTION("AI(Prompt!$B$21,A156)"),"Биолайн")</f>
        <v/>
      </c>
      <c r="N124" s="1" t="inlineStr">
        <is>
          <t>Здравоохранение-2025</t>
        </is>
      </c>
      <c r="O124" s="9" t="inlineStr">
        <is>
          <t>https://icatalog.expocentr.ru/ru/exhibitions/de590dc5-417d-11ee-80ce-a0d3c1fab97f</t>
        </is>
      </c>
    </row>
    <row r="125" ht="16" customHeight="1">
      <c r="A125" s="1" t="inlineStr">
        <is>
          <t>ШТЕЙМАН КРАФТ, ООО</t>
        </is>
      </c>
      <c r="B125" s="1" t="inlineStr">
        <is>
          <t>8C015</t>
        </is>
      </c>
      <c r="C125" s="1" t="inlineStr">
        <is>
          <t>Россия</t>
        </is>
      </c>
      <c r="D125" s="1" t="inlineStr">
        <is>
          <t>Москва</t>
        </is>
      </c>
      <c r="E125" s="1" t="inlineStr">
        <is>
          <t>Россия, 129226, г. Москва, ул. Докукина, д. 8, стр. 2, пом. 3.1, этаж 6</t>
        </is>
      </c>
      <c r="F125" s="10" t="inlineStr">
        <is>
          <t>http://www.stkraft.com</t>
        </is>
      </c>
      <c r="H125" s="1" t="inlineStr">
        <is>
          <t>Поставляем современное рентгеновское оборудование по всей России. Предлагаем стационарные и портативные модели для больниц и ветклиник. Обеспечиваем установку и сервис.</t>
        </is>
      </c>
      <c r="I125" s="1" t="inlineStr">
        <is>
          <t>Рентгеновские диагностические установки, передвижные и стационарные; Маммографы; Эндоскопы жесткие; Эндоскопические комплексы и системы; Инструменты и принадлежности для эндоскопии</t>
        </is>
      </c>
      <c r="J125" s="1">
        <f>IFERROR(__xludf.DUMMYFUNCTION("AI(Prompt!$B$6, H157:I157)"),"Дилер")</f>
        <v/>
      </c>
      <c r="K125" s="14" t="inlineStr">
        <is>
          <t>OK</t>
        </is>
      </c>
      <c r="L125" s="1">
        <f>IFERROR(__xludf.DUMMYFUNCTION("AI(Prompt!$B$17, H157:I157)"),"рентгеновское оборудование, маммографы, эндоскопы и инструменты")</f>
        <v/>
      </c>
      <c r="M125" s="1">
        <f>IFERROR(__xludf.DUMMYFUNCTION("AI(Prompt!$B$21,A157)"),"Штейман Крафт")</f>
        <v/>
      </c>
      <c r="N125" s="1" t="inlineStr">
        <is>
          <t>Здравоохранение-2025</t>
        </is>
      </c>
      <c r="O125" s="9" t="inlineStr">
        <is>
          <t>https://icatalog.expocentr.ru/ru/exhibitions/de590dc5-417d-11ee-80ce-a0d3c1fab97f</t>
        </is>
      </c>
    </row>
    <row r="126" ht="16" customHeight="1">
      <c r="A126" s="1" t="inlineStr">
        <is>
          <t>ФАКЕЛ МКБ, АО</t>
        </is>
      </c>
      <c r="B126" s="11" t="n">
        <v>80000000000</v>
      </c>
      <c r="C126" s="1" t="inlineStr">
        <is>
          <t>Россия</t>
        </is>
      </c>
      <c r="D126" s="1" t="inlineStr">
        <is>
          <t>Химки</t>
        </is>
      </c>
      <c r="E126" s="1" t="inlineStr">
        <is>
          <t>Россия, 141401, Московская обл., г. Химки, ул. Академика Грушина, вл. 33</t>
        </is>
      </c>
      <c r="F126" s="10" t="inlineStr">
        <is>
          <t>https://www.mkbfakel.ru</t>
        </is>
      </c>
      <c r="G126" s="1" t="inlineStr">
        <is>
          <t>inova@mkbfakel.ru</t>
        </is>
      </c>
      <c r="H126" s="1" t="inlineStr">
        <is>
          <t>АО "МКБ «Факел» представляет на выставке 5-осевые ЧПУ-станки собственной разработки для производства высокоточных зубных протезов и имплантатов. Надежные решения для современной стоматологии.</t>
        </is>
      </c>
      <c r="I126" s="1" t="inlineStr">
        <is>
          <t>Зуботехническое оборудование и инструменты</t>
        </is>
      </c>
      <c r="J126" s="1">
        <f>IFERROR(__xludf.DUMMYFUNCTION("AI(Prompt!$B$6, H158:I158)"),"Производитель")</f>
        <v/>
      </c>
      <c r="K126" s="1">
        <f>IFERROR(__xludf.DUMMYFUNCTION("AI(Prompt!$B$12, H158:J158)"),"OK")</f>
        <v/>
      </c>
      <c r="L126" s="1">
        <f>IFERROR(__xludf.DUMMYFUNCTION("AI(Prompt!$B$17, H158:I158)"),"ЧПУ-станки, зубные протезы и имплантаты")</f>
        <v/>
      </c>
      <c r="M126" s="1">
        <f>IFERROR(__xludf.DUMMYFUNCTION("AI(Prompt!$B$21,A158)"),"Факел МКБ")</f>
        <v/>
      </c>
      <c r="N126" s="1" t="inlineStr">
        <is>
          <t>Здравоохранение-2025</t>
        </is>
      </c>
      <c r="O126" s="9" t="inlineStr">
        <is>
          <t>https://icatalog.expocentr.ru/ru/exhibitions/de590dc5-417d-11ee-80ce-a0d3c1fab97f</t>
        </is>
      </c>
    </row>
    <row r="127" ht="16" customHeight="1">
      <c r="A127" s="1" t="inlineStr">
        <is>
          <t>ИСКРА ЗАВОД НПП, АО</t>
        </is>
      </c>
      <c r="B127" s="11" t="n">
        <v>80000000000</v>
      </c>
      <c r="C127" s="1" t="inlineStr">
        <is>
          <t>Россия</t>
        </is>
      </c>
      <c r="D127" s="1" t="inlineStr">
        <is>
          <t>Ульяновск</t>
        </is>
      </c>
      <c r="E127" s="1" t="inlineStr">
        <is>
          <t>Россия, 432030, г. Ульяновск, просп. Нариманова, д. 75</t>
        </is>
      </c>
      <c r="F127" s="10" t="inlineStr">
        <is>
          <t>https://zavod-iskra.ru</t>
        </is>
      </c>
      <c r="G127" s="1" t="inlineStr">
        <is>
          <t>sbyt@npp-iskra.ru</t>
        </is>
      </c>
      <c r="H127" s="1" t="inlineStr">
        <is>
          <t>Разработка и производство термометра «Темис» и других устройств и компонентов.</t>
        </is>
      </c>
      <c r="I127" s="1" t="inlineStr">
        <is>
          <t>Термометры</t>
        </is>
      </c>
      <c r="J127" s="1">
        <f>IFERROR(__xludf.DUMMYFUNCTION("AI(Prompt!$B$6, H159:I159)"),"Производитель")</f>
        <v/>
      </c>
      <c r="K127" s="1">
        <f>IFERROR(__xludf.DUMMYFUNCTION("AI(Prompt!$B$12, H159:J159)"),"OK")</f>
        <v/>
      </c>
      <c r="L127" s="1">
        <f>IFERROR(__xludf.DUMMYFUNCTION("AI(Prompt!$B$17, H159:I159)"),"термометры, устройства и компоненты")</f>
        <v/>
      </c>
      <c r="M127" s="1">
        <f>IFERROR(__xludf.DUMMYFUNCTION("AI(Prompt!$B$21,A159)"),"Искра Завод НПП")</f>
        <v/>
      </c>
      <c r="N127" s="1" t="inlineStr">
        <is>
          <t>Здравоохранение-2025</t>
        </is>
      </c>
      <c r="O127" s="9" t="inlineStr">
        <is>
          <t>https://icatalog.expocentr.ru/ru/exhibitions/de590dc5-417d-11ee-80ce-a0d3c1fab97f</t>
        </is>
      </c>
    </row>
    <row r="128" ht="16" customHeight="1">
      <c r="A128" s="1" t="inlineStr">
        <is>
          <t>РЕХАБ ТЕХНОЛОГИИ, ООО</t>
        </is>
      </c>
      <c r="B128" s="11" t="n">
        <v>80000000000</v>
      </c>
      <c r="C128" s="1" t="inlineStr">
        <is>
          <t>Россия</t>
        </is>
      </c>
      <c r="D128" s="1" t="inlineStr">
        <is>
          <t>Москва</t>
        </is>
      </c>
      <c r="E128" s="1" t="inlineStr">
        <is>
          <t>Россия, 109129, г. Москва, 8-я ул. Текстильщиков, д. 11, оф. 213</t>
        </is>
      </c>
      <c r="F128" s="10" t="inlineStr">
        <is>
          <t>https://rehabtex.ru</t>
        </is>
      </c>
      <c r="G128" s="1" t="inlineStr">
        <is>
          <t>bon@rehabtex.ru</t>
        </is>
      </c>
      <c r="H128" s="1" t="inlineStr">
        <is>
          <t>Официальный дистрибьютор АО «ВЭМЗ». Представлен модульный экзоскелет для реабилитации и восстановления двигательных функций Remotion с функциональной электростимуляцией и электромиографией.</t>
        </is>
      </c>
      <c r="I128" s="1" t="inlineStr">
        <is>
          <t>Тренажеры</t>
        </is>
      </c>
      <c r="J128" s="1">
        <f>IFERROR(__xludf.DUMMYFUNCTION("AI(Prompt!$B$6, H160:I160)"),"Дилер")</f>
        <v/>
      </c>
      <c r="K128" s="1">
        <f>IFERROR(__xludf.DUMMYFUNCTION("AI(Prompt!$B$12, H160:J160)"),"OK")</f>
        <v/>
      </c>
      <c r="L128" s="1">
        <f>IFERROR(__xludf.DUMMYFUNCTION("AI(Prompt!$B$17, H160:I160)"),"экзоскелеты и тренажеры")</f>
        <v/>
      </c>
      <c r="M128" s="1">
        <f>IFERROR(__xludf.DUMMYFUNCTION("AI(Prompt!$B$21,A160)"),"Рехаб Технологии")</f>
        <v/>
      </c>
      <c r="N128" s="1" t="inlineStr">
        <is>
          <t>Здравоохранение-2025</t>
        </is>
      </c>
      <c r="O128" s="9" t="inlineStr">
        <is>
          <t>https://icatalog.expocentr.ru/ru/exhibitions/de590dc5-417d-11ee-80ce-a0d3c1fab97f</t>
        </is>
      </c>
    </row>
    <row r="129" hidden="1" ht="16" customHeight="1">
      <c r="A129" s="1" t="inlineStr">
        <is>
          <t>DAIWHA CORP. LTD</t>
        </is>
      </c>
      <c r="B129" s="1" t="inlineStr">
        <is>
          <t>8A150</t>
        </is>
      </c>
      <c r="C129" s="1" t="inlineStr">
        <is>
          <t>Республика Корея</t>
        </is>
      </c>
      <c r="E129" s="1" t="inlineStr">
        <is>
          <t>Республика Корея</t>
        </is>
      </c>
      <c r="F129" s="10" t="inlineStr">
        <is>
          <t>https://www.daiwha.com</t>
        </is>
      </c>
      <c r="G129" s="1" t="inlineStr">
        <is>
          <t>logistics@daiwha.com</t>
        </is>
      </c>
      <c r="H129" s="1" t="inlineStr">
        <is>
          <t>С 1979 года компания DAIWHA развивает медицинские технологии: она первой в Корее создала электрохирургические аппараты и инфузионные помпы, позже — ультразвуковые системы. Экспорт более чем в 50 стран, сильная команда разработчиков.</t>
        </is>
      </c>
      <c r="I129" s="1" t="inlineStr">
        <is>
          <t>Мониторы пациента; Оборудование для длительных вливаний крови и растворов; Устройства для энтерального питания; Принадлежности для хирургических аппаратов; Электрохирургические аппараты; Ультразвуковые хирургические аппараты</t>
        </is>
      </c>
      <c r="J129" s="1">
        <f>IFERROR(__xludf.DUMMYFUNCTION("AI(Prompt!$B$6, H161:I161)"),"Производитель")</f>
        <v/>
      </c>
      <c r="K129" s="1">
        <f>IFERROR(__xludf.DUMMYFUNCTION("AI(Prompt!$B$12, H161:J161)"),"OK")</f>
        <v/>
      </c>
      <c r="L129" s="1">
        <f>IFERROR(__xludf.DUMMYFUNCTION("AI(Prompt!$B$17, H161:I161)"),"мониторы пациента, электрохирургические аппараты и инфузионные помпы")</f>
        <v/>
      </c>
      <c r="M129" s="1">
        <f>IFERROR(__xludf.DUMMYFUNCTION("AI(Prompt!$B$21,A161)"),"Daiwha")</f>
        <v/>
      </c>
      <c r="N129" s="1" t="inlineStr">
        <is>
          <t>Здравоохранение-2025</t>
        </is>
      </c>
      <c r="O129" s="9" t="inlineStr">
        <is>
          <t>https://icatalog.expocentr.ru/ru/exhibitions/de590dc5-417d-11ee-80ce-a0d3c1fab97f</t>
        </is>
      </c>
    </row>
    <row r="130" ht="16" customHeight="1">
      <c r="A130" s="1" t="inlineStr">
        <is>
          <t>4Clinic</t>
        </is>
      </c>
      <c r="B130" s="1" t="inlineStr">
        <is>
          <t>8B030</t>
        </is>
      </c>
      <c r="C130" s="1" t="inlineStr">
        <is>
          <t>Россия</t>
        </is>
      </c>
      <c r="D130" s="1" t="inlineStr">
        <is>
          <t>Москва</t>
        </is>
      </c>
      <c r="E130" s="1" t="inlineStr">
        <is>
          <t>Россия, 109559, г. Москва, ул. Верхние Поля, д. 45, корп. 4</t>
        </is>
      </c>
      <c r="F130" s="10" t="inlineStr">
        <is>
          <t>http://4Clinic.ru</t>
        </is>
      </c>
      <c r="G130" s="1" t="inlineStr">
        <is>
          <t>info@4clinic.ru</t>
        </is>
      </c>
      <c r="H130" s="1" t="inlineStr">
        <is>
          <t>4Clinic —международная компания с офисами в России и СНГ, поставляющая диагностическое и реабилитационное оборудование. Собственный учебный центр и организация международных конгрессов для специалистов.</t>
        </is>
      </c>
      <c r="I130" s="1" t="inlineStr">
        <is>
          <t>Ультразвуковые сканеры и диагностические системы; Оборудование для ударно-волновой терапии; Оборудование для магнитотерапии; Оборудование для электротерапии; Оборудование для лазерной терапии; Учебные пособия</t>
        </is>
      </c>
      <c r="J130" s="1">
        <f>IFERROR(__xludf.DUMMYFUNCTION("AI(Prompt!$B$6, H162:I162)"),"Дилер")</f>
        <v/>
      </c>
      <c r="K130" s="1">
        <f>IFERROR(__xludf.DUMMYFUNCTION("AI(Prompt!$B$12, H162:J162)"),"OK")</f>
        <v/>
      </c>
      <c r="L130" s="1">
        <f>IFERROR(__xludf.DUMMYFUNCTION("AI(Prompt!$B$17, H162:I162)"),"оборудование, учебные пособия")</f>
        <v/>
      </c>
      <c r="M130" s="1">
        <f>IFERROR(__xludf.DUMMYFUNCTION("AI(Prompt!$B$21,A162)"),"4Clinic")</f>
        <v/>
      </c>
      <c r="N130" s="1" t="inlineStr">
        <is>
          <t>Здравоохранение-2025</t>
        </is>
      </c>
      <c r="O130" s="9" t="inlineStr">
        <is>
          <t>https://icatalog.expocentr.ru/ru/exhibitions/de590dc5-417d-11ee-80ce-a0d3c1fab97f</t>
        </is>
      </c>
    </row>
    <row r="131" ht="16" customHeight="1">
      <c r="A131" s="1" t="inlineStr">
        <is>
          <t>ТРИММ МЕДИЦИНСКИЕ СИСТЕМЫ, ООО</t>
        </is>
      </c>
      <c r="B131" s="1" t="inlineStr">
        <is>
          <t>8D060</t>
        </is>
      </c>
      <c r="C131" s="1" t="inlineStr">
        <is>
          <t>Россия</t>
        </is>
      </c>
      <c r="D131" s="1" t="inlineStr">
        <is>
          <t>Москва</t>
        </is>
      </c>
      <c r="E131" s="1" t="inlineStr">
        <is>
          <t>Россия, 107113, г. Москва, ул. Лобачика, д. 15, оф. 2</t>
        </is>
      </c>
      <c r="F131" s="10" t="inlineStr">
        <is>
          <t>http://www.trimm.ru</t>
        </is>
      </c>
      <c r="G131" s="1" t="inlineStr">
        <is>
          <t>info@trimm.ru</t>
        </is>
      </c>
      <c r="H131" s="1" t="inlineStr">
        <is>
          <t>Поставщик и производитель профессионального медицинского оборудования с опытом работы более 25 лет. Эксклюзивный дистрибьютор Fritz Stephan, Biolight, INSPITAL, MAICO Diagnostics и LinaTech в России.</t>
        </is>
      </c>
      <c r="I131" s="1" t="inlineStr">
        <is>
          <t>Осветительные приборы; Проектирование и оснащение медицинских учреждений под ключ; Аппараты для искусственной вентиляции легких; Мониторы пациента; Операционные столы; Лазерные  хирургические аппараты</t>
        </is>
      </c>
      <c r="J131" s="1">
        <f>IFERROR(__xludf.DUMMYFUNCTION("AI(Prompt!$B$6, H163:I163)"),"Производитель")</f>
        <v/>
      </c>
      <c r="K131" s="1">
        <f>IFERROR(__xludf.DUMMYFUNCTION("AI(Prompt!$B$12, H163:J163)"),"OK")</f>
        <v/>
      </c>
      <c r="L131" s="1">
        <f>IFERROR(__xludf.DUMMYFUNCTION("AI(Prompt!$B$17, H163:I163)"),"осветительные приборы, аппараты ИВЛ, мониторы пациента, операционные столы и лазерные аппараты")</f>
        <v/>
      </c>
      <c r="M131" s="1">
        <f>IFERROR(__xludf.DUMMYFUNCTION("AI(Prompt!$B$21,A163)"),"ТРИММ Медицинские Системы")</f>
        <v/>
      </c>
      <c r="N131" s="1" t="inlineStr">
        <is>
          <t>Здравоохранение-2025</t>
        </is>
      </c>
      <c r="O131" s="9" t="inlineStr">
        <is>
          <t>https://icatalog.expocentr.ru/ru/exhibitions/de590dc5-417d-11ee-80ce-a0d3c1fab97f</t>
        </is>
      </c>
    </row>
    <row r="132" ht="16" customHeight="1">
      <c r="A132" s="1" t="inlineStr">
        <is>
          <t>ТРИТОН-ЭЛЕКТРОНИКС, ФИРМА, ООО</t>
        </is>
      </c>
      <c r="B132" s="1" t="inlineStr">
        <is>
          <t>8F050,   8G070</t>
        </is>
      </c>
      <c r="C132" s="1" t="inlineStr">
        <is>
          <t>Россия</t>
        </is>
      </c>
      <c r="D132" s="1" t="inlineStr">
        <is>
          <t>Екатеринбург</t>
        </is>
      </c>
      <c r="E132" s="1" t="inlineStr">
        <is>
          <t>Россия, 620133, г. Екатеринбург, ул. Бажова, д. 33</t>
        </is>
      </c>
      <c r="F132" s="10" t="inlineStr">
        <is>
          <t>http://treaton.ru</t>
        </is>
      </c>
      <c r="G132" s="1" t="inlineStr">
        <is>
          <t>mail@treaton.ru</t>
        </is>
      </c>
      <c r="H132" s="1" t="inlineStr">
        <is>
          <t>«Тритон-ЭлектроникС» — российский разработчик и производитель медицинского оборудования для анестезиологии и реаниматологии под ТМ Treaton. Основное оборудование: аппараты ИВЛ, мониторы пациента.</t>
        </is>
      </c>
      <c r="I132" s="1" t="inlineStr">
        <is>
          <t>Производство медицинских изделий; Комплектующие для производства медицинских изделий; Аппараты для искусственной вентиляции легких; Мониторы пациента</t>
        </is>
      </c>
      <c r="J132" s="1">
        <f>IFERROR(__xludf.DUMMYFUNCTION("AI(Prompt!$B$6, H164:I164)"),"Производитель")</f>
        <v/>
      </c>
      <c r="K132" s="1">
        <f>IFERROR(__xludf.DUMMYFUNCTION("AI(Prompt!$B$12, H164:J164)"),"OK")</f>
        <v/>
      </c>
      <c r="L132" s="1">
        <f>IFERROR(__xludf.DUMMYFUNCTION("AI(Prompt!$B$17, H164:I164)"),"аппараты ИВЛ и мониторы пациента")</f>
        <v/>
      </c>
      <c r="M132" s="1">
        <f>IFERROR(__xludf.DUMMYFUNCTION("AI(Prompt!$B$21,A164)"),"Тритон Электроникс Фирма")</f>
        <v/>
      </c>
      <c r="N132" s="1" t="inlineStr">
        <is>
          <t>Здравоохранение-2025</t>
        </is>
      </c>
      <c r="O132" s="9" t="inlineStr">
        <is>
          <t>https://icatalog.expocentr.ru/ru/exhibitions/de590dc5-417d-11ee-80ce-a0d3c1fab97f</t>
        </is>
      </c>
    </row>
    <row r="133" hidden="1" ht="16" customHeight="1">
      <c r="A133" s="1" t="inlineStr">
        <is>
          <t>MODUL GRUP MUHENDISLIK ELEK. MEDIKAL INS. EGT. VE BILISIM SAN. TIC. LTD. STI.</t>
        </is>
      </c>
      <c r="B133" s="1" t="inlineStr">
        <is>
          <t>8A110</t>
        </is>
      </c>
      <c r="C133" s="1" t="inlineStr">
        <is>
          <t>Турция</t>
        </is>
      </c>
      <c r="E133" s="1" t="inlineStr">
        <is>
          <t>Турция</t>
        </is>
      </c>
      <c r="F133" s="10" t="inlineStr">
        <is>
          <t>http://www.modulmuhendislik.com.tr</t>
        </is>
      </c>
      <c r="G133" s="1" t="inlineStr">
        <is>
          <t>kalite@oxivent.com.tr</t>
        </is>
      </c>
      <c r="H133" s="1" t="inlineStr">
        <is>
          <t>— Портативные аппараты для искусственной вентиляции легких;— вакуумные аспираторы;— услуги по проектированию и инжинирингу электронных схем;— производство датчиков температуры, влажности и веса.</t>
        </is>
      </c>
      <c r="I133" s="1" t="inlineStr">
        <is>
          <t>Производство медицинских изделий; Наркозно-дыхательные аппараты; Вакуумные экстракторы, аспираторы</t>
        </is>
      </c>
      <c r="J133" s="1">
        <f>IFERROR(__xludf.DUMMYFUNCTION("AI(Prompt!$B$6, H165:I165)"),"Производитель")</f>
        <v/>
      </c>
      <c r="K133" s="1">
        <f>IFERROR(__xludf.DUMMYFUNCTION("AI(Prompt!$B$12, H165:J165)"),"OK")</f>
        <v/>
      </c>
      <c r="L133" s="1">
        <f>IFERROR(__xludf.DUMMYFUNCTION("AI(Prompt!$B$17, H165:I165)"),"аппараты ИВЛ, аспираторы и датчики")</f>
        <v/>
      </c>
      <c r="M133" s="1">
        <f>IFERROR(__xludf.DUMMYFUNCTION("AI(Prompt!$B$21,A165)"),"Modul Grup")</f>
        <v/>
      </c>
      <c r="N133" s="1" t="inlineStr">
        <is>
          <t>Здравоохранение-2025</t>
        </is>
      </c>
      <c r="O133" s="9" t="inlineStr">
        <is>
          <t>https://icatalog.expocentr.ru/ru/exhibitions/de590dc5-417d-11ee-80ce-a0d3c1fab97f</t>
        </is>
      </c>
    </row>
    <row r="134" hidden="1" ht="16" customHeight="1">
      <c r="A134" s="1" t="inlineStr">
        <is>
          <t>CHISON MEDICAL TECHNOLOGIES CO. LTD</t>
        </is>
      </c>
      <c r="B134" s="1" t="inlineStr">
        <is>
          <t>8D112</t>
        </is>
      </c>
      <c r="C134" s="1" t="inlineStr">
        <is>
          <t>Китай</t>
        </is>
      </c>
      <c r="E134" s="1" t="inlineStr">
        <is>
          <t>Китай</t>
        </is>
      </c>
      <c r="F134" s="10" t="inlineStr">
        <is>
          <t>http://www.chison.com</t>
        </is>
      </c>
      <c r="G134" s="1" t="inlineStr">
        <is>
          <t>chisonmarketing@chison.com.cn</t>
        </is>
      </c>
      <c r="H134" s="1" t="inlineStr">
        <is>
          <t>Компания CHISON, основанная в 1996 году, является мировым лидером в области производства ультразвуковых систем. Более 700 патентов и поставки более чем в 100 стран — инновации в каждой системе диагностики.</t>
        </is>
      </c>
      <c r="I134" s="1" t="inlineStr">
        <is>
          <t>Ультразвуковые сканеры и диагностические системы</t>
        </is>
      </c>
      <c r="J134" s="1">
        <f>IFERROR(__xludf.DUMMYFUNCTION("AI(Prompt!$B$6, H166:I166)"),"Производитель")</f>
        <v/>
      </c>
      <c r="K134" s="1">
        <f>IFERROR(__xludf.DUMMYFUNCTION("AI(Prompt!$B$12, H166:J166)"),"OK")</f>
        <v/>
      </c>
      <c r="L134" s="1">
        <f>IFERROR(__xludf.DUMMYFUNCTION("AI(Prompt!$B$17, H166:I166)"),"ультразвуковые сканеры и диагностические системы")</f>
        <v/>
      </c>
      <c r="M134" s="1">
        <f>IFERROR(__xludf.DUMMYFUNCTION("AI(Prompt!$B$21,A166)"),"Chison Medical Technologies")</f>
        <v/>
      </c>
      <c r="N134" s="1" t="inlineStr">
        <is>
          <t>Здравоохранение-2025</t>
        </is>
      </c>
      <c r="O134" s="9" t="inlineStr">
        <is>
          <t>https://icatalog.expocentr.ru/ru/exhibitions/de590dc5-417d-11ee-80ce-a0d3c1fab97f</t>
        </is>
      </c>
    </row>
    <row r="135" ht="16" customHeight="1">
      <c r="A135" s="1" t="inlineStr">
        <is>
          <t>ВНИИИМТ РОСЗДРАВНАДЗОРА, ФГБУ</t>
        </is>
      </c>
      <c r="B135" s="1" t="inlineStr">
        <is>
          <t>8G070</t>
        </is>
      </c>
      <c r="C135" s="1" t="inlineStr">
        <is>
          <t>Россия</t>
        </is>
      </c>
      <c r="D135" s="1" t="inlineStr">
        <is>
          <t>Москва</t>
        </is>
      </c>
      <c r="E135" s="1" t="inlineStr">
        <is>
          <t>Россия, 115522, г. Москва, Каширское ш., д. 24, стр. 16</t>
        </is>
      </c>
      <c r="F135" s="10" t="inlineStr">
        <is>
          <t>https://www.vniiimt.ru</t>
        </is>
      </c>
      <c r="G135" s="1" t="inlineStr">
        <is>
          <t>test@vniiimt.ru</t>
        </is>
      </c>
      <c r="H135" s="1" t="inlineStr">
        <is>
          <t>ФГБУ «ВНИИИМТ» Росздравнадзора является ключевым учреждением в системе здравоохранения по вопросам обеспечения безопасности, качества и эффективности медицинских изделий на российском рынке.</t>
        </is>
      </c>
      <c r="I135" s="1" t="inlineStr">
        <is>
          <t>Оборудование для мониторинга функций сердечно-сосудистой системы; Аналитика рынка, консалтинг; Профессиональное образование и повышение квалификации; Испытательные лаборатории, органы по сертификации, метрологические центры; Лабораторное оборудование</t>
        </is>
      </c>
      <c r="J135" s="1">
        <f>IFERROR(__xludf.DUMMYFUNCTION("AI(Prompt!$B$6, H167:I167)"),"Поставщик услуг")</f>
        <v/>
      </c>
      <c r="K135" s="1">
        <f>IFERROR(__xludf.DUMMYFUNCTION("AI(Prompt!$B$12, H167:J167)"),"OK")</f>
        <v/>
      </c>
      <c r="L135" s="1">
        <f>IFERROR(__xludf.DUMMYFUNCTION("AI(Prompt!$B$17, H167:I167)"),"медицинские изделия и лабораторное оборудование")</f>
        <v/>
      </c>
      <c r="M135" s="1">
        <f>IFERROR(__xludf.DUMMYFUNCTION("AI(Prompt!$B$21,A167)"),"ВНИИИМТ РОСЗДРАВНАДЗОРА")</f>
        <v/>
      </c>
      <c r="N135" s="1" t="inlineStr">
        <is>
          <t>Здравоохранение-2025</t>
        </is>
      </c>
      <c r="O135" s="9" t="inlineStr">
        <is>
          <t>https://icatalog.expocentr.ru/ru/exhibitions/de590dc5-417d-11ee-80ce-a0d3c1fab97f</t>
        </is>
      </c>
    </row>
    <row r="136" hidden="1" ht="16" customHeight="1">
      <c r="A136" s="1" t="inlineStr">
        <is>
          <t>KARMED SAGLIK URUNLERI SAN. VE TIC. LTD. STI.</t>
        </is>
      </c>
      <c r="B136" s="1" t="inlineStr">
        <is>
          <t>8B140</t>
        </is>
      </c>
      <c r="C136" s="1" t="inlineStr">
        <is>
          <t>Турция</t>
        </is>
      </c>
      <c r="E136" s="1" t="inlineStr">
        <is>
          <t>Турция</t>
        </is>
      </c>
      <c r="F136" s="10" t="inlineStr">
        <is>
          <t>https://www.karmedgroup.com.tr</t>
        </is>
      </c>
      <c r="G136" s="1" t="inlineStr">
        <is>
          <t>semih@karmedgroup.com.tr</t>
        </is>
      </c>
      <c r="H136" s="1" t="inlineStr">
        <is>
          <t>Компания, обладающая 25-летним опытом продаж спинальных хирургических имплантатов, начала свою деятельность в Стамбуле в 2008 году. Она вносит свой вклад в здравоохранение, производя, продавая и экспортируя спинальные хирургические имплантаты.</t>
        </is>
      </c>
      <c r="I136" s="1" t="inlineStr">
        <is>
          <t>Ортопедическое оборудование и инструменты; Эндопротезы и имплантаты</t>
        </is>
      </c>
      <c r="J136" s="1">
        <f>IFERROR(__xludf.DUMMYFUNCTION("AI(Prompt!$B$6, H168:I168)"),"Производитель")</f>
        <v/>
      </c>
      <c r="K136" s="1">
        <f>IFERROR(__xludf.DUMMYFUNCTION("AI(Prompt!$B$12, H168:J168)"),"OK")</f>
        <v/>
      </c>
      <c r="L136" s="1">
        <f>IFERROR(__xludf.DUMMYFUNCTION("AI(Prompt!$B$17, H168:I168)"),"имплантаты, эндопротезы и инструменты")</f>
        <v/>
      </c>
      <c r="M136" s="1">
        <f>IFERROR(__xludf.DUMMYFUNCTION("AI(Prompt!$B$21,A168)"),"Karmed Saglik Urunleri")</f>
        <v/>
      </c>
      <c r="N136" s="1" t="inlineStr">
        <is>
          <t>Здравоохранение-2025</t>
        </is>
      </c>
      <c r="O136" s="9" t="inlineStr">
        <is>
          <t>https://icatalog.expocentr.ru/ru/exhibitions/de590dc5-417d-11ee-80ce-a0d3c1fab97f</t>
        </is>
      </c>
    </row>
    <row r="137" ht="16" customHeight="1">
      <c r="A137" s="1" t="inlineStr">
        <is>
          <t>НАУЧНЫЙ ЦЕНТР ЭКСПЕРТИЗЫ СРЕДСТВ МЕДИЦИНСКОГО ПРИМЕНЕНИЯ МИНИСТЕРСТВА ЗДРАВООХРАНЕНИЯ РОССИЙСКОЙ ФЕДЕРАЦИИ, ФЕДЕРАЛЬНОЕ ГОСУДАРСТВЕННОЕ БЮДЖЕТНОЕ УЧРЕЖДЕНИЕ</t>
        </is>
      </c>
      <c r="B137" s="1" t="inlineStr">
        <is>
          <t>8G070</t>
        </is>
      </c>
      <c r="C137" s="1" t="inlineStr">
        <is>
          <t>Россия</t>
        </is>
      </c>
      <c r="D137" s="1" t="inlineStr">
        <is>
          <t>Москва</t>
        </is>
      </c>
      <c r="E137" s="1" t="inlineStr">
        <is>
          <t>Россия, 127051, г. Москва, Петровский б-р, д. 8, стр. 2</t>
        </is>
      </c>
      <c r="F137" s="10" t="inlineStr">
        <is>
          <t>https://www.regmed.ru</t>
        </is>
      </c>
      <c r="G137" s="1" t="inlineStr">
        <is>
          <t>general@expmed.ru</t>
        </is>
      </c>
      <c r="H137" s="16" t="inlineStr">
        <is>
          <t>ФГБУ «НЦЭСМП» Минздрава России осуществляет экспертизу лекарственных средств российского и зарубежного производства для медицинского применения.</t>
        </is>
      </c>
      <c r="I137" s="1" t="inlineStr">
        <is>
          <t>Оборудование для мониторинга функций сердечно-сосудистой системы; Диагностические приборы и устройства для аускультации, перкуссии, антропометрии; Комплектующие для производства медицинских изделий</t>
        </is>
      </c>
      <c r="J137" s="1">
        <f>IFERROR(__xludf.DUMMYFUNCTION("AI(Prompt!$B$6, H169:I169)"),"Поставщик услуг")</f>
        <v/>
      </c>
      <c r="K137" s="1">
        <f>IFERROR(__xludf.DUMMYFUNCTION("AI(Prompt!$B$12, H169:J169)"),"OK")</f>
        <v/>
      </c>
      <c r="L137" s="1">
        <f>IFERROR(__xludf.DUMMYFUNCTION("AI(Prompt!$B$17, H169:I169)"),"оборудование, приборы и комплектующие")</f>
        <v/>
      </c>
      <c r="M137" s="1">
        <f>IFERROR(__xludf.DUMMYFUNCTION("AI(Prompt!$B$21,A169)"),"Научный Центр Экспертизы")</f>
        <v/>
      </c>
      <c r="N137" s="1" t="inlineStr">
        <is>
          <t>Здравоохранение-2025</t>
        </is>
      </c>
      <c r="O137" s="9" t="inlineStr">
        <is>
          <t>https://icatalog.expocentr.ru/ru/exhibitions/de590dc5-417d-11ee-80ce-a0d3c1fab97f</t>
        </is>
      </c>
    </row>
    <row r="138" ht="16" customHeight="1">
      <c r="A138" s="1" t="inlineStr">
        <is>
          <t>МЕДИКО-ИНСТРУМЕНТАЛЬНЫЙ ЗАВОД ИМ. М. ГОРЬКОГО, ПАО</t>
        </is>
      </c>
      <c r="B138" s="1" t="inlineStr">
        <is>
          <t>8G070</t>
        </is>
      </c>
      <c r="C138" s="1" t="inlineStr">
        <is>
          <t>Россия</t>
        </is>
      </c>
      <c r="E138" s="1" t="inlineStr">
        <is>
          <t>Россия, 606131, Нижегородская обл., Павловский р-н, пос. Тумботино, ул. Пушкина, д. 1</t>
        </is>
      </c>
      <c r="F138" s="10" t="inlineStr">
        <is>
          <t>https://tumbotino.ru</t>
        </is>
      </c>
      <c r="G138" s="1" t="inlineStr">
        <is>
          <t>info@tumbotino.ru</t>
        </is>
      </c>
      <c r="H138" s="1" t="inlineStr">
        <is>
          <t>ПАО «МИЗ им. М. Горького» — ведущее российское предприятие по производству медицинских инструментов, основано в 1884 году. Выпускает более 5000 наименований медицинских инструментов различного назначения.</t>
        </is>
      </c>
      <c r="I138" s="1" t="inlineStr">
        <is>
          <t>Хирургическое оборудование; Хирургические инструменты</t>
        </is>
      </c>
      <c r="J138" s="1">
        <f>IFERROR(__xludf.DUMMYFUNCTION("AI(Prompt!$B$6, H170:I170)"),"Производитель")</f>
        <v/>
      </c>
      <c r="K138" s="1">
        <f>IFERROR(__xludf.DUMMYFUNCTION("AI(Prompt!$B$12, H170:J170)"),"OK")</f>
        <v/>
      </c>
      <c r="L138" s="1">
        <f>IFERROR(__xludf.DUMMYFUNCTION("AI(Prompt!$B$17, H170:I170)"),"хирургическое оборудование и хирургические инструменты")</f>
        <v/>
      </c>
      <c r="M138" s="1">
        <f>IFERROR(__xludf.DUMMYFUNCTION("AI(Prompt!$B$21,A170)"),"Медико-Инструментальный Завод")</f>
        <v/>
      </c>
      <c r="N138" s="1" t="inlineStr">
        <is>
          <t>Здравоохранение-2025</t>
        </is>
      </c>
      <c r="O138" s="9" t="inlineStr">
        <is>
          <t>https://icatalog.expocentr.ru/ru/exhibitions/de590dc5-417d-11ee-80ce-a0d3c1fab97f</t>
        </is>
      </c>
    </row>
    <row r="139" ht="16" customHeight="1">
      <c r="A139" s="1" t="inlineStr">
        <is>
          <t>РМед, Научно-производственное объединение, АО</t>
        </is>
      </c>
      <c r="B139" s="1" t="inlineStr">
        <is>
          <t>8G070</t>
        </is>
      </c>
      <c r="C139" s="1" t="inlineStr">
        <is>
          <t>Россия</t>
        </is>
      </c>
      <c r="D139" s="1" t="inlineStr">
        <is>
          <t>Москва</t>
        </is>
      </c>
      <c r="E139" s="1" t="inlineStr">
        <is>
          <t>Россия, 127299, г. Москва, вн. тер. г. м. о. Коптево, ул. Космонавта Волкова, д. 20</t>
        </is>
      </c>
      <c r="G139" s="1" t="inlineStr">
        <is>
          <t>info@rmed.tech</t>
        </is>
      </c>
      <c r="H139" s="1" t="inlineStr">
        <is>
          <t>АО «НПО «РМед» — российский производитель медицинской техники.</t>
        </is>
      </c>
      <c r="I139" s="1" t="inlineStr">
        <is>
          <t>Эндоскопы гибкие; Аппараты для искусственной вентиляции легких; Наркозно-дыхательные аппараты</t>
        </is>
      </c>
      <c r="J139" s="1">
        <f>IFERROR(__xludf.DUMMYFUNCTION("AI(Prompt!$B$6, H171:I171)"),"Производитель")</f>
        <v/>
      </c>
      <c r="K139" s="1">
        <f>IFERROR(__xludf.DUMMYFUNCTION("AI(Prompt!$B$12, H171:J171)"),"OK")</f>
        <v/>
      </c>
      <c r="L139" s="1">
        <f>IFERROR(__xludf.DUMMYFUNCTION("AI(Prompt!$B$17, H171:I171)"),"эндоскопы, аппараты ИВЛ и наркозно-дыхательные аппараты")</f>
        <v/>
      </c>
      <c r="M139" s="1">
        <f>IFERROR(__xludf.DUMMYFUNCTION("AI(Prompt!$B$21,A171)"),"РМед")</f>
        <v/>
      </c>
      <c r="N139" s="1" t="inlineStr">
        <is>
          <t>Здравоохранение-2025</t>
        </is>
      </c>
      <c r="O139" s="9" t="inlineStr">
        <is>
          <t>https://icatalog.expocentr.ru/ru/exhibitions/de590dc5-417d-11ee-80ce-a0d3c1fab97f</t>
        </is>
      </c>
    </row>
    <row r="140" ht="16" customHeight="1">
      <c r="A140" s="1" t="inlineStr">
        <is>
          <t>АТРИУМ, АО</t>
        </is>
      </c>
      <c r="B140" s="1" t="inlineStr">
        <is>
          <t>8G070</t>
        </is>
      </c>
      <c r="C140" s="1" t="inlineStr">
        <is>
          <t>Россия</t>
        </is>
      </c>
      <c r="D140" s="1" t="inlineStr">
        <is>
          <t>Тула</t>
        </is>
      </c>
      <c r="E140" s="1" t="inlineStr">
        <is>
          <t>Россия, 300004, г. Тула, Венёвское ш., д. 4, корп. 18</t>
        </is>
      </c>
      <c r="F140" s="10" t="inlineStr">
        <is>
          <t>https://medatrium.ru</t>
        </is>
      </c>
      <c r="G140" s="1" t="inlineStr">
        <is>
          <t>info@medatrium.ru</t>
        </is>
      </c>
      <c r="H140" s="1" t="inlineStr">
        <is>
          <t>Компания «Атриум» занимается производством оборудования для оснащения учреждений здравоохранения системами жизнеобеспечения и лечебного газоснабжения.</t>
        </is>
      </c>
      <c r="I140" s="1" t="inlineStr">
        <is>
          <t>Прочие диагностические устройства</t>
        </is>
      </c>
      <c r="J140" s="1">
        <f>IFERROR(__xludf.DUMMYFUNCTION("AI(Prompt!$B$6, H172:I172)"),"Производитель")</f>
        <v/>
      </c>
      <c r="K140" s="1">
        <f>IFERROR(__xludf.DUMMYFUNCTION("AI(Prompt!$B$12, H172:J172)"),"OK")</f>
        <v/>
      </c>
      <c r="L140" s="1">
        <f>IFERROR(__xludf.DUMMYFUNCTION("AI(Prompt!$B$17, H172:I172)"),"оборудование, системы жизнеобеспечения и системы газоснабжения")</f>
        <v/>
      </c>
      <c r="M140" s="1">
        <f>IFERROR(__xludf.DUMMYFUNCTION("AI(Prompt!$B$21,A172)"),"Атриум")</f>
        <v/>
      </c>
      <c r="N140" s="1" t="inlineStr">
        <is>
          <t>Здравоохранение-2025</t>
        </is>
      </c>
      <c r="O140" s="9" t="inlineStr">
        <is>
          <t>https://icatalog.expocentr.ru/ru/exhibitions/de590dc5-417d-11ee-80ce-a0d3c1fab97f</t>
        </is>
      </c>
    </row>
    <row r="141" ht="16" customHeight="1">
      <c r="A141" s="1" t="inlineStr">
        <is>
          <t>ВИТАЛ ДЕВЕЛОПМЕНТ КОРПОРЭЙШН, АО</t>
        </is>
      </c>
      <c r="B141" s="1" t="inlineStr">
        <is>
          <t>8G070</t>
        </is>
      </c>
      <c r="C141" s="1" t="inlineStr">
        <is>
          <t>Россия</t>
        </is>
      </c>
      <c r="D141" s="1" t="inlineStr">
        <is>
          <t>Санкт-Петербург</t>
        </is>
      </c>
      <c r="E141" s="1" t="inlineStr">
        <is>
          <t>Россия, 197350, г. Санкт-Петербург, Дорога в Каменку, д. 56, литера А</t>
        </is>
      </c>
      <c r="F141" s="10" t="inlineStr">
        <is>
          <t>http://www.vital-spb.ru</t>
        </is>
      </c>
      <c r="G141" s="1" t="inlineStr">
        <is>
          <t>k.pelle@vital-spb.ru</t>
        </is>
      </c>
      <c r="H141" s="1" t="inlineStr">
        <is>
          <t>Российский производитель наборов реагентов для биохимического и иммуноферментного анализа, автоматических и полуавтоматических биохимических анализаторов, установок для получения деионизированной воды.</t>
        </is>
      </c>
      <c r="I141" s="1" t="inlineStr">
        <is>
          <t>Анализаторы</t>
        </is>
      </c>
      <c r="J141" s="1">
        <f>IFERROR(__xludf.DUMMYFUNCTION("AI(Prompt!$B$6, H173:I173)"),"Производитель")</f>
        <v/>
      </c>
      <c r="K141" s="1">
        <f>IFERROR(__xludf.DUMMYFUNCTION("AI(Prompt!$B$12, H173:J173)"),"OK")</f>
        <v/>
      </c>
      <c r="L141" s="1">
        <f>IFERROR(__xludf.DUMMYFUNCTION("AI(Prompt!$B$17, H173:I173)"),"наборы реагентов, анализаторы и установки")</f>
        <v/>
      </c>
      <c r="M141" s="1">
        <f>IFERROR(__xludf.DUMMYFUNCTION("AI(Prompt!$B$21,A173)"),"Витал Девелопмент Корпорэйшн")</f>
        <v/>
      </c>
      <c r="N141" s="1" t="inlineStr">
        <is>
          <t>Здравоохранение-2025</t>
        </is>
      </c>
      <c r="O141" s="9" t="inlineStr">
        <is>
          <t>https://icatalog.expocentr.ru/ru/exhibitions/de590dc5-417d-11ee-80ce-a0d3c1fab97f</t>
        </is>
      </c>
    </row>
    <row r="142" ht="16" customHeight="1">
      <c r="A142" s="1" t="inlineStr">
        <is>
          <t>НЕГАТОСКОП.РУ, НАУЧНО-ПРОИЗВОДСТВЕННАЯ КОМПАНИЯ, ООО</t>
        </is>
      </c>
      <c r="B142" s="1" t="inlineStr">
        <is>
          <t>8G070</t>
        </is>
      </c>
      <c r="C142" s="1" t="inlineStr">
        <is>
          <t>Россия</t>
        </is>
      </c>
      <c r="D142" s="1" t="inlineStr">
        <is>
          <t>Санкт-Петербург</t>
        </is>
      </c>
      <c r="E142" s="1" t="inlineStr">
        <is>
          <t>Россия, 192284, г. Санкт-Петербург, ул. Пловдивская, д. 2, оф. 525</t>
        </is>
      </c>
      <c r="F142" s="10" t="inlineStr">
        <is>
          <t>https://negatoscope.ru</t>
        </is>
      </c>
      <c r="G142" s="1" t="inlineStr">
        <is>
          <t>info@negatoscope.ru</t>
        </is>
      </c>
      <c r="H142" s="1" t="inlineStr">
        <is>
          <t>Российский производитель медицинской техники. Производим и продаем медицинские светильники и светодиодные негатоскопы.</t>
        </is>
      </c>
      <c r="I142" s="1" t="inlineStr">
        <is>
          <t>Рентгеновские диагностические установки, передвижные и стационарные</t>
        </is>
      </c>
      <c r="J142" s="1">
        <f>IFERROR(__xludf.DUMMYFUNCTION("AI(Prompt!$B$6, H174:I174)"),"Производитель")</f>
        <v/>
      </c>
      <c r="K142" s="1">
        <f>IFERROR(__xludf.DUMMYFUNCTION("AI(Prompt!$B$12, H174:J174)"),"OK")</f>
        <v/>
      </c>
      <c r="L142" s="1">
        <f>IFERROR(__xludf.DUMMYFUNCTION("AI(Prompt!$B$17, H174:I174)"),"медицинские светильники, светодиодные негатоскопы и рентгеновские установки")</f>
        <v/>
      </c>
      <c r="M142" s="1">
        <f>IFERROR(__xludf.DUMMYFUNCTION("AI(Prompt!$B$21,A174)"),"Негатоскоп.Ру")</f>
        <v/>
      </c>
      <c r="N142" s="1" t="inlineStr">
        <is>
          <t>Здравоохранение-2025</t>
        </is>
      </c>
      <c r="O142" s="9" t="inlineStr">
        <is>
          <t>https://icatalog.expocentr.ru/ru/exhibitions/de590dc5-417d-11ee-80ce-a0d3c1fab97f</t>
        </is>
      </c>
    </row>
    <row r="143" ht="16" customHeight="1">
      <c r="A143" s="1" t="inlineStr">
        <is>
          <t>ПЕТР ТЕЛЕГИН, ООО (BPLAB TM)</t>
        </is>
      </c>
      <c r="B143" s="1" t="inlineStr">
        <is>
          <t>8A035</t>
        </is>
      </c>
      <c r="C143" s="1" t="inlineStr">
        <is>
          <t>Россия</t>
        </is>
      </c>
      <c r="D143" s="1" t="inlineStr">
        <is>
          <t>Нижний Новгород</t>
        </is>
      </c>
      <c r="E143" s="1" t="inlineStr">
        <is>
          <t>Россия, 603009, г. Нижний Новгород, просп. Гагарина, д. 37д, пом. П1</t>
        </is>
      </c>
      <c r="F143" s="10" t="inlineStr">
        <is>
          <t>http://www.bplab.ru</t>
        </is>
      </c>
      <c r="G143" s="1" t="inlineStr">
        <is>
          <t>info@bplab.com</t>
        </is>
      </c>
      <c r="H143" s="1" t="inlineStr">
        <is>
          <t>Предприятие полного цикла, производит суточные мониторы АД и ЭКГ BPlab, аппараты для объемной сфигмографии BPlab Angio, современное ПО с технологией Vasotens. Продукция используется в ЛПУ России и мира.</t>
        </is>
      </c>
      <c r="I143" s="1" t="inlineStr">
        <is>
          <t>Системы мониторирования ЭКГ и АД; Производство медицинских изделий</t>
        </is>
      </c>
      <c r="J143" s="1">
        <f>IFERROR(__xludf.DUMMYFUNCTION("AI(Prompt!$B$6, H175:I175)"),"Производитель")</f>
        <v/>
      </c>
      <c r="K143" s="1">
        <f>IFERROR(__xludf.DUMMYFUNCTION("AI(Prompt!$B$12, H175:J175)"),"OK")</f>
        <v/>
      </c>
      <c r="L143" s="1">
        <f>IFERROR(__xludf.DUMMYFUNCTION("AI(Prompt!$B$17, H175:I175)"),"мониторы и аппараты")</f>
        <v/>
      </c>
      <c r="M143" s="1">
        <f>IFERROR(__xludf.DUMMYFUNCTION("AI(Prompt!$B$21,A175)"),"BPLAB")</f>
        <v/>
      </c>
      <c r="N143" s="1" t="inlineStr">
        <is>
          <t>Здравоохранение-2025</t>
        </is>
      </c>
      <c r="O143" s="9" t="inlineStr">
        <is>
          <t>https://icatalog.expocentr.ru/ru/exhibitions/de590dc5-417d-11ee-80ce-a0d3c1fab97f</t>
        </is>
      </c>
    </row>
    <row r="144" ht="16" customHeight="1">
      <c r="A144" s="1" t="inlineStr">
        <is>
          <t>ЭЛЕМЕНТА ПЛЮС, ООО</t>
        </is>
      </c>
      <c r="B144" s="1" t="inlineStr">
        <is>
          <t>8G070</t>
        </is>
      </c>
      <c r="C144" s="1" t="inlineStr">
        <is>
          <t>Россия</t>
        </is>
      </c>
      <c r="D144" s="1" t="inlineStr">
        <is>
          <t>Москва</t>
        </is>
      </c>
      <c r="E144" s="1" t="inlineStr">
        <is>
          <t>Россия, 121471, г. Москва, вн. тер. г. м. о. Можайский, ул. Рябиновая, д. 14а</t>
        </is>
      </c>
      <c r="G144" s="1" t="inlineStr">
        <is>
          <t>info@elementaplus.ru</t>
        </is>
      </c>
      <c r="H144" s="1" t="inlineStr">
        <is>
          <t>ООО «Элемента Плюс» — российский производитель порт‑систем: титановых и полисульфоновых высокопоточных портов с комплектами для установки. Простая установка, полная промывка, МРТ/КТ/рентген‑совместимость.</t>
        </is>
      </c>
      <c r="I144" s="1" t="inlineStr">
        <is>
          <t>Хирургические инструменты; Аппараты и материалы для сердечно-сосудистой хирургии</t>
        </is>
      </c>
      <c r="J144" s="1">
        <f>IFERROR(__xludf.DUMMYFUNCTION("AI(Prompt!$B$6, H177:I177)"),"Производитель")</f>
        <v/>
      </c>
      <c r="K144" s="1">
        <f>IFERROR(__xludf.DUMMYFUNCTION("AI(Prompt!$B$12, H177:J177)"),"OK")</f>
        <v/>
      </c>
      <c r="L144" s="1">
        <f>IFERROR(__xludf.DUMMYFUNCTION("AI(Prompt!$B$17, H177:I177)"),"порт-системы и комплекты")</f>
        <v/>
      </c>
      <c r="M144" s="1">
        <f>IFERROR(__xludf.DUMMYFUNCTION("AI(Prompt!$B$21,A177)"),"Элемента Плюс")</f>
        <v/>
      </c>
      <c r="N144" s="1" t="inlineStr">
        <is>
          <t>Здравоохранение-2025</t>
        </is>
      </c>
      <c r="O144" s="9" t="inlineStr">
        <is>
          <t>https://icatalog.expocentr.ru/ru/exhibitions/de590dc5-417d-11ee-80ce-a0d3c1fab97f</t>
        </is>
      </c>
    </row>
    <row r="145" ht="16" customHeight="1">
      <c r="A145" s="1" t="inlineStr">
        <is>
          <t>ВМТ, ООО</t>
        </is>
      </c>
      <c r="B145" s="1" t="inlineStr">
        <is>
          <t>8G070</t>
        </is>
      </c>
      <c r="C145" s="1" t="inlineStr">
        <is>
          <t>Россия</t>
        </is>
      </c>
      <c r="D145" s="1" t="inlineStr">
        <is>
          <t>Челябинск</t>
        </is>
      </c>
      <c r="E145" s="1" t="inlineStr">
        <is>
          <t>Россия, 454087, г. Челябинск, ул. Рылеева, д. 16, Э101</t>
        </is>
      </c>
      <c r="F145" s="10" t="inlineStr">
        <is>
          <t>http://vmt-neuro.ru</t>
        </is>
      </c>
      <c r="G145" s="1" t="inlineStr">
        <is>
          <t>info@m-sy.ru</t>
        </is>
      </c>
      <c r="H145" s="1" t="inlineStr">
        <is>
          <t>Серийное производство изделий медицинской техники для оказания высокотехнологичной медицинской помощи (ВМП): ⁠замещение собственной продукцией импортных изделий на российском рынке.</t>
        </is>
      </c>
      <c r="I145" s="1" t="inlineStr">
        <is>
          <t>Лабораторное оборудование; Реагенты и расходные материалы для лабораторной диагностики</t>
        </is>
      </c>
      <c r="J145" s="1">
        <f>IFERROR(__xludf.DUMMYFUNCTION("AI(Prompt!$B$6, H178:I178)"),"Производитель")</f>
        <v/>
      </c>
      <c r="K145" s="1">
        <f>IFERROR(__xludf.DUMMYFUNCTION("AI(Prompt!$B$12, H178:J178)"),"OK")</f>
        <v/>
      </c>
      <c r="L145" s="1">
        <f>IFERROR(__xludf.DUMMYFUNCTION("AI(Prompt!$B$17, H178:I178)"),"изделия медицинской техники, лабораторное оборудование, реагенты и расходные материалы")</f>
        <v/>
      </c>
      <c r="M145" s="1">
        <f>IFERROR(__xludf.DUMMYFUNCTION("AI(Prompt!$B$21,A178)"),"ВМТ")</f>
        <v/>
      </c>
      <c r="N145" s="1" t="inlineStr">
        <is>
          <t>Здравоохранение-2025</t>
        </is>
      </c>
      <c r="O145" s="9" t="inlineStr">
        <is>
          <t>https://icatalog.expocentr.ru/ru/exhibitions/de590dc5-417d-11ee-80ce-a0d3c1fab97f</t>
        </is>
      </c>
    </row>
    <row r="146" ht="16" customHeight="1">
      <c r="A146" s="1" t="inlineStr">
        <is>
          <t>Циммер МедицинСистеме Рус, ООО</t>
        </is>
      </c>
      <c r="B146" s="1" t="inlineStr">
        <is>
          <t>8A090</t>
        </is>
      </c>
      <c r="C146" s="1" t="inlineStr">
        <is>
          <t>Россия</t>
        </is>
      </c>
      <c r="D146" s="1" t="inlineStr">
        <is>
          <t>Москва</t>
        </is>
      </c>
      <c r="E146" s="1" t="inlineStr">
        <is>
          <t>Россия, 121596, г. Москва, ул. Горбунова, д. 2, стр. 3, БЦ «Гранд Сетунь Плаза»</t>
        </is>
      </c>
      <c r="F146" s="10" t="inlineStr">
        <is>
          <t>http://www.zimmer-medsys.ru</t>
        </is>
      </c>
      <c r="G146" s="1" t="inlineStr">
        <is>
          <t>info@zimmer-medsys.ru</t>
        </is>
      </c>
      <c r="H146" s="1" t="inlineStr">
        <is>
          <t>Высокотехнологичное оборудование для физиотерапии и реабилитации: ударно-волновая терапия, криотерапия, электротерапия, ультразвуковая терапия, физиотерапевтические комбайны, массажные столы.</t>
        </is>
      </c>
      <c r="I146" s="1" t="inlineStr">
        <is>
          <t>Физиотерапия и реабилитация; Терапевтическое оборудование; Оборудование для ударно-волновой терапии; Оборудование для электротерапии; Оборудование для комбинированной физиотерапии; Оборудование для криотерапии</t>
        </is>
      </c>
      <c r="J146" s="1">
        <f>IFERROR(__xludf.DUMMYFUNCTION("AI(Prompt!$B$6, H180:I180)"),"Производитель")</f>
        <v/>
      </c>
      <c r="K146" s="1">
        <f>IFERROR(__xludf.DUMMYFUNCTION("AI(Prompt!$B$12, H180:J180)"),"OK")</f>
        <v/>
      </c>
      <c r="L146" s="1">
        <f>IFERROR(__xludf.DUMMYFUNCTION("AI(Prompt!$B$17, H180:I180)"),"оборудование для физиотерапии, терапевтическое оборудование и массажные столы")</f>
        <v/>
      </c>
      <c r="M146" s="1">
        <f>IFERROR(__xludf.DUMMYFUNCTION("AI(Prompt!$B$21,A180)"),"Циммер МедицинСистеме Рус")</f>
        <v/>
      </c>
      <c r="N146" s="1" t="inlineStr">
        <is>
          <t>Здравоохранение-2025</t>
        </is>
      </c>
      <c r="O146" s="9" t="inlineStr">
        <is>
          <t>https://icatalog.expocentr.ru/ru/exhibitions/de590dc5-417d-11ee-80ce-a0d3c1fab97f</t>
        </is>
      </c>
    </row>
    <row r="147" ht="16" customHeight="1">
      <c r="A147" s="1" t="inlineStr">
        <is>
          <t>НИЖЕГОРОДЕЦ CT, ООО</t>
        </is>
      </c>
      <c r="B147" s="1" t="inlineStr">
        <is>
          <t>8F150</t>
        </is>
      </c>
      <c r="C147" s="1" t="inlineStr">
        <is>
          <t>Россия</t>
        </is>
      </c>
      <c r="D147" s="1" t="inlineStr">
        <is>
          <t>Нижний Новгород</t>
        </is>
      </c>
      <c r="E147" s="1" t="inlineStr">
        <is>
          <t>Россия, 603124, г. Нижний Новгород, ул. Айвазовского, д. 1а</t>
        </is>
      </c>
      <c r="F147" s="10" t="inlineStr">
        <is>
          <t>http://www.st-nn.ru</t>
        </is>
      </c>
      <c r="G147" s="1" t="inlineStr">
        <is>
          <t>bas@st-nn.ru</t>
        </is>
      </c>
      <c r="H147" s="1" t="inlineStr">
        <is>
          <t>«СТ Нижегородец» 19 лет производит и продает коммерческий автотранспорт. Две производственные площадки, официальный дилер Sollers и Dongfeng. Более 15 000 автомобилей в год.Одно из системообразующих предприятий Нижегородской области.</t>
        </is>
      </c>
      <c r="I147" s="1" t="inlineStr">
        <is>
          <t>Транспортные средства, в том числе транспортные самолеты; Передвижные пункты первичной (скорой) медицинской помощи</t>
        </is>
      </c>
      <c r="J147" s="1">
        <f>IFERROR(__xludf.DUMMYFUNCTION("AI(Prompt!$B$6, H182:I182)"),"Производитель")</f>
        <v/>
      </c>
      <c r="K147" s="1">
        <f>IFERROR(__xludf.DUMMYFUNCTION("AI(Prompt!$B$12, H182:J182)"),"OK")</f>
        <v/>
      </c>
      <c r="L147" s="1">
        <f>IFERROR(__xludf.DUMMYFUNCTION("AI(Prompt!$B$17, H182:I182)"),"коммерческий автотранспорт, транспортные средства и передвижные пункты")</f>
        <v/>
      </c>
      <c r="M147" s="1">
        <f>IFERROR(__xludf.DUMMYFUNCTION("AI(Prompt!$B$21,A182)"),"Нижегородец CT")</f>
        <v/>
      </c>
      <c r="N147" s="1" t="inlineStr">
        <is>
          <t>Здравоохранение-2025</t>
        </is>
      </c>
      <c r="O147" s="9" t="inlineStr">
        <is>
          <t>https://icatalog.expocentr.ru/ru/exhibitions/de590dc5-417d-11ee-80ce-a0d3c1fab97f</t>
        </is>
      </c>
    </row>
    <row r="148" ht="16" customHeight="1">
      <c r="A148" s="1" t="inlineStr">
        <is>
          <t>ПОЛИТЕХМЕД, ООО</t>
        </is>
      </c>
      <c r="B148" s="1" t="inlineStr">
        <is>
          <t>8G154</t>
        </is>
      </c>
      <c r="C148" s="1" t="inlineStr">
        <is>
          <t>Россия</t>
        </is>
      </c>
      <c r="D148" s="1" t="inlineStr">
        <is>
          <t>Москва</t>
        </is>
      </c>
      <c r="E148" s="1" t="inlineStr">
        <is>
          <t>Россия, 117279, г. Москва, ул. Миклухо-Маклая, д. 36а, оф. 514</t>
        </is>
      </c>
      <c r="F148" s="10" t="inlineStr">
        <is>
          <t>http://polytechmed.ru</t>
        </is>
      </c>
      <c r="G148" s="1" t="inlineStr">
        <is>
          <t>m@ptmm.ru</t>
        </is>
      </c>
      <c r="H148" s="1" t="inlineStr">
        <is>
          <t>Разработка и производство хирургических шовных материалов по программе импортозамещения.</t>
        </is>
      </c>
      <c r="I148" s="1" t="inlineStr">
        <is>
          <t>Шовный материал; Эндопротезы и имплантаты</t>
        </is>
      </c>
      <c r="J148" s="1">
        <f>IFERROR(__xludf.DUMMYFUNCTION("AI(Prompt!$B$6, H183:I183)"),"Производитель")</f>
        <v/>
      </c>
      <c r="K148" s="1">
        <f>IFERROR(__xludf.DUMMYFUNCTION("AI(Prompt!$B$12, H183:J183)"),"OK")</f>
        <v/>
      </c>
      <c r="L148" s="1">
        <f>IFERROR(__xludf.DUMMYFUNCTION("AI(Prompt!$B$17, H183:I183)"),"шовный материал и имплантаты")</f>
        <v/>
      </c>
      <c r="M148" s="1">
        <f>IFERROR(__xludf.DUMMYFUNCTION("AI(Prompt!$B$21,A183)"),"Политехмед")</f>
        <v/>
      </c>
      <c r="N148" s="1" t="inlineStr">
        <is>
          <t>Здравоохранение-2025</t>
        </is>
      </c>
      <c r="O148" s="9" t="inlineStr">
        <is>
          <t>https://icatalog.expocentr.ru/ru/exhibitions/de590dc5-417d-11ee-80ce-a0d3c1fab97f</t>
        </is>
      </c>
    </row>
    <row r="149" ht="16" customHeight="1">
      <c r="A149" s="1" t="inlineStr">
        <is>
          <t>ЗДОРОВЬЕ HEALTH</t>
        </is>
      </c>
      <c r="B149" s="1" t="inlineStr">
        <is>
          <t>8B160</t>
        </is>
      </c>
      <c r="C149" s="1" t="inlineStr">
        <is>
          <t>Россия</t>
        </is>
      </c>
      <c r="E149" s="1" t="inlineStr">
        <is>
          <t>Россия, 143430, Московская обл., г. о. Красногорск, пгт. Нахабино, ул. Советская, д. 20а</t>
        </is>
      </c>
      <c r="F149" s="10" t="inlineStr">
        <is>
          <t>https://lektrava.ru</t>
        </is>
      </c>
      <c r="G149" s="1" t="inlineStr">
        <is>
          <t>mail@lektrava.ru</t>
        </is>
      </c>
      <c r="H149" s="1" t="inlineStr">
        <is>
          <t>Производитель лекарственных растительных препаратов, БАД к пище и фиточаев.</t>
        </is>
      </c>
      <c r="I149" s="1" t="inlineStr">
        <is>
          <t>Фармацевтические средства и БАД; Лекарственные средства; Биологически активные добавки к пище</t>
        </is>
      </c>
      <c r="J149" s="1">
        <f>IFERROR(__xludf.DUMMYFUNCTION("AI(Prompt!$B$6, H184:I184)"),"Производитель")</f>
        <v/>
      </c>
      <c r="K149" s="1">
        <f>IFERROR(__xludf.DUMMYFUNCTION("AI(Prompt!$B$12, H184:J184)"),"OK")</f>
        <v/>
      </c>
      <c r="L149" s="1">
        <f>IFERROR(__xludf.DUMMYFUNCTION("AI(Prompt!$B$17, H184:I184)"),"лекарственные препараты, БАД и фиточаи")</f>
        <v/>
      </c>
      <c r="M149" s="1">
        <f>IFERROR(__xludf.DUMMYFUNCTION("AI(Prompt!$B$21,A184)"),"Здоровье Health")</f>
        <v/>
      </c>
      <c r="N149" s="1" t="inlineStr">
        <is>
          <t>Здравоохранение-2025</t>
        </is>
      </c>
      <c r="O149" s="9" t="inlineStr">
        <is>
          <t>https://icatalog.expocentr.ru/ru/exhibitions/de590dc5-417d-11ee-80ce-a0d3c1fab97f</t>
        </is>
      </c>
    </row>
    <row r="150" ht="16" customHeight="1">
      <c r="A150" s="1" t="inlineStr">
        <is>
          <t>ДС.МЕД, ООО</t>
        </is>
      </c>
      <c r="B150" s="1" t="inlineStr">
        <is>
          <t>8G158</t>
        </is>
      </c>
      <c r="C150" s="1" t="inlineStr">
        <is>
          <t>Россия</t>
        </is>
      </c>
      <c r="D150" s="1" t="inlineStr">
        <is>
          <t>Серпухов</t>
        </is>
      </c>
      <c r="E150" s="1" t="inlineStr">
        <is>
          <t>Россия, 142214, Московская обл., г. Серпухов, Северный пр-д, д. 6, оф. 1</t>
        </is>
      </c>
      <c r="F150" s="10" t="inlineStr">
        <is>
          <t>http://www.ds-med.ru</t>
        </is>
      </c>
      <c r="G150" s="1" t="inlineStr">
        <is>
          <t>info@ds-med.ru</t>
        </is>
      </c>
      <c r="H150" s="1" t="inlineStr">
        <is>
          <t>Российский производитель инновационного медицинского оборудования. Мы специализируемся на создании современных рабочих мест для лор-врачей DS.AssistENT.</t>
        </is>
      </c>
      <c r="I150" s="1" t="inlineStr">
        <is>
          <t>Производство медицинских изделий; Рентгеновские диагностические установки, передвижные и стационарные; Отоскопы и лор-инструменты; Эндоскопы гибкие; Эндоскопические комплексы и системы; Мониторы пациента</t>
        </is>
      </c>
      <c r="J150" s="1">
        <f>IFERROR(__xludf.DUMMYFUNCTION("AI(Prompt!$B$6, H185:I185)"),"Производитель")</f>
        <v/>
      </c>
      <c r="K150" s="1">
        <f>IFERROR(__xludf.DUMMYFUNCTION("AI(Prompt!$B$12, H185:J185)"),"OK")</f>
        <v/>
      </c>
      <c r="L150" s="1">
        <f>IFERROR(__xludf.DUMMYFUNCTION("AI(Prompt!$B$17, H185:I185)"),"медицинские изделия, лор-инструменты, эндоскопы и мониторы пациента")</f>
        <v/>
      </c>
      <c r="M150" s="1">
        <f>IFERROR(__xludf.DUMMYFUNCTION("AI(Prompt!$B$21,A185)"),"ДС.МЕД")</f>
        <v/>
      </c>
      <c r="N150" s="1" t="inlineStr">
        <is>
          <t>Здравоохранение-2025</t>
        </is>
      </c>
      <c r="O150" s="9" t="inlineStr">
        <is>
          <t>https://icatalog.expocentr.ru/ru/exhibitions/de590dc5-417d-11ee-80ce-a0d3c1fab97f</t>
        </is>
      </c>
    </row>
    <row r="151" hidden="1" ht="16" customHeight="1">
      <c r="A151" s="1" t="inlineStr">
        <is>
          <t>MIA GLOBAL</t>
        </is>
      </c>
      <c r="B151" s="1" t="inlineStr">
        <is>
          <t>8G120</t>
        </is>
      </c>
      <c r="C151" s="1" t="inlineStr">
        <is>
          <t>Турция</t>
        </is>
      </c>
      <c r="E151" s="1" t="inlineStr">
        <is>
          <t>Турция</t>
        </is>
      </c>
      <c r="J151" s="1">
        <f>IFERROR(__xludf.DUMMYFUNCTION("AI(Prompt!$B$6, H188:I188)"),"NA")</f>
        <v/>
      </c>
      <c r="K151" s="1">
        <f>IFERROR(__xludf.DUMMYFUNCTION("AI(Prompt!$B$12, H188:J188)"),"NA")</f>
        <v/>
      </c>
      <c r="L151" s="1">
        <f>IFERROR(__xludf.DUMMYFUNCTION("AI(Prompt!$B$17, H188:I188)"),"нет товаров")</f>
        <v/>
      </c>
      <c r="M151" s="1">
        <f>IFERROR(__xludf.DUMMYFUNCTION("AI(Prompt!$B$21,A188)"),"MIA Global")</f>
        <v/>
      </c>
      <c r="N151" s="1" t="inlineStr">
        <is>
          <t>Здравоохранение-2025</t>
        </is>
      </c>
      <c r="O151" s="9" t="inlineStr">
        <is>
          <t>https://icatalog.expocentr.ru/ru/exhibitions/de590dc5-417d-11ee-80ce-a0d3c1fab97f</t>
        </is>
      </c>
    </row>
    <row r="152" hidden="1" ht="16" customHeight="1">
      <c r="A152" s="1" t="inlineStr">
        <is>
          <t>OPTIMA TECHNIC</t>
        </is>
      </c>
      <c r="B152" s="1" t="inlineStr">
        <is>
          <t>8G120</t>
        </is>
      </c>
      <c r="C152" s="1" t="inlineStr">
        <is>
          <t>Турция</t>
        </is>
      </c>
      <c r="E152" s="1" t="inlineStr">
        <is>
          <t>Турция</t>
        </is>
      </c>
      <c r="J152" s="1">
        <f>IFERROR(__xludf.DUMMYFUNCTION("AI(Prompt!$B$6, H190:I190)"),"NA")</f>
        <v/>
      </c>
      <c r="K152" s="1">
        <f>IFERROR(__xludf.DUMMYFUNCTION("AI(Prompt!$B$12, H190:J190)"),"NA")</f>
        <v/>
      </c>
      <c r="L152" s="1">
        <f>IFERROR(__xludf.DUMMYFUNCTION("AI(Prompt!$B$17, H190:I190)"),"нет товаров")</f>
        <v/>
      </c>
      <c r="M152" s="1">
        <f>IFERROR(__xludf.DUMMYFUNCTION("AI(Prompt!$B$21,A190)"),"Optima Technic")</f>
        <v/>
      </c>
      <c r="N152" s="1" t="inlineStr">
        <is>
          <t>Здравоохранение-2025</t>
        </is>
      </c>
      <c r="O152" s="9" t="inlineStr">
        <is>
          <t>https://icatalog.expocentr.ru/ru/exhibitions/de590dc5-417d-11ee-80ce-a0d3c1fab97f</t>
        </is>
      </c>
    </row>
    <row r="153" ht="16" customHeight="1">
      <c r="A153" s="1" t="inlineStr">
        <is>
          <t>АЛЬТЕРНАТИВНАЯ НАУКА, АО</t>
        </is>
      </c>
      <c r="B153" s="1" t="inlineStr">
        <is>
          <t>7B030</t>
        </is>
      </c>
      <c r="C153" s="1" t="inlineStr">
        <is>
          <t>Россия</t>
        </is>
      </c>
      <c r="E153" s="1" t="inlineStr">
        <is>
          <t>Россия, 188400, Ленинградская обл., Волосовский р-н, пос. Кикерино, Гатчинское ш., д. 8А, пом. 2.2</t>
        </is>
      </c>
      <c r="F153" s="10" t="inlineStr">
        <is>
          <t>http://www.altnauka.ru</t>
        </is>
      </c>
      <c r="G153" s="1" t="inlineStr">
        <is>
          <t>info@altnauka.ru</t>
        </is>
      </c>
      <c r="H153" s="1" t="inlineStr">
        <is>
          <t>АО «Альтернативная наука» производит системы медицинского газоснабжения: газовые клапаны, медицинские консоли, клапанные системы, рампы, поэтажные коробки, оборудование для кислородотерапии и аспирации.</t>
        </is>
      </c>
      <c r="I153" s="1" t="inlineStr">
        <is>
          <t>Прочее общебольничное оборудование; Оборудование для медицинских газов; Потолочные консоли</t>
        </is>
      </c>
      <c r="J153" s="1">
        <f>IFERROR(__xludf.DUMMYFUNCTION("AI(Prompt!$B$6, H191:I191)"),"Производитель")</f>
        <v/>
      </c>
      <c r="K153" s="1">
        <f>IFERROR(__xludf.DUMMYFUNCTION("AI(Prompt!$B$12, H191:J191)"),"OK")</f>
        <v/>
      </c>
      <c r="L153" s="1">
        <f>IFERROR(__xludf.DUMMYFUNCTION("AI(Prompt!$B$17, H191:I191)"),"системы газоснабжения, клапаны, консоли, рампы и коробки")</f>
        <v/>
      </c>
      <c r="M153" s="1">
        <f>IFERROR(__xludf.DUMMYFUNCTION("AI(Prompt!$B$21,A191)"),"Альтернативная Наука")</f>
        <v/>
      </c>
      <c r="N153" s="1" t="inlineStr">
        <is>
          <t>Здравоохранение-2025</t>
        </is>
      </c>
      <c r="O153" s="9" t="inlineStr">
        <is>
          <t>https://icatalog.expocentr.ru/ru/exhibitions/de590dc5-417d-11ee-80ce-a0d3c1fab97f</t>
        </is>
      </c>
    </row>
    <row r="154" ht="16" customHeight="1">
      <c r="A154" s="1" t="inlineStr">
        <is>
          <t>МЕДМАРИН, ООО</t>
        </is>
      </c>
      <c r="B154" s="1" t="inlineStr">
        <is>
          <t>7C060</t>
        </is>
      </c>
      <c r="C154" s="1" t="inlineStr">
        <is>
          <t>Россия</t>
        </is>
      </c>
      <c r="D154" s="1" t="inlineStr">
        <is>
          <t>Санкт-Петербург</t>
        </is>
      </c>
      <c r="E154" s="1" t="inlineStr">
        <is>
          <t>Россия, 195027, г. Санкт-Петербург, ул. Магнитогорская, д. 30, литера В, пом. 209</t>
        </is>
      </c>
      <c r="F154" s="10" t="inlineStr">
        <is>
          <t>http://www.medmarin.com</t>
        </is>
      </c>
      <c r="G154" s="1" t="inlineStr">
        <is>
          <t>info@medmarin.com</t>
        </is>
      </c>
      <c r="H154" s="1" t="inlineStr">
        <is>
          <t>Оборудование для профилактики и лечения гипотермии: для подогрева медицинских сред и обогрева пациентов. Оснащение отделений реанимации, неонатологии, интенсивной терапии, оперблоков, скорой помощи, МСЧ.</t>
        </is>
      </c>
      <c r="I154" s="1" t="inlineStr">
        <is>
          <t>Инкубаторы и открытые реанимационные системы; Оборудование и принадлежности для трансфузии; Средства для оказания экстренной медицинской помощи; Оборудование для длительных вливаний крови и растворов; Устройства для энтерального питания; Хирургическое оборудование</t>
        </is>
      </c>
      <c r="J154" s="1">
        <f>IFERROR(__xludf.DUMMYFUNCTION("AI(Prompt!$B$6, H192:I192)"),"Дилер")</f>
        <v/>
      </c>
      <c r="K154" s="1">
        <f>IFERROR(__xludf.DUMMYFUNCTION("AI(Prompt!$B$12, H192:J192)"),"OK")</f>
        <v/>
      </c>
      <c r="L154" s="1">
        <f>IFERROR(__xludf.DUMMYFUNCTION("AI(Prompt!$B$17, H192:I192)"),"инкубаторы, реанимационные системы, хирургическое оборудование и средства для трансфузии")</f>
        <v/>
      </c>
      <c r="M154" s="1">
        <f>IFERROR(__xludf.DUMMYFUNCTION("AI(Prompt!$B$21,A192)"),"Медмарин")</f>
        <v/>
      </c>
      <c r="N154" s="1" t="inlineStr">
        <is>
          <t>Здравоохранение-2025</t>
        </is>
      </c>
      <c r="O154" s="9" t="inlineStr">
        <is>
          <t>https://icatalog.expocentr.ru/ru/exhibitions/de590dc5-417d-11ee-80ce-a0d3c1fab97f</t>
        </is>
      </c>
    </row>
    <row r="155" hidden="1" ht="16" customHeight="1">
      <c r="A155" s="1" t="inlineStr">
        <is>
          <t>ВИСМА-ПЛАНАР НП, ООО</t>
        </is>
      </c>
      <c r="B155" s="1" t="inlineStr">
        <is>
          <t>7F050</t>
        </is>
      </c>
      <c r="C155" s="1" t="inlineStr">
        <is>
          <t>Республика Беларусь</t>
        </is>
      </c>
      <c r="D155" s="1" t="inlineStr">
        <is>
          <t>Минск</t>
        </is>
      </c>
      <c r="E155" s="1" t="inlineStr">
        <is>
          <t>Республика Беларусь, 220019, г. Минск, ул. Лобанка, д. 79</t>
        </is>
      </c>
      <c r="F155" s="10" t="inlineStr">
        <is>
          <t>http://www.visma.by</t>
        </is>
      </c>
      <c r="G155" s="1" t="inlineStr">
        <is>
          <t>visma@visma.by</t>
        </is>
      </c>
      <c r="H155" s="1" t="inlineStr">
        <is>
          <t>Производство медицинской техники для реанимации, интенсивной терапии, хирургии, скорой помощи: отсасывателей медицинских, насосов шприцевых инфузионныхе, насосов перистальтических, стоек инфузионных.</t>
        </is>
      </c>
      <c r="I155" s="1" t="inlineStr">
        <is>
          <t>Оборудование для длительных вливаний крови и растворов; Вакуумные экстракторы, аспираторы</t>
        </is>
      </c>
      <c r="J155" s="1">
        <f>IFERROR(__xludf.DUMMYFUNCTION("AI(Prompt!$B$6, H193:I193)"),"Производитель")</f>
        <v/>
      </c>
      <c r="K155" s="1">
        <f>IFERROR(__xludf.DUMMYFUNCTION("AI(Prompt!$B$12, H193:J193)"),"OK")</f>
        <v/>
      </c>
      <c r="L155" s="1">
        <f>IFERROR(__xludf.DUMMYFUNCTION("AI(Prompt!$B$17, H193:I193)"),"медицинская техника, насосы, отсасыватели и стойки")</f>
        <v/>
      </c>
      <c r="M155" s="1">
        <f>IFERROR(__xludf.DUMMYFUNCTION("AI(Prompt!$B$21,A193)"),"Висма-Планар")</f>
        <v/>
      </c>
      <c r="N155" s="1" t="inlineStr">
        <is>
          <t>Здравоохранение-2025</t>
        </is>
      </c>
      <c r="O155" s="9" t="inlineStr">
        <is>
          <t>https://icatalog.expocentr.ru/ru/exhibitions/de590dc5-417d-11ee-80ce-a0d3c1fab97f</t>
        </is>
      </c>
    </row>
    <row r="156" ht="16" customHeight="1">
      <c r="A156" s="1" t="inlineStr">
        <is>
          <t>МЕДИКО, ТПК, ООО</t>
        </is>
      </c>
      <c r="B156" s="1" t="inlineStr">
        <is>
          <t>7B020</t>
        </is>
      </c>
      <c r="C156" s="1" t="inlineStr">
        <is>
          <t>Россия</t>
        </is>
      </c>
      <c r="D156" s="1" t="inlineStr">
        <is>
          <t>Москва</t>
        </is>
      </c>
      <c r="E156" s="1" t="inlineStr">
        <is>
          <t>Россия, 111524, г. Москва, вн. тер. г. м. о. Перово, ул. Электродная, д. 2, стр. 12-13-14, этаж 3, пом. VI, комн. 29</t>
        </is>
      </c>
      <c r="F156" s="10" t="inlineStr">
        <is>
          <t>http://www.mediko.ru</t>
        </is>
      </c>
      <c r="G156" s="1" t="inlineStr">
        <is>
          <t>info@mediko.ru</t>
        </is>
      </c>
      <c r="H156" s="1" t="inlineStr">
        <is>
          <t>С 2005 года производим оборудование для хирургии и реанимации.</t>
        </is>
      </c>
      <c r="I156" s="1" t="inlineStr">
        <is>
          <t>Осветительные приборы; Аппараты для искусственной вентиляции легких; Операционные столы; Потолочные консоли; Осветители хирургические</t>
        </is>
      </c>
      <c r="J156" s="1">
        <f>IFERROR(__xludf.DUMMYFUNCTION("AI(Prompt!$B$6, H194:I194)"),"Производитель")</f>
        <v/>
      </c>
      <c r="K156" s="1">
        <f>IFERROR(__xludf.DUMMYFUNCTION("AI(Prompt!$B$12, H194:J194)"),"OK")</f>
        <v/>
      </c>
      <c r="L156" s="1">
        <f>IFERROR(__xludf.DUMMYFUNCTION("AI(Prompt!$B$17, H194:I194)"),"осветительные приборы, аппараты ИВЛ, операционные столы и потолочные консоли")</f>
        <v/>
      </c>
      <c r="M156" s="1">
        <f>IFERROR(__xludf.DUMMYFUNCTION("AI(Prompt!$B$21,A194)"),"Медико, ТПК")</f>
        <v/>
      </c>
      <c r="N156" s="1" t="inlineStr">
        <is>
          <t>Здравоохранение-2025</t>
        </is>
      </c>
      <c r="O156" s="9" t="inlineStr">
        <is>
          <t>https://icatalog.expocentr.ru/ru/exhibitions/de590dc5-417d-11ee-80ce-a0d3c1fab97f</t>
        </is>
      </c>
    </row>
    <row r="157" ht="16" customHeight="1">
      <c r="A157" s="1" t="inlineStr">
        <is>
          <t>ТУЛИНОВСКИЙ ПРИБОРОСТРОИТЕЛЬНЫЙ ЗАВОД ТВЕС</t>
        </is>
      </c>
      <c r="B157" s="1" t="inlineStr">
        <is>
          <t>7B160</t>
        </is>
      </c>
      <c r="C157" s="1" t="inlineStr">
        <is>
          <t>Россия</t>
        </is>
      </c>
      <c r="E157" s="1" t="inlineStr">
        <is>
          <t>Россия, 392511, Тамбовская обл., с. Тулиновка, ул. Позднякова, д. 3</t>
        </is>
      </c>
      <c r="F157" s="10" t="inlineStr">
        <is>
          <t>http://www.tves.com.ru</t>
        </is>
      </c>
      <c r="G157" s="1" t="inlineStr">
        <is>
          <t>green99777777@mail.ru</t>
        </is>
      </c>
      <c r="H157" s="1" t="inlineStr">
        <is>
          <t>АО «ТВЕС» производит весоизмерительную технику высокой точности. Комплекс аппаратно-программный для медицинского осмотра пациентов «КАП МО-1». Аппаратно-программный комплекс «Здоровье. Правильное питание».</t>
        </is>
      </c>
      <c r="I157" s="1" t="inlineStr">
        <is>
          <t>Диагностические приборы и устройства для аускультации, перкуссии, антропометрии</t>
        </is>
      </c>
      <c r="J157" s="1">
        <f>IFERROR(__xludf.DUMMYFUNCTION("AI(Prompt!$B$6, H195:I195)"),"Производитель")</f>
        <v/>
      </c>
      <c r="K157" s="1">
        <f>IFERROR(__xludf.DUMMYFUNCTION("AI(Prompt!$B$12, H195:J195)"),"OK")</f>
        <v/>
      </c>
      <c r="L157" s="1">
        <f>IFERROR(__xludf.DUMMYFUNCTION("AI(Prompt!$B$17, H195:I195)"),"весоизмерительная техника, диагностические приборы и устройства")</f>
        <v/>
      </c>
      <c r="M157" s="1">
        <f>IFERROR(__xludf.DUMMYFUNCTION("AI(Prompt!$B$21,A195)"),"Тулиновский ТВЕС")</f>
        <v/>
      </c>
      <c r="N157" s="1" t="inlineStr">
        <is>
          <t>Здравоохранение-2025</t>
        </is>
      </c>
      <c r="O157" s="9" t="inlineStr">
        <is>
          <t>https://icatalog.expocentr.ru/ru/exhibitions/de590dc5-417d-11ee-80ce-a0d3c1fab97f</t>
        </is>
      </c>
    </row>
    <row r="158" ht="16" customHeight="1">
      <c r="A158" s="1" t="inlineStr">
        <is>
          <t>ENDOMED</t>
        </is>
      </c>
      <c r="B158" s="11" t="n">
        <v>7e+50</v>
      </c>
      <c r="C158" s="1" t="inlineStr">
        <is>
          <t>Россия</t>
        </is>
      </c>
      <c r="D158" s="1" t="inlineStr">
        <is>
          <t>Санкт-Петербург</t>
        </is>
      </c>
      <c r="E158" s="1" t="inlineStr">
        <is>
          <t>Россия, г. Санкт-Петербург, просп. Металлистов, д. 7</t>
        </is>
      </c>
      <c r="F158" s="10" t="inlineStr">
        <is>
          <t>http://www.endomed.biz</t>
        </is>
      </c>
      <c r="G158" s="1" t="inlineStr">
        <is>
          <t>info@endomed.biz</t>
        </is>
      </c>
      <c r="H158" s="1" t="inlineStr">
        <is>
          <t>Российский производитель: гастро- и колонофиброскопов Endomed; портативных видеобронхоскопов и портативных видеоназофаринголарингоскопов, ирригаторов и инсуффляторов CO2 для гибкой эндоскопии.</t>
        </is>
      </c>
      <c r="I158" s="1" t="inlineStr">
        <is>
          <t>Приборы для оценки функции ЖКТ; Производство медицинских изделий; Отоскопы и лор-инструменты; Эндоскопы гибкие; Эндоскопические комплексы и системы; Инструменты и принадлежности для эндоскопии</t>
        </is>
      </c>
      <c r="J158" s="1">
        <f>IFERROR(__xludf.DUMMYFUNCTION("AI(Prompt!$B$6, H196:I196)"),"Производитель")</f>
        <v/>
      </c>
      <c r="K158" s="1">
        <f>IFERROR(__xludf.DUMMYFUNCTION("AI(Prompt!$B$12, H196:J196)"),"OK")</f>
        <v/>
      </c>
      <c r="L158" s="1">
        <f>IFERROR(__xludf.DUMMYFUNCTION("AI(Prompt!$B$17, H196:I196)"),"эндоскопы, ирригаторы и инсуффляторы")</f>
        <v/>
      </c>
      <c r="M158" s="1">
        <f>IFERROR(__xludf.DUMMYFUNCTION("AI(Prompt!$B$21,A196)"),"ENDOMED")</f>
        <v/>
      </c>
      <c r="N158" s="1" t="inlineStr">
        <is>
          <t>Здравоохранение-2025</t>
        </is>
      </c>
      <c r="O158" s="9" t="inlineStr">
        <is>
          <t>https://icatalog.expocentr.ru/ru/exhibitions/de590dc5-417d-11ee-80ce-a0d3c1fab97f</t>
        </is>
      </c>
    </row>
    <row r="159" hidden="1" ht="16" customHeight="1">
      <c r="A159" s="1" t="inlineStr">
        <is>
          <t>SHENZHEN COMEN MEDICAL INSTRUMENTS CO. LTD</t>
        </is>
      </c>
      <c r="B159" s="1" t="inlineStr">
        <is>
          <t>7C050</t>
        </is>
      </c>
      <c r="C159" s="1" t="inlineStr">
        <is>
          <t>Китай</t>
        </is>
      </c>
      <c r="E159" s="1" t="inlineStr">
        <is>
          <t>Китай</t>
        </is>
      </c>
      <c r="F159" s="10" t="inlineStr">
        <is>
          <t>http://rus.comen.com</t>
        </is>
      </c>
      <c r="G159" s="1" t="inlineStr">
        <is>
          <t>marketing.russia@szcomen.com</t>
        </is>
      </c>
      <c r="H159" s="1" t="inlineStr">
        <is>
          <t>Компания Comen, основанная в 2002 году, является ведущим китайским производителем медицинского оборудования и поставщиком комплексных решений в области жизнеобеспечения, лабораторной диагностики и визуализации.</t>
        </is>
      </c>
      <c r="I159" s="1" t="inlineStr">
        <is>
          <t>Инкубаторы и открытые реанимационные системы; Эндоскопические комплексы и системы; Аппараты для искусственной вентиляции легких; Мониторы пациента; Дефибрилляторы; Наркозно-дыхательные аппараты</t>
        </is>
      </c>
      <c r="J159" s="1">
        <f>IFERROR(__xludf.DUMMYFUNCTION("AI(Prompt!$B$6, H197:I197)"),"Производитель")</f>
        <v/>
      </c>
      <c r="K159" s="1">
        <f>IFERROR(__xludf.DUMMYFUNCTION("AI(Prompt!$B$12, H197:J197)"),"OK")</f>
        <v/>
      </c>
      <c r="L159" s="1">
        <f>IFERROR(__xludf.DUMMYFUNCTION("AI(Prompt!$B$17, H197:I197)"),"инкубаторы, эндоскопические комплексы, аппараты ИВЛ, мониторы, и дефибрилляторы")</f>
        <v/>
      </c>
      <c r="M159" s="1">
        <f>IFERROR(__xludf.DUMMYFUNCTION("AI(Prompt!$B$21,A197)"),"Comen")</f>
        <v/>
      </c>
      <c r="N159" s="1" t="inlineStr">
        <is>
          <t>Здравоохранение-2025</t>
        </is>
      </c>
      <c r="O159" s="9" t="inlineStr">
        <is>
          <t>https://icatalog.expocentr.ru/ru/exhibitions/de590dc5-417d-11ee-80ce-a0d3c1fab97f</t>
        </is>
      </c>
    </row>
    <row r="160" ht="16" customHeight="1">
      <c r="A160" s="1" t="inlineStr">
        <is>
          <t>НЕОФИТОС, ООО</t>
        </is>
      </c>
      <c r="B160" s="1" t="inlineStr">
        <is>
          <t>7C160</t>
        </is>
      </c>
      <c r="C160" s="1" t="inlineStr">
        <is>
          <t>Россия</t>
        </is>
      </c>
      <c r="D160" s="1" t="inlineStr">
        <is>
          <t>Москва</t>
        </is>
      </c>
      <c r="E160" s="1" t="inlineStr">
        <is>
          <t>Россия, 127576, г. Москва, ул. Илимская, д. 3а, стр. 1, комн. 2.1</t>
        </is>
      </c>
      <c r="F160" s="10" t="inlineStr">
        <is>
          <t>http://www.neofytos.ru</t>
        </is>
      </c>
      <c r="G160" s="1" t="inlineStr">
        <is>
          <t>info@neofytos.ru</t>
        </is>
      </c>
      <c r="H160" s="1" t="inlineStr">
        <is>
          <t>Розничная и оптовая продажа материалов (искусственной кожи и ткани) для производства медицинской, уличной, контрактной, спортивной и мягкой мебели.</t>
        </is>
      </c>
      <c r="I160" s="1" t="inlineStr">
        <is>
          <t>Медицинская мебель; Кушетки медицинские; Столы массажные; Прочее общебольничное оборудование; Производство медицинских изделий; Комплектующие для производства медицинских изделий</t>
        </is>
      </c>
      <c r="J160" s="1">
        <f>IFERROR(__xludf.DUMMYFUNCTION("AI(Prompt!$B$6, H198:I198)"),"Дилер")</f>
        <v/>
      </c>
      <c r="K160" s="1">
        <f>IFERROR(__xludf.DUMMYFUNCTION("AI(Prompt!$B$12, H198:J198)"),"OK")</f>
        <v/>
      </c>
      <c r="L160" s="1">
        <f>IFERROR(__xludf.DUMMYFUNCTION("AI(Prompt!$B$17, H198:I198)"),"искусственная кожа, ткани, медицинская мебель и комплектующие")</f>
        <v/>
      </c>
      <c r="M160" s="1">
        <f>IFERROR(__xludf.DUMMYFUNCTION("AI(Prompt!$B$21,A198)"),"Неофитос")</f>
        <v/>
      </c>
      <c r="N160" s="1" t="inlineStr">
        <is>
          <t>Здравоохранение-2025</t>
        </is>
      </c>
      <c r="O160" s="9" t="inlineStr">
        <is>
          <t>https://icatalog.expocentr.ru/ru/exhibitions/de590dc5-417d-11ee-80ce-a0d3c1fab97f</t>
        </is>
      </c>
    </row>
    <row r="161" ht="16" customHeight="1">
      <c r="A161" s="1" t="inlineStr">
        <is>
          <t>ДОСЧАТИНСКИЙ ЗАВОД МЕДИЦИНСКОГО ОБОРУДОВАНИЯ, АО</t>
        </is>
      </c>
      <c r="B161" s="1" t="inlineStr">
        <is>
          <t>7F105</t>
        </is>
      </c>
      <c r="C161" s="1" t="inlineStr">
        <is>
          <t>Россия</t>
        </is>
      </c>
      <c r="D161" s="1" t="inlineStr">
        <is>
          <t>Выкса</t>
        </is>
      </c>
      <c r="E161" s="1" t="inlineStr">
        <is>
          <t>Россия, 607033, Нижегородская обл., г. Выкса, ул. Лесная, пос. Досчатое</t>
        </is>
      </c>
      <c r="F161" s="10" t="inlineStr">
        <is>
          <t>http://www.dzmo.ru</t>
        </is>
      </c>
      <c r="G161" s="1" t="inlineStr">
        <is>
          <t>marketing@dzmo.ru</t>
        </is>
      </c>
      <c r="H161" s="1" t="inlineStr">
        <is>
          <t>С 1936 г. производим надежную медтехнику: функциональные кровати, тележки, гинекологические кресла, неонатальные столы и другое. Все кровати имеют документальное подтверждение российского производства.</t>
        </is>
      </c>
      <c r="I161" s="1" t="inlineStr">
        <is>
          <t>Мебель для гинекологии и акушерства; Гинекологические кресла; Родовые кровати; Медицинская мебель; Средства перевозки (перемещения) пациентов, оборудования и материалов; Производство медицинских изделий</t>
        </is>
      </c>
      <c r="J161" s="1">
        <f>IFERROR(__xludf.DUMMYFUNCTION("AI(Prompt!$B$6, H199:I199)"),"Производитель")</f>
        <v/>
      </c>
      <c r="K161" s="1">
        <f>IFERROR(__xludf.DUMMYFUNCTION("AI(Prompt!$B$12, H199:J199)"),"OK")</f>
        <v/>
      </c>
      <c r="L161" s="1">
        <f>IFERROR(__xludf.DUMMYFUNCTION("AI(Prompt!$B$17, H199:I199)"),"кровати, тележки, кресла и столы")</f>
        <v/>
      </c>
      <c r="M161" s="1">
        <f>IFERROR(__xludf.DUMMYFUNCTION("AI(Prompt!$B$21,A199)"),"Досчатинский Завод")</f>
        <v/>
      </c>
      <c r="N161" s="1" t="inlineStr">
        <is>
          <t>Здравоохранение-2025</t>
        </is>
      </c>
      <c r="O161" s="9" t="inlineStr">
        <is>
          <t>https://icatalog.expocentr.ru/ru/exhibitions/de590dc5-417d-11ee-80ce-a0d3c1fab97f</t>
        </is>
      </c>
    </row>
    <row r="162" ht="16" customHeight="1">
      <c r="A162" s="1" t="inlineStr">
        <is>
          <t>МЕДИМКОМ, ООО</t>
        </is>
      </c>
      <c r="B162" s="1" t="inlineStr">
        <is>
          <t>7D110</t>
        </is>
      </c>
      <c r="C162" s="1" t="inlineStr">
        <is>
          <t>Россия</t>
        </is>
      </c>
      <c r="D162" s="1" t="inlineStr">
        <is>
          <t>Санкт-Петербург</t>
        </is>
      </c>
      <c r="E162" s="1" t="inlineStr">
        <is>
          <t>Россия, 197183, г. Санкт-Петербург, ул. Полевая Сабировская, д. 43, литера Б</t>
        </is>
      </c>
      <c r="F162" s="10" t="inlineStr">
        <is>
          <t>http://www.medimcom.ru</t>
        </is>
      </c>
      <c r="G162" s="1" t="inlineStr">
        <is>
          <t>info@medimcom.ru</t>
        </is>
      </c>
      <c r="H162" s="1" t="inlineStr">
        <is>
          <t>«Медимком» – производитель и поставщик медицинских расходных материалов и оборудования мировых брендов в РФ с 20-летним опытом. Бесперебойные поставки, оптимальные цены, сервис для клиентов и партнеров.</t>
        </is>
      </c>
      <c r="I162" s="1" t="inlineStr">
        <is>
          <t>Оборудование для лечения онкологических заболеваний; Инструменты и принадлежности для инъекций  и взятия крови; Наркозно-дыхательные аппараты; Принадлежности и расходные материалы для реанимации и экстренной помощи; Хирургическое оборудование; Хирургические инструменты</t>
        </is>
      </c>
      <c r="J162" s="1">
        <f>IFERROR(__xludf.DUMMYFUNCTION("AI(Prompt!$B$6, H200:I200)"),"Производитель")</f>
        <v/>
      </c>
      <c r="K162" s="1">
        <f>IFERROR(__xludf.DUMMYFUNCTION("AI(Prompt!$B$12, H200:J200)"),"OK")</f>
        <v/>
      </c>
      <c r="L162" s="1">
        <f>IFERROR(__xludf.DUMMYFUNCTION("AI(Prompt!$B$17, H200:I200)"),"расходные материалы, медицинское оборудование, хирургические инструменты")</f>
        <v/>
      </c>
      <c r="M162" s="1">
        <f>IFERROR(__xludf.DUMMYFUNCTION("AI(Prompt!$B$21,A200)"),"Медимком")</f>
        <v/>
      </c>
      <c r="N162" s="1" t="inlineStr">
        <is>
          <t>Здравоохранение-2025</t>
        </is>
      </c>
      <c r="O162" s="9" t="inlineStr">
        <is>
          <t>https://icatalog.expocentr.ru/ru/exhibitions/de590dc5-417d-11ee-80ce-a0d3c1fab97f</t>
        </is>
      </c>
    </row>
    <row r="163" ht="16" customHeight="1">
      <c r="A163" s="1" t="inlineStr">
        <is>
          <t>МЕДПЛАНТ, ООО</t>
        </is>
      </c>
      <c r="B163" s="1" t="inlineStr">
        <is>
          <t>7A030</t>
        </is>
      </c>
      <c r="C163" s="1" t="inlineStr">
        <is>
          <t>Россия</t>
        </is>
      </c>
      <c r="D163" s="1" t="inlineStr">
        <is>
          <t>Москва</t>
        </is>
      </c>
      <c r="E163" s="1" t="inlineStr">
        <is>
          <t>Россия, 109316, г. Москва, Волгоградский просп., д. 42, корп. 5, этаж 2, пом. I, комн. 296-318</t>
        </is>
      </c>
      <c r="F163" s="10" t="inlineStr">
        <is>
          <t>http://www.medplant.ru</t>
        </is>
      </c>
      <c r="G163" s="1" t="inlineStr">
        <is>
          <t>medplant@medplant.ru</t>
        </is>
      </c>
      <c r="H163" s="1" t="inlineStr">
        <is>
          <t>«МЕДПЛАНТ» — российское предприятие, которое разрабатывает и производит оборудование для оснащения машин скорой медицинской помощи, а также оказания первой и экстренной помощи. Завод «МЕДПЛАНТ» является предприятием непрерывного цикла и уже более 25 лет обеспечивает медицинскими изделиями собственного производства службы первой и скорой медицинской помощи всех регионов страны и ближнего зарубежья.</t>
        </is>
      </c>
      <c r="I163" s="1" t="inlineStr">
        <is>
          <t>Одноразовые медицинские изделия прочие; Спасательное оборудование и снаряжение; Средства для оказания экстренной медицинской помощи; Ларингоскопы; Мониторы пациента; Комплекты реанимационного оборудования</t>
        </is>
      </c>
      <c r="J163" s="1">
        <f>IFERROR(__xludf.DUMMYFUNCTION("AI(Prompt!$B$6, H201:I201)"),"Производитель")</f>
        <v/>
      </c>
      <c r="K163" s="1">
        <f>IFERROR(__xludf.DUMMYFUNCTION("AI(Prompt!$B$12, H201:J201)"),"OK")</f>
        <v/>
      </c>
      <c r="L163" s="1">
        <f>IFERROR(__xludf.DUMMYFUNCTION("AI(Prompt!$B$17, H201:I201)"),"медицинские изделия, спасательное оборудование, ларингоскопы, мониторы и комплекты реанимации")</f>
        <v/>
      </c>
      <c r="M163" s="1">
        <f>IFERROR(__xludf.DUMMYFUNCTION("AI(Prompt!$B$21,A201)"),"Медплант")</f>
        <v/>
      </c>
      <c r="N163" s="1" t="inlineStr">
        <is>
          <t>Здравоохранение-2025</t>
        </is>
      </c>
      <c r="O163" s="9" t="inlineStr">
        <is>
          <t>https://icatalog.expocentr.ru/ru/exhibitions/de590dc5-417d-11ee-80ce-a0d3c1fab97f</t>
        </is>
      </c>
    </row>
    <row r="164" ht="16" customHeight="1">
      <c r="A164" s="1" t="inlineStr">
        <is>
          <t>НОВАЯ МЕДИЦИНСКАЯ КОМПАНИЯ, ООО</t>
        </is>
      </c>
      <c r="B164" s="1" t="inlineStr">
        <is>
          <t>7F120</t>
        </is>
      </c>
      <c r="C164" s="1" t="inlineStr">
        <is>
          <t>Россия</t>
        </is>
      </c>
      <c r="D164" s="1" t="inlineStr">
        <is>
          <t>Серпухов</t>
        </is>
      </c>
      <c r="E164" s="1" t="inlineStr">
        <is>
          <t>Россия, 142200, Московская обл., г. Серпухов, ул. Ворошилова, д. 128, оф. 304</t>
        </is>
      </c>
      <c r="F164" s="10" t="inlineStr">
        <is>
          <t>http://www.newmedcom.ru</t>
        </is>
      </c>
      <c r="G164" s="1" t="inlineStr">
        <is>
          <t>info@newmedcom.ru</t>
        </is>
      </c>
      <c r="H164" s="1" t="inlineStr">
        <is>
          <t>Дистрибьютор медицинского оборудования ведущих производителей с опытом работы более 15 лет! Уполномоченный представитель компаний-производителей Oricare и Aeonmed в России.</t>
        </is>
      </c>
      <c r="I164" s="1" t="inlineStr">
        <is>
          <t>Фетальные мониторы; Аппараты для искусственной вентиляции легких; Мониторы пациента; Наркозно-дыхательные аппараты; Операционные столы; Потолочные консоли</t>
        </is>
      </c>
      <c r="J164" s="1">
        <f>IFERROR(__xludf.DUMMYFUNCTION("AI(Prompt!$B$6, H202:I202)"),"Дилер")</f>
        <v/>
      </c>
      <c r="K164" s="1">
        <f>IFERROR(__xludf.DUMMYFUNCTION("AI(Prompt!$B$12, H202:J202)"),"OK")</f>
        <v/>
      </c>
      <c r="L164" s="1">
        <f>IFERROR(__xludf.DUMMYFUNCTION("AI(Prompt!$B$17, H202:I202)"),"фетальные мониторы, аппараты ИВЛ, мониторы пациента, наркозно-дыхательные аппараты и операционные столы")</f>
        <v/>
      </c>
      <c r="M164" s="1">
        <f>IFERROR(__xludf.DUMMYFUNCTION("AI(Prompt!$B$21,A202)"),"Новая Медицинская Компания")</f>
        <v/>
      </c>
      <c r="N164" s="1" t="inlineStr">
        <is>
          <t>Здравоохранение-2025</t>
        </is>
      </c>
      <c r="O164" s="9" t="inlineStr">
        <is>
          <t>https://icatalog.expocentr.ru/ru/exhibitions/de590dc5-417d-11ee-80ce-a0d3c1fab97f</t>
        </is>
      </c>
    </row>
    <row r="165" ht="16" customHeight="1">
      <c r="A165" s="1" t="inlineStr">
        <is>
          <t>ЛЕВЕНШТАЙН МЕДИКАЛ РУС, ООО</t>
        </is>
      </c>
      <c r="B165" s="1" t="inlineStr">
        <is>
          <t>7C001</t>
        </is>
      </c>
      <c r="C165" s="1" t="inlineStr">
        <is>
          <t>Россия</t>
        </is>
      </c>
      <c r="D165" s="1" t="inlineStr">
        <is>
          <t>Москва</t>
        </is>
      </c>
      <c r="E165" s="1" t="inlineStr">
        <is>
          <t>Россия, 127106, г. Москва, вн. тер. г. м. о. Марфино, ул. Гостиничная, д. 5</t>
        </is>
      </c>
      <c r="F165" s="10" t="inlineStr">
        <is>
          <t>https://loewensteinmedical.com</t>
        </is>
      </c>
      <c r="G165" s="1" t="inlineStr">
        <is>
          <t>nadeschda.borodina@loewensteinmedical.com</t>
        </is>
      </c>
      <c r="H165" s="1" t="inlineStr">
        <is>
          <t>Немецкая компания Löwenstein Medical — это разработчик и производитель наркозных аппаратов, стационарных и портативных аппаратов ИВЛ, НВЛ, СРАР, масок и диагностических систем для лабораторий сна.</t>
        </is>
      </c>
      <c r="I165" s="1" t="inlineStr">
        <is>
          <t>Системы мониторирования ЭЭГ; Нейрофизиологическое оборудование; Прочие диагностические устройства; Аппараты для искусственной вентиляции легких; Наркозно-дыхательные аппараты; Принадлежности и расходные материалы для реанимации и экстренной помощи</t>
        </is>
      </c>
      <c r="J165" s="1">
        <f>IFERROR(__xludf.DUMMYFUNCTION("AI(Prompt!$B$6, H203:I203)"),"Производитель")</f>
        <v/>
      </c>
      <c r="K165" s="1">
        <f>IFERROR(__xludf.DUMMYFUNCTION("AI(Prompt!$B$12, H203:J203)"),"OK")</f>
        <v/>
      </c>
      <c r="L165" s="1">
        <f>IFERROR(__xludf.DUMMYFUNCTION("AI(Prompt!$B$17, H203:I203)"),"аппараты, системы, маски и принадлежности")</f>
        <v/>
      </c>
      <c r="M165" s="1">
        <f>IFERROR(__xludf.DUMMYFUNCTION("AI(Prompt!$B$21,A203)"),"Левенштайн Медикал Рус")</f>
        <v/>
      </c>
      <c r="N165" s="1" t="inlineStr">
        <is>
          <t>Здравоохранение-2025</t>
        </is>
      </c>
      <c r="O165" s="9" t="inlineStr">
        <is>
          <t>https://icatalog.expocentr.ru/ru/exhibitions/de590dc5-417d-11ee-80ce-a0d3c1fab97f</t>
        </is>
      </c>
    </row>
    <row r="166" ht="16" customHeight="1">
      <c r="A166" s="1" t="inlineStr">
        <is>
          <t>СЕВКАВРЕНТГЕН-Д, ООО</t>
        </is>
      </c>
      <c r="B166" s="1" t="inlineStr">
        <is>
          <t>7B040</t>
        </is>
      </c>
      <c r="C166" s="1" t="inlineStr">
        <is>
          <t>Россия</t>
        </is>
      </c>
      <c r="D166" s="1" t="inlineStr">
        <is>
          <t>Майский</t>
        </is>
      </c>
      <c r="E166" s="1" t="inlineStr">
        <is>
          <t>Россия, 361115, Кабардино-Балкарская Республика, г. Майский, ул. 9 Мая, д. 181</t>
        </is>
      </c>
      <c r="F166" s="10" t="inlineStr">
        <is>
          <t>http://www.skrz.ru</t>
        </is>
      </c>
      <c r="G166" s="1" t="inlineStr">
        <is>
          <t>info@skrz.ru</t>
        </is>
      </c>
      <c r="H166" s="1" t="inlineStr">
        <is>
          <t>Российский производитель и поставщик медицинского рентгеновского диагностического оборудования и штативных медицинских устройств.</t>
        </is>
      </c>
      <c r="I166" s="1" t="inlineStr">
        <is>
          <t>Рентгеновские диагностические установки, передвижные и стационарные; Столы для радиографии; Средства защиты от рентгеновских лучей; Системы оцифровки и хранения изображений; Маммографы; Флюорографы</t>
        </is>
      </c>
      <c r="J166" s="1">
        <f>IFERROR(__xludf.DUMMYFUNCTION("AI(Prompt!$B$6, H204:I204)"),"Производитель")</f>
        <v/>
      </c>
      <c r="K166" s="1">
        <f>IFERROR(__xludf.DUMMYFUNCTION("AI(Prompt!$B$12, H204:J204)"),"OK")</f>
        <v/>
      </c>
      <c r="L166" s="1">
        <f>IFERROR(__xludf.DUMMYFUNCTION("AI(Prompt!$B$17, H204:I204)"),"рентгеновские установки, штативные устройства, маммографы и флюорографы")</f>
        <v/>
      </c>
      <c r="M166" s="1">
        <f>IFERROR(__xludf.DUMMYFUNCTION("AI(Prompt!$B$21,A204)"),"Севкаврентген-Д")</f>
        <v/>
      </c>
      <c r="N166" s="1" t="inlineStr">
        <is>
          <t>Здравоохранение-2025</t>
        </is>
      </c>
      <c r="O166" s="9" t="inlineStr">
        <is>
          <t>https://icatalog.expocentr.ru/ru/exhibitions/de590dc5-417d-11ee-80ce-a0d3c1fab97f</t>
        </is>
      </c>
    </row>
    <row r="167" ht="16" customHeight="1">
      <c r="A167" s="1" t="inlineStr">
        <is>
          <t>ВЭЛМЕНТ, ООО</t>
        </is>
      </c>
      <c r="B167" s="1" t="inlineStr">
        <is>
          <t>7C025</t>
        </is>
      </c>
      <c r="C167" s="1" t="inlineStr">
        <is>
          <t>Россия</t>
        </is>
      </c>
      <c r="D167" s="1" t="inlineStr">
        <is>
          <t>Москва</t>
        </is>
      </c>
      <c r="E167" s="1" t="inlineStr">
        <is>
          <t>Россия, 125252, г. Москва, Ходынский б-р, д. 5, корп. 4</t>
        </is>
      </c>
      <c r="F167" s="10" t="inlineStr">
        <is>
          <t>http://www.velment.ru</t>
        </is>
      </c>
      <c r="G167" s="1" t="inlineStr">
        <is>
          <t>info@velment.ru</t>
        </is>
      </c>
      <c r="H167" s="1" t="inlineStr">
        <is>
          <t>Проектирование и производство медицинских консолей для систем лечебного газоснабжения.</t>
        </is>
      </c>
      <c r="I167" s="1" t="inlineStr">
        <is>
          <t>Производство медицинских изделий</t>
        </is>
      </c>
      <c r="J167" s="1">
        <f>IFERROR(__xludf.DUMMYFUNCTION("AI(Prompt!$B$6, H205:I205)"),"Производитель")</f>
        <v/>
      </c>
      <c r="K167" s="1">
        <f>IFERROR(__xludf.DUMMYFUNCTION("AI(Prompt!$B$12, H205:J205)"),"OK")</f>
        <v/>
      </c>
      <c r="L167" s="1">
        <f>IFERROR(__xludf.DUMMYFUNCTION("AI(Prompt!$B$17, H205:I205)"),"медицинские консоли")</f>
        <v/>
      </c>
      <c r="M167" s="1">
        <f>IFERROR(__xludf.DUMMYFUNCTION("AI(Prompt!$B$21,A205)"),"Вэлмент")</f>
        <v/>
      </c>
      <c r="N167" s="1" t="inlineStr">
        <is>
          <t>Здравоохранение-2025</t>
        </is>
      </c>
      <c r="O167" s="9" t="inlineStr">
        <is>
          <t>https://icatalog.expocentr.ru/ru/exhibitions/de590dc5-417d-11ee-80ce-a0d3c1fab97f</t>
        </is>
      </c>
    </row>
    <row r="168" hidden="1" ht="16" customHeight="1">
      <c r="A168" s="1" t="inlineStr">
        <is>
          <t>МЕДИНДУСТРИЯ СЕРВИС, ООО</t>
        </is>
      </c>
      <c r="B168" s="1" t="inlineStr">
        <is>
          <t>7C120</t>
        </is>
      </c>
      <c r="C168" s="1" t="inlineStr">
        <is>
          <t>Республика Беларусь</t>
        </is>
      </c>
      <c r="E168" s="1" t="inlineStr">
        <is>
          <t>Республика Беларусь, 223043, Минский р-н, Папернянский с/совет, д. Дубовляны, производственная база ООО «Датума», каб. 35</t>
        </is>
      </c>
      <c r="F168" s="10" t="inlineStr">
        <is>
          <t>http://www.medin.by</t>
        </is>
      </c>
      <c r="G168" s="1" t="inlineStr">
        <is>
          <t>med@medin.by</t>
        </is>
      </c>
      <c r="H168" s="1" t="inlineStr">
        <is>
          <t>Разработчик и производитель операционных столов, специального хирургического оборудования и аксессуаров, оборудования для гинекологии и акушерства, медицинской мебели. Комплексное оснащение ЛПУ.</t>
        </is>
      </c>
      <c r="I168" s="1" t="inlineStr">
        <is>
          <t>Гинекологические кресла; Родовые кровати; Медицинская мебель; Прочее общебольничное оборудование; Операционные столы</t>
        </is>
      </c>
      <c r="J168" s="1">
        <f>IFERROR(__xludf.DUMMYFUNCTION("AI(Prompt!$B$6, H206:I206)"),"Производитель")</f>
        <v/>
      </c>
      <c r="K168" s="1">
        <f>IFERROR(__xludf.DUMMYFUNCTION("AI(Prompt!$B$12, H206:J206)"),"OK")</f>
        <v/>
      </c>
      <c r="L168" s="1">
        <f>IFERROR(__xludf.DUMMYFUNCTION("AI(Prompt!$B$17, H206:I206)"),"операционные столы, кресла, кровати и медицинская мебель")</f>
        <v/>
      </c>
      <c r="M168" s="1">
        <f>IFERROR(__xludf.DUMMYFUNCTION("AI(Prompt!$B$21,A206)"),"Мединдустрия Сервис")</f>
        <v/>
      </c>
      <c r="N168" s="1" t="inlineStr">
        <is>
          <t>Здравоохранение-2025</t>
        </is>
      </c>
      <c r="O168" s="9" t="inlineStr">
        <is>
          <t>https://icatalog.expocentr.ru/ru/exhibitions/de590dc5-417d-11ee-80ce-a0d3c1fab97f</t>
        </is>
      </c>
    </row>
    <row r="169" ht="16" customHeight="1">
      <c r="A169" s="1" t="inlineStr">
        <is>
          <t>МЕДЕЛИЯ, ООО</t>
        </is>
      </c>
      <c r="B169" s="1" t="inlineStr">
        <is>
          <t>7A120</t>
        </is>
      </c>
      <c r="C169" s="1" t="inlineStr">
        <is>
          <t>Россия</t>
        </is>
      </c>
      <c r="D169" s="1" t="inlineStr">
        <is>
          <t>Москва</t>
        </is>
      </c>
      <c r="E169" s="1" t="inlineStr">
        <is>
          <t>Россия, 125413, г. Москва, ул. Онежская, д. 24, стр. 1</t>
        </is>
      </c>
      <c r="F169" s="10" t="inlineStr">
        <is>
          <t>http://www.medelia.ru</t>
        </is>
      </c>
      <c r="G169" s="1" t="inlineStr">
        <is>
          <t>info@medelia.ru</t>
        </is>
      </c>
      <c r="H169" s="1" t="inlineStr">
        <is>
          <t>«Меделия» — российская компания, специализирующаяся на производстве и продаже мебели для медицинских учреждений. На протяжении 17 лет мы подтверждаем репутацию надежного и солидного поставщика.</t>
        </is>
      </c>
      <c r="I169" s="1" t="inlineStr">
        <is>
          <t>Медицинская мебель</t>
        </is>
      </c>
      <c r="J169" s="1">
        <f>IFERROR(__xludf.DUMMYFUNCTION("AI(Prompt!$B$6, H207:I207)"),"Производитель")</f>
        <v/>
      </c>
      <c r="K169" s="1">
        <f>IFERROR(__xludf.DUMMYFUNCTION("AI(Prompt!$B$12, H207:J207)"),"OK")</f>
        <v/>
      </c>
      <c r="L169" s="1">
        <f>IFERROR(__xludf.DUMMYFUNCTION("AI(Prompt!$B$17, H207:I207)"),"медицинская мебель")</f>
        <v/>
      </c>
      <c r="M169" s="1">
        <f>IFERROR(__xludf.DUMMYFUNCTION("AI(Prompt!$B$21,A207)"),"Меделия")</f>
        <v/>
      </c>
      <c r="N169" s="1" t="inlineStr">
        <is>
          <t>Здравоохранение-2025</t>
        </is>
      </c>
      <c r="O169" s="9" t="inlineStr">
        <is>
          <t>https://icatalog.expocentr.ru/ru/exhibitions/de590dc5-417d-11ee-80ce-a0d3c1fab97f</t>
        </is>
      </c>
    </row>
    <row r="170" ht="16" customHeight="1">
      <c r="A170" s="1" t="inlineStr">
        <is>
          <t>МедИнжиниринг</t>
        </is>
      </c>
      <c r="B170" s="1" t="inlineStr">
        <is>
          <t>7B140</t>
        </is>
      </c>
      <c r="C170" s="1" t="inlineStr">
        <is>
          <t>Россия</t>
        </is>
      </c>
      <c r="D170" s="1" t="inlineStr">
        <is>
          <t>Москва</t>
        </is>
      </c>
      <c r="E170" s="1" t="inlineStr">
        <is>
          <t>Россия, 107076, г. Москва, ул. Электрозаводская, д. 29, стр. 2</t>
        </is>
      </c>
      <c r="F170" s="10" t="inlineStr">
        <is>
          <t>http://www.med-engineering.ru</t>
        </is>
      </c>
      <c r="G170" s="1" t="inlineStr">
        <is>
          <t>info@med-engineering.ru</t>
        </is>
      </c>
      <c r="H170" s="1" t="inlineStr">
        <is>
          <t>ООО «ХИТЭК-ГРУП» — российский производитель медицинской мебели и оборудования под ТМ «МедИнжиниринг».</t>
        </is>
      </c>
      <c r="I170" s="1" t="inlineStr">
        <is>
          <t>Мебель для гинекологии и акушерства; Гинекологические кресла; Медицинская мебель; Кушетки медицинские; Столы массажные; Средства перевозки (перемещения) пациентов, оборудования и материалов</t>
        </is>
      </c>
      <c r="J170" s="1">
        <f>IFERROR(__xludf.DUMMYFUNCTION("AI(Prompt!$B$6, H208:I208)"),"Производитель")</f>
        <v/>
      </c>
      <c r="K170" s="1">
        <f>IFERROR(__xludf.DUMMYFUNCTION("AI(Prompt!$B$12, H208:J208)"),"OK")</f>
        <v/>
      </c>
      <c r="L170" s="1">
        <f>IFERROR(__xludf.DUMMYFUNCTION("AI(Prompt!$B$17, H208:I208)"),"медицинская мебель, оборудование и кушетки")</f>
        <v/>
      </c>
      <c r="M170" s="1">
        <f>IFERROR(__xludf.DUMMYFUNCTION("AI(Prompt!$B$21,A208)"),"Мединжиниринг")</f>
        <v/>
      </c>
      <c r="N170" s="1" t="inlineStr">
        <is>
          <t>Здравоохранение-2025</t>
        </is>
      </c>
      <c r="O170" s="9" t="inlineStr">
        <is>
          <t>https://icatalog.expocentr.ru/ru/exhibitions/de590dc5-417d-11ee-80ce-a0d3c1fab97f</t>
        </is>
      </c>
    </row>
    <row r="171" ht="16" customHeight="1">
      <c r="A171" s="1" t="inlineStr">
        <is>
          <t>ENDOMARKET</t>
        </is>
      </c>
      <c r="B171" s="1" t="inlineStr">
        <is>
          <t>7B050</t>
        </is>
      </c>
      <c r="C171" s="1" t="inlineStr">
        <is>
          <t>Россия</t>
        </is>
      </c>
      <c r="D171" s="1" t="inlineStr">
        <is>
          <t>Самара</t>
        </is>
      </c>
      <c r="E171" s="1" t="inlineStr">
        <is>
          <t>Россия, 443080, г. Самара, ул. Блюхера, д. 24</t>
        </is>
      </c>
      <c r="F171" s="10" t="inlineStr">
        <is>
          <t>https://endomarket.ru</t>
        </is>
      </c>
      <c r="G171" s="1" t="inlineStr">
        <is>
          <t>pr@endomarket.ru</t>
        </is>
      </c>
      <c r="H171" s="1" t="inlineStr">
        <is>
          <t>ENDOMARKET — ведущий поставщик эндоскопического оборудования в России. Генеральный партнер компании SonoScape.</t>
        </is>
      </c>
      <c r="I171" s="1" t="inlineStr">
        <is>
          <t>Оборудование для дезинфекции; Эндоскопы жесткие; Эндоскопы гибкие; Эндоскопические комплексы и системы; Инструменты и принадлежности для эндоскопии; Мониторы пациента</t>
        </is>
      </c>
      <c r="J171" s="1">
        <f>IFERROR(__xludf.DUMMYFUNCTION("AI(Prompt!$B$6, H209:I209)"),"Дилер")</f>
        <v/>
      </c>
      <c r="K171" s="1">
        <f>IFERROR(__xludf.DUMMYFUNCTION("AI(Prompt!$B$12, H209:J209)"),"OK")</f>
        <v/>
      </c>
      <c r="L171" s="1">
        <f>IFERROR(__xludf.DUMMYFUNCTION("AI(Prompt!$B$17, H209:I209)"),"эндоскопы, эндоскопические комплексы, инструменты и мониторы пациента")</f>
        <v/>
      </c>
      <c r="M171" s="1">
        <f>IFERROR(__xludf.DUMMYFUNCTION("AI(Prompt!$B$21,A209)"),"Endomarket")</f>
        <v/>
      </c>
      <c r="N171" s="1" t="inlineStr">
        <is>
          <t>Здравоохранение-2025</t>
        </is>
      </c>
      <c r="O171" s="9" t="inlineStr">
        <is>
          <t>https://icatalog.expocentr.ru/ru/exhibitions/de590dc5-417d-11ee-80ce-a0d3c1fab97f</t>
        </is>
      </c>
    </row>
    <row r="172" ht="16" customHeight="1">
      <c r="A172" s="1" t="inlineStr">
        <is>
          <t>СКБ ТЕЛСИ, ООО</t>
        </is>
      </c>
      <c r="B172" s="1" t="inlineStr">
        <is>
          <t>7A080</t>
        </is>
      </c>
      <c r="C172" s="1" t="inlineStr">
        <is>
          <t>Россия</t>
        </is>
      </c>
      <c r="D172" s="1" t="inlineStr">
        <is>
          <t>Москва</t>
        </is>
      </c>
      <c r="E172" s="1" t="inlineStr">
        <is>
          <t>Россия, 117105, г. Москва, Варшавское ш., д. 25а, стр. 1, оф. 504</t>
        </is>
      </c>
      <c r="F172" s="10" t="inlineStr">
        <is>
          <t>http://www.telsi.ru</t>
        </is>
      </c>
      <c r="G172" s="1" t="inlineStr">
        <is>
          <t>info@telsi.ru</t>
        </is>
      </c>
      <c r="H172" s="1" t="inlineStr">
        <is>
          <t>ООО «СКБ ТЕЛСИ» является разработчиком и производителем систем вызова медсестер под торговыми марками HostCall и GetCall для больниц, домов престарелых, медицинских центров, хосписов.</t>
        </is>
      </c>
      <c r="I172" s="1" t="inlineStr">
        <is>
          <t>Прочее общебольничное оборудование; Медицинские информационные системы / программные решения; Коммуникационные системы</t>
        </is>
      </c>
      <c r="J172" s="1">
        <f>IFERROR(__xludf.DUMMYFUNCTION("AI(Prompt!$B$6, H210:I210)"),"Производитель")</f>
        <v/>
      </c>
      <c r="K172" s="1">
        <f>IFERROR(__xludf.DUMMYFUNCTION("AI(Prompt!$B$12, H210:J210)"),"OK")</f>
        <v/>
      </c>
      <c r="L172" s="1">
        <f>IFERROR(__xludf.DUMMYFUNCTION("AI(Prompt!$B$17, H210:I210)"),"системы вызова медсестер, оборудование и системы")</f>
        <v/>
      </c>
      <c r="M172" s="1">
        <f>IFERROR(__xludf.DUMMYFUNCTION("AI(Prompt!$B$21,A210)"),"СКБ Телси")</f>
        <v/>
      </c>
      <c r="N172" s="1" t="inlineStr">
        <is>
          <t>Здравоохранение-2025</t>
        </is>
      </c>
      <c r="O172" s="9" t="inlineStr">
        <is>
          <t>https://icatalog.expocentr.ru/ru/exhibitions/de590dc5-417d-11ee-80ce-a0d3c1fab97f</t>
        </is>
      </c>
    </row>
    <row r="173" hidden="1" ht="16" customHeight="1">
      <c r="A173" s="1" t="inlineStr">
        <is>
          <t>ТахатАкси, ОДО</t>
        </is>
      </c>
      <c r="B173" s="11" t="n">
        <v>7e+60</v>
      </c>
      <c r="C173" s="1" t="inlineStr">
        <is>
          <t>Республика Беларусь</t>
        </is>
      </c>
      <c r="D173" s="1" t="inlineStr">
        <is>
          <t>Минск</t>
        </is>
      </c>
      <c r="E173" s="1" t="inlineStr">
        <is>
          <t>Республика Беларусь, г. Минск, просп. Рокоссовского, д. 166, пом. 1Н</t>
        </is>
      </c>
      <c r="F173" s="10" t="inlineStr">
        <is>
          <t>http://www.tahat.by</t>
        </is>
      </c>
      <c r="G173" s="1" t="inlineStr">
        <is>
          <t>info@tahat.by</t>
        </is>
      </c>
      <c r="H173" s="1" t="inlineStr">
        <is>
          <t>Производство аппаратов подогрева крови и инфузионных растворов, систем обогрева пациента 0+, медицинских термошкафов для хранения растворов, размораживателей плазмы. Палатная сигнализация.</t>
        </is>
      </c>
      <c r="I173" s="1" t="inlineStr">
        <is>
          <t>Инкубаторы и открытые реанимационные системы; Системы eHealth, телемедицина; Коммуникационные системы; Оборудование и принадлежности для трансфузии; Оборудование для длительных вливаний крови и растворов</t>
        </is>
      </c>
      <c r="J173" s="1">
        <f>IFERROR(__xludf.DUMMYFUNCTION("AI(Prompt!$B$6, H211:I211)"),"Производитель")</f>
        <v/>
      </c>
      <c r="K173" s="1">
        <f>IFERROR(__xludf.DUMMYFUNCTION("AI(Prompt!$B$12, H211:J211)"),"OK")</f>
        <v/>
      </c>
      <c r="L173" s="1">
        <f>IFERROR(__xludf.DUMMYFUNCTION("AI(Prompt!$B$17, H211:I211)"),"аппараты, системы, термошкафы, размораживатели и сигнализация")</f>
        <v/>
      </c>
      <c r="M173" s="1">
        <f>IFERROR(__xludf.DUMMYFUNCTION("AI(Prompt!$B$21,A211)"),"ТахатАкси")</f>
        <v/>
      </c>
      <c r="N173" s="1" t="inlineStr">
        <is>
          <t>Здравоохранение-2025</t>
        </is>
      </c>
      <c r="O173" s="9" t="inlineStr">
        <is>
          <t>https://icatalog.expocentr.ru/ru/exhibitions/de590dc5-417d-11ee-80ce-a0d3c1fab97f</t>
        </is>
      </c>
    </row>
    <row r="174" ht="16" customHeight="1">
      <c r="A174" s="1" t="inlineStr">
        <is>
          <t>ИННОДРАЙВ, ООО</t>
        </is>
      </c>
      <c r="B174" s="1" t="inlineStr">
        <is>
          <t>7D115</t>
        </is>
      </c>
      <c r="C174" s="1" t="inlineStr">
        <is>
          <t>Россия</t>
        </is>
      </c>
      <c r="D174" s="1" t="inlineStr">
        <is>
          <t>Санкт-Петербург</t>
        </is>
      </c>
      <c r="E174" s="1" t="inlineStr">
        <is>
          <t>Россия, 197198, г. Санкт-Петербург, ул. Пионерская, д. 30, литера Б, пом. 306</t>
        </is>
      </c>
      <c r="F174" s="10" t="inlineStr">
        <is>
          <t>https://innodrive.ru</t>
        </is>
      </c>
      <c r="G174" s="1" t="inlineStr">
        <is>
          <t>marketing@innodrive.ru</t>
        </is>
      </c>
      <c r="H174" s="1" t="inlineStr">
        <is>
          <t>Компания «ИнноДрайв» — надежный производитель и поставщик качественных высокотехнологичных приводных решений для медицины: стоматологии, лабораторной автоматизации и ручных инструментов, помп, микродозаторов, хирургических роботов, анализаторов, аппаратов ИВЛ, бионических экзопротезов, экзоскелетов, томографов,эндохирургии и лучевой терапии. Компания занимается разработкой и производством высокоточных отечественных сервоприводов «ХАРЗА», компактных сервоприводов «ГРИЗОН» и отечественных компактных сервоконтроллеров «СОЛОНГОЙ», а также осуществляет поставки коллекторных и бесколлекторных двигателей (в том числе плоских и бескорпусных), редукторов, датчиков, контроллеров и приводов на их основе производства России и Азии.</t>
        </is>
      </c>
      <c r="I174" s="1" t="inlineStr">
        <is>
          <t>Комплектующие для производства медицинских изделий</t>
        </is>
      </c>
      <c r="J174" s="1">
        <f>IFERROR(__xludf.DUMMYFUNCTION("AI(Prompt!$B$6, H212:I212)"),"Производитель")</f>
        <v/>
      </c>
      <c r="K174" s="1">
        <f>IFERROR(__xludf.DUMMYFUNCTION("AI(Prompt!$B$12, H212:J212)"),"OK")</f>
        <v/>
      </c>
      <c r="L174" s="1">
        <f>IFERROR(__xludf.DUMMYFUNCTION("AI(Prompt!$B$17, H212:I212)"),"сервоприводы, двигатели, редукторы, датчики и контроллеры")</f>
        <v/>
      </c>
      <c r="M174" s="1">
        <f>IFERROR(__xludf.DUMMYFUNCTION("AI(Prompt!$B$21,A212)"),"Иннодрайв")</f>
        <v/>
      </c>
      <c r="N174" s="1" t="inlineStr">
        <is>
          <t>Здравоохранение-2025</t>
        </is>
      </c>
      <c r="O174" s="9" t="inlineStr">
        <is>
          <t>https://icatalog.expocentr.ru/ru/exhibitions/de590dc5-417d-11ee-80ce-a0d3c1fab97f</t>
        </is>
      </c>
    </row>
    <row r="175" ht="16" customHeight="1">
      <c r="A175" s="1" t="inlineStr">
        <is>
          <t>ДИАГНОСТИКФАРМ, ООО</t>
        </is>
      </c>
      <c r="B175" s="1" t="inlineStr">
        <is>
          <t>7D165</t>
        </is>
      </c>
      <c r="C175" s="1" t="inlineStr">
        <is>
          <t>Россия</t>
        </is>
      </c>
      <c r="D175" s="1" t="inlineStr">
        <is>
          <t>Вологда</t>
        </is>
      </c>
      <c r="E175" s="1" t="inlineStr">
        <is>
          <t>Россия, 160002, г. Вологда, ул. Лечебная, д. 32а</t>
        </is>
      </c>
      <c r="F175" s="10" t="inlineStr">
        <is>
          <t>http://www.35med.ru</t>
        </is>
      </c>
      <c r="G175" s="1" t="inlineStr">
        <is>
          <t>info@35med.ru</t>
        </is>
      </c>
      <c r="H175" s="1" t="inlineStr">
        <is>
          <t>Более 30 лет компания MESPA поставляет медицинскую мебель по всему миру. Бренд удовлетворяет всем требованиям пациентов и медицинских работников с помощью передовых технологий. Имя, связанное с качеством, теперь доступно и в России.</t>
        </is>
      </c>
      <c r="I175" s="1" t="inlineStr">
        <is>
          <t>Мебель для гинекологии и акушерства; Медицинская мебель; Средства, облегчающие передвижения</t>
        </is>
      </c>
      <c r="J175" s="1">
        <f>IFERROR(__xludf.DUMMYFUNCTION("AI(Prompt!$B$6, H213:I213)"),"Производитель")</f>
        <v/>
      </c>
      <c r="K175" s="1">
        <f>IFERROR(__xludf.DUMMYFUNCTION("AI(Prompt!$B$12, H213:J213)"),"OK")</f>
        <v/>
      </c>
      <c r="L175" s="1">
        <f>IFERROR(__xludf.DUMMYFUNCTION("AI(Prompt!$B$17, H213:I213)"),"медицинская мебель и средства передвижения")</f>
        <v/>
      </c>
      <c r="M175" s="1">
        <f>IFERROR(__xludf.DUMMYFUNCTION("AI(Prompt!$B$21,A213)"),"Диагностикфарм")</f>
        <v/>
      </c>
      <c r="N175" s="1" t="inlineStr">
        <is>
          <t>Здравоохранение-2025</t>
        </is>
      </c>
      <c r="O175" s="9" t="inlineStr">
        <is>
          <t>https://icatalog.expocentr.ru/ru/exhibitions/de590dc5-417d-11ee-80ce-a0d3c1fab97f</t>
        </is>
      </c>
    </row>
    <row r="176" ht="16" customHeight="1">
      <c r="A176" s="1" t="inlineStr">
        <is>
          <t>ПРОВИТА, ООО</t>
        </is>
      </c>
      <c r="B176" s="11" t="n">
        <v>7e+80</v>
      </c>
      <c r="C176" s="1" t="inlineStr">
        <is>
          <t>Россия</t>
        </is>
      </c>
      <c r="D176" s="1" t="inlineStr">
        <is>
          <t>Санкт-Петербург</t>
        </is>
      </c>
      <c r="E176" s="1" t="inlineStr">
        <is>
          <t>Россия, 199106, г. Санкт-Петербург, 24-я линия В. О., д. 3-7, литера Б, пом. 1-Н, ЧП53, оф. 603</t>
        </is>
      </c>
      <c r="F176" s="10" t="inlineStr">
        <is>
          <t>http://www.provita.ru</t>
        </is>
      </c>
      <c r="G176" s="1" t="inlineStr">
        <is>
          <t>info@provita.ru</t>
        </is>
      </c>
      <c r="H176" s="1" t="inlineStr">
        <is>
          <t>Компания «Провита» была основана в 1991 году. Мы пионеры в области адсорбционного оборудования. За это время успешно реализовали более 2300 проектов по всей территории России и СНГ.</t>
        </is>
      </c>
      <c r="I176" s="1" t="inlineStr">
        <is>
          <t>Средства и инструменты для дентальной анестезиологии; Оборудование для медицинских газов</t>
        </is>
      </c>
      <c r="J176" s="1">
        <f>IFERROR(__xludf.DUMMYFUNCTION("AI(Prompt!$B$6, H214:I214)"),"Производитель")</f>
        <v/>
      </c>
      <c r="K176" s="1">
        <f>IFERROR(__xludf.DUMMYFUNCTION("AI(Prompt!$B$12, H214:J214)"),"OK")</f>
        <v/>
      </c>
      <c r="L176" s="1">
        <f>IFERROR(__xludf.DUMMYFUNCTION("AI(Prompt!$B$17, H214:I214)"),"оборудование, средства и инструменты")</f>
        <v/>
      </c>
      <c r="M176" s="1">
        <f>IFERROR(__xludf.DUMMYFUNCTION("AI(Prompt!$B$21,A214)"),"Провита")</f>
        <v/>
      </c>
      <c r="N176" s="1" t="inlineStr">
        <is>
          <t>Здравоохранение-2025</t>
        </is>
      </c>
      <c r="O176" s="9" t="inlineStr">
        <is>
          <t>https://icatalog.expocentr.ru/ru/exhibitions/de590dc5-417d-11ee-80ce-a0d3c1fab97f</t>
        </is>
      </c>
    </row>
    <row r="177" ht="16" customHeight="1">
      <c r="A177" s="1" t="inlineStr">
        <is>
          <t>ЛОЙЕР МЕДИКАЛ, ООО</t>
        </is>
      </c>
      <c r="B177" s="1" t="inlineStr">
        <is>
          <t>7B070</t>
        </is>
      </c>
      <c r="C177" s="1" t="inlineStr">
        <is>
          <t>Россия</t>
        </is>
      </c>
      <c r="D177" s="1" t="inlineStr">
        <is>
          <t>Москва</t>
        </is>
      </c>
      <c r="E177" s="1" t="inlineStr">
        <is>
          <t>Россия, 121357, г. Москва, ул. Верейская, д. 29, стр. 134</t>
        </is>
      </c>
      <c r="F177" s="10" t="inlineStr">
        <is>
          <t>http://www.lojer.com</t>
        </is>
      </c>
      <c r="G177" s="1" t="inlineStr">
        <is>
          <t>cis@lojer.com</t>
        </is>
      </c>
      <c r="H177" s="1" t="inlineStr">
        <is>
          <t>Медицинская мебель LOJER (Финляндия). Хирургическое оборудование, системы интеграции MERIVAARA (Финляндия). Аспираторы MEDELA (Швейцария). Медициинские тележки INSAUSTI (Испания).</t>
        </is>
      </c>
      <c r="I177" s="1" t="inlineStr">
        <is>
          <t>Гинекологические кресла; Родовые кровати; Кушетки медицинские; Столы массажные; Операционные столы; Вакуумные экстракторы, аспираторы</t>
        </is>
      </c>
      <c r="J177" s="1">
        <f>IFERROR(__xludf.DUMMYFUNCTION("AI(Prompt!$B$6, H215:I215)"),"Дилер")</f>
        <v/>
      </c>
      <c r="K177" s="1">
        <f>IFERROR(__xludf.DUMMYFUNCTION("AI(Prompt!$B$12, H215:J215)"),"OK")</f>
        <v/>
      </c>
      <c r="L177" s="1">
        <f>IFERROR(__xludf.DUMMYFUNCTION("AI(Prompt!$B$17, H215:I215)"),"медицинская мебель, хирургическое оборудование и аспираторы")</f>
        <v/>
      </c>
      <c r="M177" s="1">
        <f>IFERROR(__xludf.DUMMYFUNCTION("AI(Prompt!$B$21,A215)"),"Лойер Медикал")</f>
        <v/>
      </c>
      <c r="N177" s="1" t="inlineStr">
        <is>
          <t>Здравоохранение-2025</t>
        </is>
      </c>
      <c r="O177" s="9" t="inlineStr">
        <is>
          <t>https://icatalog.expocentr.ru/ru/exhibitions/de590dc5-417d-11ee-80ce-a0d3c1fab97f</t>
        </is>
      </c>
    </row>
    <row r="178" ht="16" customHeight="1">
      <c r="A178" s="1" t="inlineStr">
        <is>
          <t>АКСИОМА, ЗАО</t>
        </is>
      </c>
      <c r="B178" s="1" t="inlineStr">
        <is>
          <t>7F010</t>
        </is>
      </c>
      <c r="C178" s="1" t="inlineStr">
        <is>
          <t>Россия</t>
        </is>
      </c>
      <c r="D178" s="1" t="inlineStr">
        <is>
          <t>Санкт-Петербург</t>
        </is>
      </c>
      <c r="E178" s="1" t="inlineStr">
        <is>
          <t>Россия, 197022, г. Санкт-Петербург, ул. Академика Павлова, д. 14а, литера Д, пом. 1Н</t>
        </is>
      </c>
      <c r="F178" s="10" t="inlineStr">
        <is>
          <t>https://aksioma.com</t>
        </is>
      </c>
      <c r="G178" s="1" t="inlineStr">
        <is>
          <t>info@aksioma.com</t>
        </is>
      </c>
      <c r="H178" s="1" t="inlineStr">
        <is>
          <t>«Аксиома» — ведущий российский производитель с 37-летним опытом. Компания специализируется на разработке, производстве и реализации высококачественного медицинского эндоскопического и эндовидеохирургического оборудования и инструмента.</t>
        </is>
      </c>
      <c r="I178" s="1" t="inlineStr">
        <is>
          <t>Эндоскопы жесткие; Эндоскопы гибкие; Эндоскопические комплексы и системы; Оборудование и средства для лапароскопии; Инструменты и принадлежности для эндоскопии; Электрохирургические аппараты</t>
        </is>
      </c>
      <c r="J178" s="1">
        <f>IFERROR(__xludf.DUMMYFUNCTION("AI(Prompt!$B$6, H216:I216)"),"Производитель")</f>
        <v/>
      </c>
      <c r="K178" s="1">
        <f>IFERROR(__xludf.DUMMYFUNCTION("AI(Prompt!$B$12, H216:J216)"),"OK")</f>
        <v/>
      </c>
      <c r="L178" s="1">
        <f>IFERROR(__xludf.DUMMYFUNCTION("AI(Prompt!$B$17, H216:I216)"),"эндоскопы, оборудование и инструменты, аппараты")</f>
        <v/>
      </c>
      <c r="M178" s="1">
        <f>IFERROR(__xludf.DUMMYFUNCTION("AI(Prompt!$B$21,A216)"),"Аксиома")</f>
        <v/>
      </c>
      <c r="N178" s="1" t="inlineStr">
        <is>
          <t>Здравоохранение-2025</t>
        </is>
      </c>
      <c r="O178" s="9" t="inlineStr">
        <is>
          <t>https://icatalog.expocentr.ru/ru/exhibitions/de590dc5-417d-11ee-80ce-a0d3c1fab97f</t>
        </is>
      </c>
    </row>
    <row r="179" ht="16" customHeight="1">
      <c r="A179" s="1" t="inlineStr">
        <is>
          <t>БЕЛВА, ПТК, ООО</t>
        </is>
      </c>
      <c r="B179" s="1" t="inlineStr">
        <is>
          <t>7D070</t>
        </is>
      </c>
      <c r="C179" s="1" t="inlineStr">
        <is>
          <t>Россия</t>
        </is>
      </c>
      <c r="D179" s="1" t="inlineStr">
        <is>
          <t>Москва</t>
        </is>
      </c>
      <c r="E179" s="1" t="inlineStr">
        <is>
          <t>Россия, 115230, г. Москва, Варшавское ш., д. 42, оф. 4282, 4284, 4290</t>
        </is>
      </c>
      <c r="F179" s="10" t="inlineStr">
        <is>
          <t>http://www.belva.ru</t>
        </is>
      </c>
      <c r="G179" s="1" t="inlineStr">
        <is>
          <t>info@belva.ru</t>
        </is>
      </c>
      <c r="H179" s="1" t="inlineStr">
        <is>
          <t>Производство и продажа медицинской мебели для лечебных учреждений, лабораторий, аптек. Оснащение под ключ. Индивидуальное проектирование, яркие цветовые решения.</t>
        </is>
      </c>
      <c r="I179" s="1" t="inlineStr">
        <is>
          <t>Медицинская мебель; Кушетки медицинские; Прочее общебольничное оборудование</t>
        </is>
      </c>
      <c r="J179" s="1">
        <f>IFERROR(__xludf.DUMMYFUNCTION("AI(Prompt!$B$6, H217:I217)"),"Производитель")</f>
        <v/>
      </c>
      <c r="K179" s="1">
        <f>IFERROR(__xludf.DUMMYFUNCTION("AI(Prompt!$B$12, H217:J217)"),"OK")</f>
        <v/>
      </c>
      <c r="L179" s="1">
        <f>IFERROR(__xludf.DUMMYFUNCTION("AI(Prompt!$B$17, H217:I217)"),"медицинская мебель, кушетки и оборудование")</f>
        <v/>
      </c>
      <c r="M179" s="1">
        <f>IFERROR(__xludf.DUMMYFUNCTION("AI(Prompt!$B$21,A217)"),"Белва")</f>
        <v/>
      </c>
      <c r="N179" s="1" t="inlineStr">
        <is>
          <t>Здравоохранение-2025</t>
        </is>
      </c>
      <c r="O179" s="9" t="inlineStr">
        <is>
          <t>https://icatalog.expocentr.ru/ru/exhibitions/de590dc5-417d-11ee-80ce-a0d3c1fab97f</t>
        </is>
      </c>
    </row>
    <row r="180" ht="16" customHeight="1">
      <c r="A180" s="1" t="inlineStr">
        <is>
          <t>КРИПТОМЕД, ООО</t>
        </is>
      </c>
      <c r="B180" s="11" t="n">
        <v>7e+55</v>
      </c>
      <c r="C180" s="1" t="inlineStr">
        <is>
          <t>Россия</t>
        </is>
      </c>
      <c r="D180" s="1" t="inlineStr">
        <is>
          <t>Москва</t>
        </is>
      </c>
      <c r="E180" s="1" t="inlineStr">
        <is>
          <t>Россия, 127051, г. Москва, ул. Трубная, д. 35, корп. 1</t>
        </is>
      </c>
      <c r="F180" s="10" t="inlineStr">
        <is>
          <t>http://www.kriptomed.ru</t>
        </is>
      </c>
      <c r="G180" s="1" t="inlineStr">
        <is>
          <t>info@kriptomed.ru</t>
        </is>
      </c>
      <c r="H180" s="1" t="inlineStr">
        <is>
          <t>Разработчик, производитель и поставщик медицинского оборудования для аудиологии, офтальмологии, лор, хирургии, УЗИ, флебологии, косметологии и др. 2000 позиций в каталоге, собственная сервисная служба.</t>
        </is>
      </c>
      <c r="I180" s="1" t="inlineStr">
        <is>
          <t>Прочие диагностические устройства; Приборы и аппараты для офтальмодиагностики; Инструменты для офтальмологии; Ультразвуковые сканеры и диагностические системы; Отоскопы и лор-инструменты; Операционные микроскопы и видеоустройства</t>
        </is>
      </c>
      <c r="J180" s="1">
        <f>IFERROR(__xludf.DUMMYFUNCTION("AI(Prompt!$B$6, H218:I218)"),"Производитель")</f>
        <v/>
      </c>
      <c r="K180" s="1">
        <f>IFERROR(__xludf.DUMMYFUNCTION("AI(Prompt!$B$12, H218:J218)"),"OK")</f>
        <v/>
      </c>
      <c r="L180" s="1">
        <f>IFERROR(__xludf.DUMMYFUNCTION("AI(Prompt!$B$17, H218:I218)"),"диагностические устройства, приборы, инструменты, сканеры и микроскопы")</f>
        <v/>
      </c>
      <c r="M180" s="1">
        <f>IFERROR(__xludf.DUMMYFUNCTION("AI(Prompt!$B$21,A218)"),"Криптомед")</f>
        <v/>
      </c>
      <c r="N180" s="1" t="inlineStr">
        <is>
          <t>Здравоохранение-2025</t>
        </is>
      </c>
      <c r="O180" s="9" t="inlineStr">
        <is>
          <t>https://icatalog.expocentr.ru/ru/exhibitions/de590dc5-417d-11ee-80ce-a0d3c1fab97f</t>
        </is>
      </c>
    </row>
    <row r="181" ht="16" customHeight="1">
      <c r="A181" s="1" t="inlineStr">
        <is>
          <t>ТРИОМЕД, ООО</t>
        </is>
      </c>
      <c r="B181" s="1" t="inlineStr">
        <is>
          <t>7D015</t>
        </is>
      </c>
      <c r="C181" s="1" t="inlineStr">
        <is>
          <t>Россия</t>
        </is>
      </c>
      <c r="D181" s="1" t="inlineStr">
        <is>
          <t>Пермь</t>
        </is>
      </c>
      <c r="E181" s="1" t="inlineStr">
        <is>
          <t>Россия, 614095, г. Пермь, ул. Мира, д. 11, кв. 2</t>
        </is>
      </c>
      <c r="F181" s="10" t="inlineStr">
        <is>
          <t>http://www.triomed.pro</t>
        </is>
      </c>
      <c r="G181" s="1" t="inlineStr">
        <is>
          <t>ztv@triomed.pro</t>
        </is>
      </c>
      <c r="H181" s="1" t="inlineStr">
        <is>
          <t>Компания «ТРИОМЕД» — официальный представитель производителей медицинского оборудования: — Victor Medical — сшивающие аппараты; — Chun Li — эндопротезы суставов; — EON Meditech — принадлежности для лор-хирургии.</t>
        </is>
      </c>
      <c r="I181" s="1" t="inlineStr">
        <is>
          <t>Отоскопы и лор-инструменты; Хирургические инструменты; Ортопедическое оборудование и инструменты; Эндопротезы и имплантаты</t>
        </is>
      </c>
      <c r="J181" s="1">
        <f>IFERROR(__xludf.DUMMYFUNCTION("AI(Prompt!$B$6, H219:I219)"),"Дилер")</f>
        <v/>
      </c>
      <c r="K181" s="1">
        <f>IFERROR(__xludf.DUMMYFUNCTION("AI(Prompt!$B$12, H219:J219)"),"OK")</f>
        <v/>
      </c>
      <c r="L181" s="1">
        <f>IFERROR(__xludf.DUMMYFUNCTION("AI(Prompt!$B$17, H219:I219)"),"сшивающие аппараты, эндопротезы, принадлежности для хирургии и инструменты")</f>
        <v/>
      </c>
      <c r="M181" s="1">
        <f>IFERROR(__xludf.DUMMYFUNCTION("AI(Prompt!$B$21,A219)"),"Триомед")</f>
        <v/>
      </c>
      <c r="N181" s="1" t="inlineStr">
        <is>
          <t>Здравоохранение-2025</t>
        </is>
      </c>
      <c r="O181" s="9" t="inlineStr">
        <is>
          <t>https://icatalog.expocentr.ru/ru/exhibitions/de590dc5-417d-11ee-80ce-a0d3c1fab97f</t>
        </is>
      </c>
    </row>
    <row r="182" ht="16" customHeight="1">
      <c r="A182" s="1" t="inlineStr">
        <is>
          <t>ВАЛИДУС, ООО</t>
        </is>
      </c>
      <c r="B182" s="1" t="inlineStr">
        <is>
          <t>7B150</t>
        </is>
      </c>
      <c r="C182" s="1" t="inlineStr">
        <is>
          <t>Россия</t>
        </is>
      </c>
      <c r="E182" s="1" t="inlineStr">
        <is>
          <t>Россия, 601421, Владимирская обл., Вязниковский р-н, пос. Лукново, ул. Советская, д. 2в</t>
        </is>
      </c>
      <c r="F182" s="10" t="inlineStr">
        <is>
          <t>http://www.validusmed.ru</t>
        </is>
      </c>
      <c r="G182" s="1" t="inlineStr">
        <is>
          <t>info@validusmed.ru</t>
        </is>
      </c>
      <c r="H182" s="1" t="inlineStr">
        <is>
          <t>Производство специализированной медицинской мебели.</t>
        </is>
      </c>
      <c r="I182" s="1" t="inlineStr">
        <is>
          <t>Мебель для гинекологии и акушерства; Мебель для стоматологических кабинетов; Медицинская мебель; Кушетки медицинские; Производство медицинских изделий</t>
        </is>
      </c>
      <c r="J182" s="1">
        <f>IFERROR(__xludf.DUMMYFUNCTION("AI(Prompt!$B$6, H220:I220)"),"Производитель")</f>
        <v/>
      </c>
      <c r="K182" s="1">
        <f>IFERROR(__xludf.DUMMYFUNCTION("AI(Prompt!$B$12, H220:J220)"),"OK")</f>
        <v/>
      </c>
      <c r="L182" s="1">
        <f>IFERROR(__xludf.DUMMYFUNCTION("AI(Prompt!$B$17, H220:I220)"),"медицинская мебель, кушетки медицинские")</f>
        <v/>
      </c>
      <c r="M182" s="1">
        <f>IFERROR(__xludf.DUMMYFUNCTION("AI(Prompt!$B$21,A220)"),"Валидус")</f>
        <v/>
      </c>
      <c r="N182" s="1" t="inlineStr">
        <is>
          <t>Здравоохранение-2025</t>
        </is>
      </c>
      <c r="O182" s="9" t="inlineStr">
        <is>
          <t>https://icatalog.expocentr.ru/ru/exhibitions/de590dc5-417d-11ee-80ce-a0d3c1fab97f</t>
        </is>
      </c>
    </row>
    <row r="183" ht="16" customHeight="1">
      <c r="A183" s="1" t="inlineStr">
        <is>
          <t>АРМЕД</t>
        </is>
      </c>
      <c r="B183" s="1" t="inlineStr">
        <is>
          <t>7A050</t>
        </is>
      </c>
      <c r="C183" s="1" t="inlineStr">
        <is>
          <t>Россия</t>
        </is>
      </c>
      <c r="D183" s="1" t="inlineStr">
        <is>
          <t>Балашиха</t>
        </is>
      </c>
      <c r="E183" s="1" t="inlineStr">
        <is>
          <t>Россия, Московская обл., г. Балашиха, Западная коммунальная зона, ш. Энтузиастов, вл. 1а, стр. 3Б</t>
        </is>
      </c>
      <c r="F183" s="10" t="inlineStr">
        <is>
          <t>http://www.armed.ru</t>
        </is>
      </c>
      <c r="G183" s="1" t="inlineStr">
        <is>
          <t>sales@armed.ru</t>
        </is>
      </c>
      <c r="H183" s="1" t="inlineStr">
        <is>
          <t>«Армед» — один из ведущих поставщиков и производителей медтехники и средств реабилитации. За 30 лет успешной работы на рынке компания завоевала доверие медучреждений и пользователей по всей стране.</t>
        </is>
      </c>
      <c r="I183" s="1" t="inlineStr">
        <is>
          <t>Медицинская мебель; Оборудование для стерилизации; Производство медицинских изделий; Реабилитационное оборудование; Медицинские изделия для домашнего применения; Хирургическое оборудование</t>
        </is>
      </c>
      <c r="J183" s="1">
        <f>IFERROR(__xludf.DUMMYFUNCTION("AI(Prompt!$B$6, H221:I221)"),"Производитель")</f>
        <v/>
      </c>
      <c r="K183" s="1">
        <f>IFERROR(__xludf.DUMMYFUNCTION("AI(Prompt!$B$12, H221:J221)"),"OK")</f>
        <v/>
      </c>
      <c r="L183" s="1">
        <f>IFERROR(__xludf.DUMMYFUNCTION("AI(Prompt!$B$17, H221:I221)"),"медицинская мебель, оборудование для стерилизации, реабилитационное и хирургическое оборудование, медицинские изделия")</f>
        <v/>
      </c>
      <c r="M183" s="1">
        <f>IFERROR(__xludf.DUMMYFUNCTION("AI(Prompt!$B$21,A221)"),"Армед")</f>
        <v/>
      </c>
      <c r="N183" s="1" t="inlineStr">
        <is>
          <t>Здравоохранение-2025</t>
        </is>
      </c>
      <c r="O183" s="9" t="inlineStr">
        <is>
          <t>https://icatalog.expocentr.ru/ru/exhibitions/de590dc5-417d-11ee-80ce-a0d3c1fab97f</t>
        </is>
      </c>
    </row>
    <row r="184" ht="16" customHeight="1">
      <c r="A184" s="1" t="inlineStr">
        <is>
          <t>МБ-ЦЕНТР, OOO</t>
        </is>
      </c>
      <c r="B184" s="1" t="inlineStr">
        <is>
          <t>7F130</t>
        </is>
      </c>
      <c r="C184" s="1" t="inlineStr">
        <is>
          <t>Россия</t>
        </is>
      </c>
      <c r="D184" s="1" t="inlineStr">
        <is>
          <t>Москва</t>
        </is>
      </c>
      <c r="E184" s="1" t="inlineStr">
        <is>
          <t>Россия, 115516, г. Москва, ул. Промышленная, д. 11, стр. 2, этаж 6, оф. 539</t>
        </is>
      </c>
      <c r="F184" s="10" t="inlineStr">
        <is>
          <t>https://www.mbe-center.ru</t>
        </is>
      </c>
      <c r="G184" s="1" t="inlineStr">
        <is>
          <t>goloulin1@mail.ru</t>
        </is>
      </c>
      <c r="H184" s="1" t="inlineStr">
        <is>
          <t>Оптовая торговля лабораторными и антистатическими стульями, табуретами, электроприводами для медицинских кроватей, комплектующими для мебели, колесными опорами, газовыми пружинами.</t>
        </is>
      </c>
      <c r="I184" s="1" t="inlineStr">
        <is>
          <t>Производство медицинских изделий; Лабораторное оборудование; Лабораторная мебель; Операционные столы</t>
        </is>
      </c>
      <c r="J184" s="1">
        <f>IFERROR(__xludf.DUMMYFUNCTION("AI(Prompt!$B$6, H222:I222)"),"Дилер")</f>
        <v/>
      </c>
      <c r="K184" s="1">
        <f>IFERROR(__xludf.DUMMYFUNCTION("AI(Prompt!$B$12, H222:J222)"),"OK")</f>
        <v/>
      </c>
      <c r="L184" s="1">
        <f>IFERROR(__xludf.DUMMYFUNCTION("AI(Prompt!$B$17, H222:I222)"),"лабораторные стулья, табуреты, электроприводы, колесные опоры и газовые пружины")</f>
        <v/>
      </c>
      <c r="M184" s="1">
        <f>IFERROR(__xludf.DUMMYFUNCTION("AI(Prompt!$B$21,A222)"),"МБ-Центр")</f>
        <v/>
      </c>
      <c r="N184" s="1" t="inlineStr">
        <is>
          <t>Здравоохранение-2025</t>
        </is>
      </c>
      <c r="O184" s="9" t="inlineStr">
        <is>
          <t>https://icatalog.expocentr.ru/ru/exhibitions/de590dc5-417d-11ee-80ce-a0d3c1fab97f</t>
        </is>
      </c>
    </row>
    <row r="185" ht="16" customHeight="1">
      <c r="A185" s="1" t="inlineStr">
        <is>
          <t>ФАРМ-ИНВЕСТ, ООО</t>
        </is>
      </c>
      <c r="B185" s="11" t="n">
        <v>7e+120</v>
      </c>
      <c r="C185" s="1" t="inlineStr">
        <is>
          <t>Россия</t>
        </is>
      </c>
      <c r="D185" s="1" t="inlineStr">
        <is>
          <t>Москва</t>
        </is>
      </c>
      <c r="E185" s="1" t="inlineStr">
        <is>
          <t>Россия, 125362, г. Москва, ул. Вишнёвая, д. 9, корп. 1, пом. 410, 412</t>
        </is>
      </c>
      <c r="F185" s="10" t="inlineStr">
        <is>
          <t>http://www.farm-invest.ru</t>
        </is>
      </c>
      <c r="G185" s="1" t="inlineStr">
        <is>
          <t>farm@farm-invest.ru</t>
        </is>
      </c>
      <c r="H185" s="1" t="inlineStr">
        <is>
          <t>«Фарм-Инвест» – торгово-производственная компания, основанная в 1993 году. Собственная ТМ FarmFrost. Дистрибьютор АО «ПОЗиС». Комплексные поставки, монтаж и ввод в эксплуатацию, лицензированный СЦ.</t>
        </is>
      </c>
      <c r="I185" s="1" t="inlineStr">
        <is>
          <t>Поставка медицинского оборудования и расходных материалов; Производство медицинских изделий; Холодильники; Оборудование для банков крови; Мониторы пациента; Дефибрилляторы</t>
        </is>
      </c>
      <c r="J185" s="1">
        <f>IFERROR(__xludf.DUMMYFUNCTION("AI(Prompt!$B$6, H223:I223)"),"Производитель")</f>
        <v/>
      </c>
      <c r="K185" s="1">
        <f>IFERROR(__xludf.DUMMYFUNCTION("AI(Prompt!$B$12, H223:J223)"),"OK")</f>
        <v/>
      </c>
      <c r="L185" s="1">
        <f>IFERROR(__xludf.DUMMYFUNCTION("AI(Prompt!$B$17, H223:I223)"),"холодильники, медицинские изделия, дефибрилляторы и мониторы")</f>
        <v/>
      </c>
      <c r="M185" s="1">
        <f>IFERROR(__xludf.DUMMYFUNCTION("AI(Prompt!$B$21,A223)"),"Фарм-Инвест")</f>
        <v/>
      </c>
      <c r="N185" s="1" t="inlineStr">
        <is>
          <t>Здравоохранение-2025</t>
        </is>
      </c>
      <c r="O185" s="9" t="inlineStr">
        <is>
          <t>https://icatalog.expocentr.ru/ru/exhibitions/de590dc5-417d-11ee-80ce-a0d3c1fab97f</t>
        </is>
      </c>
    </row>
    <row r="186" ht="16" customHeight="1">
      <c r="A186" s="1" t="inlineStr">
        <is>
          <t>КВ МЕДИКАЛ, ООО</t>
        </is>
      </c>
      <c r="B186" s="1" t="inlineStr">
        <is>
          <t>7F020</t>
        </is>
      </c>
      <c r="C186" s="1" t="inlineStr">
        <is>
          <t>Россия</t>
        </is>
      </c>
      <c r="D186" s="1" t="inlineStr">
        <is>
          <t>Москва</t>
        </is>
      </c>
      <c r="E186" s="1" t="inlineStr">
        <is>
          <t>Россия, 107023, г. Москва, ул. Суворовская, д. 10а, оф. 5</t>
        </is>
      </c>
      <c r="G186" s="1" t="inlineStr">
        <is>
          <t>ra@kvmedical.ru</t>
        </is>
      </c>
      <c r="H186" s="1" t="inlineStr">
        <is>
          <t>ООО «КВ МЕДИКАЛ» – дистрибьютор продукции ведущих производителей из стран ЕАЭС и БРИКС. Специализация — технические средства реабилитации, медицинские изделия, хирургия, анестезиология и реанимация.</t>
        </is>
      </c>
      <c r="I186" s="1" t="inlineStr">
        <is>
          <t>Системы мониторирования ЭКГ и АД; Приборы для исследования внешнего дыхания; Средства ухода за стомой; Оборудование для длительных вливаний крови и растворов; Принадлежности и расходные материалы для реанимации и экстренной помощи; Вакуумные экстракторы, аспираторы</t>
        </is>
      </c>
      <c r="J186" s="1">
        <f>IFERROR(__xludf.DUMMYFUNCTION("AI(Prompt!$B$6, H224:I224)"),"Дилер")</f>
        <v/>
      </c>
      <c r="K186" s="1">
        <f>IFERROR(__xludf.DUMMYFUNCTION("AI(Prompt!$B$12, H224:J224)"),"OK")</f>
        <v/>
      </c>
      <c r="L186" s="1">
        <f>IFERROR(__xludf.DUMMYFUNCTION("AI(Prompt!$B$17, H224:I224)"),"средства реабилитации, медицинские изделия, системы мониторирования и приборы для дыхания")</f>
        <v/>
      </c>
      <c r="M186" s="1">
        <f>IFERROR(__xludf.DUMMYFUNCTION("AI(Prompt!$B$21,A224)"),"КВ Медикал")</f>
        <v/>
      </c>
      <c r="N186" s="1" t="inlineStr">
        <is>
          <t>Здравоохранение-2025</t>
        </is>
      </c>
      <c r="O186" s="9" t="inlineStr">
        <is>
          <t>https://icatalog.expocentr.ru/ru/exhibitions/de590dc5-417d-11ee-80ce-a0d3c1fab97f</t>
        </is>
      </c>
    </row>
    <row r="187" ht="16" customHeight="1">
      <c r="A187" s="1" t="inlineStr">
        <is>
          <t>ЛАБРОМЕД, ООО</t>
        </is>
      </c>
      <c r="B187" s="1" t="inlineStr">
        <is>
          <t>7A090</t>
        </is>
      </c>
      <c r="C187" s="1" t="inlineStr">
        <is>
          <t>Россия</t>
        </is>
      </c>
      <c r="D187" s="1" t="inlineStr">
        <is>
          <t>Химки</t>
        </is>
      </c>
      <c r="E187" s="1" t="inlineStr">
        <is>
          <t>Россия, 141407, Московская обл., г. Химки, Куркинское ш., стр. 2, оф. 501/5</t>
        </is>
      </c>
      <c r="F187" s="10" t="inlineStr">
        <is>
          <t>http://www.labromed.ru</t>
        </is>
      </c>
      <c r="G187" s="1" t="inlineStr">
        <is>
          <t>labromed@labromed.ru</t>
        </is>
      </c>
      <c r="H187" s="1" t="inlineStr">
        <is>
          <t>Производитель медицинской и лабораторной мебели.</t>
        </is>
      </c>
      <c r="I187" s="1" t="inlineStr">
        <is>
          <t>Производство медицинских изделий</t>
        </is>
      </c>
      <c r="J187" s="1">
        <f>IFERROR(__xludf.DUMMYFUNCTION("AI(Prompt!$B$6, H225:I225)"),"Производитель")</f>
        <v/>
      </c>
      <c r="K187" s="1">
        <f>IFERROR(__xludf.DUMMYFUNCTION("AI(Prompt!$B$12, H225:J225)"),"OK")</f>
        <v/>
      </c>
      <c r="L187" s="1">
        <f>IFERROR(__xludf.DUMMYFUNCTION("AI(Prompt!$B$17, H225:I225)"),"мебель")</f>
        <v/>
      </c>
      <c r="M187" s="1">
        <f>IFERROR(__xludf.DUMMYFUNCTION("AI(Prompt!$B$21,A225)"),"Лабромед")</f>
        <v/>
      </c>
      <c r="N187" s="1" t="inlineStr">
        <is>
          <t>Здравоохранение-2025</t>
        </is>
      </c>
      <c r="O187" s="9" t="inlineStr">
        <is>
          <t>https://icatalog.expocentr.ru/ru/exhibitions/de590dc5-417d-11ee-80ce-a0d3c1fab97f</t>
        </is>
      </c>
    </row>
    <row r="188" ht="16" customHeight="1">
      <c r="A188" s="1" t="inlineStr">
        <is>
          <t>МЕДМОС, ТОРГОВЫЙ ДОМ</t>
        </is>
      </c>
      <c r="B188" s="1" t="inlineStr">
        <is>
          <t>7D090</t>
        </is>
      </c>
      <c r="C188" s="1" t="inlineStr">
        <is>
          <t>Россия</t>
        </is>
      </c>
      <c r="D188" s="1" t="inlineStr">
        <is>
          <t>Москва</t>
        </is>
      </c>
      <c r="E188" s="1" t="inlineStr">
        <is>
          <t>Россия, 121087, г. Москва, вн. тер. г. м. о. Филевский Парк, ул. Барклая, д. 6, стр. 5, этаж 2, комн. 22, оф. 24</t>
        </is>
      </c>
      <c r="F188" s="10" t="inlineStr">
        <is>
          <t>http://www.med-mos.ru</t>
        </is>
      </c>
      <c r="G188" s="1" t="inlineStr">
        <is>
          <t>info@med-mos.ru</t>
        </is>
      </c>
      <c r="H188" s="1" t="inlineStr">
        <is>
          <t>Компания «МедМос» – российский производитель и ведущий поставщик высокотехнологичного медицинского оборудования, резидент ОАЭ «Дубна» с 2025 года. Вот уже 19 лет мы создаем современные решения для широкого круга медицинских задач: от диагностики до реабилитации и нейрореабилитации. Наша миссия – развивать и совершенствовать отечественную систему здравоохранения, повышая качество медицинской помощи. В этом году мы представляем на нашем стенде аппараты для ультразвуковой диагностики, гибкой эндоскопии, терморегуляции. Среди главных элементов экспозиции – «ГИПОТЕРМ Нео», терморегулирующее устройство для неонатологии и педиатрии.</t>
        </is>
      </c>
      <c r="I188" s="1" t="inlineStr">
        <is>
          <t>Системы мониторирования ЭКГ и АД; Стоматологическое оборудование и инструменты; Столы массажные; Средства перевозки (перемещения) пациентов, оборудования и материалов; Прочее общебольничное оборудование; Аналитика рынка, консалтинг; Ультразвуковые сканеры и диагностические системы; Оборудование для термотерапии; Приборы для измерения артериального давления (тонометры); Эндоскопические комплексы и системы; Спасательное оборудование и снаряжение; Мониторы пациента; Оборудование для длительных вливаний крови и растворов; Эндопротезы и имплантаты</t>
        </is>
      </c>
      <c r="J188" s="1">
        <f>IFERROR(__xludf.DUMMYFUNCTION("AI(Prompt!$B$6, H226:I226)"),"Производитель")</f>
        <v/>
      </c>
      <c r="K188" s="1">
        <f>IFERROR(__xludf.DUMMYFUNCTION("AI(Prompt!$B$12, H226:J226)"),"OK")</f>
        <v/>
      </c>
      <c r="L188" s="1">
        <f>IFERROR(__xludf.DUMMYFUNCTION("AI(Prompt!$B$17, H226:I226)"),"медицинское оборудование, ультразвуковые сканеры, терморегулирующие устройства и эндоскопические комплексы")</f>
        <v/>
      </c>
      <c r="M188" s="1">
        <f>IFERROR(__xludf.DUMMYFUNCTION("AI(Prompt!$B$21,A226)"),"Медмос")</f>
        <v/>
      </c>
      <c r="N188" s="1" t="inlineStr">
        <is>
          <t>Здравоохранение-2025</t>
        </is>
      </c>
      <c r="O188" s="9" t="inlineStr">
        <is>
          <t>https://icatalog.expocentr.ru/ru/exhibitions/de590dc5-417d-11ee-80ce-a0d3c1fab97f</t>
        </is>
      </c>
    </row>
    <row r="189" ht="16" customHeight="1">
      <c r="A189" s="1" t="inlineStr">
        <is>
          <t>ФЛОГИСТОН-МЕД, ООО</t>
        </is>
      </c>
      <c r="B189" s="1" t="inlineStr">
        <is>
          <t>7C030</t>
        </is>
      </c>
      <c r="C189" s="1" t="inlineStr">
        <is>
          <t>Россия</t>
        </is>
      </c>
      <c r="D189" s="1" t="inlineStr">
        <is>
          <t>Краснознаменск (Московская обл)</t>
        </is>
      </c>
      <c r="E189" s="1" t="inlineStr">
        <is>
          <t>Россия, 143090, Московская обл., г. Краснознаменск (Московская обл), ул. Индустриальная, д. 5</t>
        </is>
      </c>
      <c r="F189" s="10" t="inlineStr">
        <is>
          <t>http://www.flogiston-med.ru</t>
        </is>
      </c>
      <c r="G189" s="1" t="inlineStr">
        <is>
          <t>marketing.flogiston@gmail.com</t>
        </is>
      </c>
      <c r="H189" s="1" t="inlineStr">
        <is>
          <t>Надежный поставщик современного медицинского оборудования из России, а также из Китая, запуск в эксплуатацию и сервис.</t>
        </is>
      </c>
      <c r="I189" s="1" t="inlineStr">
        <is>
          <t>Рентгеновские диагностические установки, передвижные и стационарные; Компьютерные томографы; Магнитно-резонансные томографы</t>
        </is>
      </c>
      <c r="J189" s="1">
        <f>IFERROR(__xludf.DUMMYFUNCTION("AI(Prompt!$B$6, H227:I227)"),"Дилер")</f>
        <v/>
      </c>
      <c r="K189" s="1">
        <f>IFERROR(__xludf.DUMMYFUNCTION("AI(Prompt!$B$12, H227:J227)"),"OK")</f>
        <v/>
      </c>
      <c r="L189" s="1">
        <f>IFERROR(__xludf.DUMMYFUNCTION("AI(Prompt!$B$17, H227:I227)"),"рентгеновские установки, томографы")</f>
        <v/>
      </c>
      <c r="M189" s="1">
        <f>IFERROR(__xludf.DUMMYFUNCTION("AI(Prompt!$B$21,A227)"),"Флогистон-Мед")</f>
        <v/>
      </c>
      <c r="N189" s="1" t="inlineStr">
        <is>
          <t>Здравоохранение-2025</t>
        </is>
      </c>
      <c r="O189" s="9" t="inlineStr">
        <is>
          <t>https://icatalog.expocentr.ru/ru/exhibitions/de590dc5-417d-11ee-80ce-a0d3c1fab97f</t>
        </is>
      </c>
    </row>
    <row r="190" ht="16" customHeight="1">
      <c r="A190" s="1" t="inlineStr">
        <is>
          <t>РехаТехник</t>
        </is>
      </c>
      <c r="B190" s="1" t="inlineStr">
        <is>
          <t>7D160</t>
        </is>
      </c>
      <c r="C190" s="1" t="inlineStr">
        <is>
          <t>Россия</t>
        </is>
      </c>
      <c r="D190" s="1" t="inlineStr">
        <is>
          <t>Москва</t>
        </is>
      </c>
      <c r="E190" s="1" t="inlineStr">
        <is>
          <t>Россия, 111123, г. Москва, ш. Энтузиастов, д. 56, стр. 28</t>
        </is>
      </c>
      <c r="F190" s="10" t="inlineStr">
        <is>
          <t>http://www.reha-teh.ru</t>
        </is>
      </c>
      <c r="G190" s="1" t="inlineStr">
        <is>
          <t>sales@reha-teh.ru</t>
        </is>
      </c>
      <c r="H190" s="1" t="inlineStr">
        <is>
          <t>Миссия нашей компании – создавать условия для полноценной интеграции маломобильных людей в общественную и городскую жизнь. Лучшее оборудование из Европы! ГК «РехаТехник» — мы делаем жизнь доступной!</t>
        </is>
      </c>
      <c r="I190" s="1" t="inlineStr">
        <is>
          <t>Кушетки медицинские; Реабилитационное оборудование; Средства, облегчающие передвижения; Эрготерапевтическое оборудование; Ортопедия и травматология; Ортопедическое оборудование и инструменты</t>
        </is>
      </c>
      <c r="J190" s="1">
        <f>IFERROR(__xludf.DUMMYFUNCTION("AI(Prompt!$B$6, H228:I228)"),"Дилер")</f>
        <v/>
      </c>
      <c r="K190" s="1">
        <f>IFERROR(__xludf.DUMMYFUNCTION("AI(Prompt!$B$12, H228:J228)"),"OK")</f>
        <v/>
      </c>
      <c r="L190" s="1">
        <f>IFERROR(__xludf.DUMMYFUNCTION("AI(Prompt!$B$17, H228:I228)"),"кушетки, реабилитационное, эрготерапевтическое и ортопедическое оборудование")</f>
        <v/>
      </c>
      <c r="M190" s="1">
        <f>IFERROR(__xludf.DUMMYFUNCTION("AI(Prompt!$B$21,A228)"),"РехаТехник")</f>
        <v/>
      </c>
      <c r="N190" s="1" t="inlineStr">
        <is>
          <t>Здравоохранение-2025</t>
        </is>
      </c>
      <c r="O190" s="9" t="inlineStr">
        <is>
          <t>https://icatalog.expocentr.ru/ru/exhibitions/de590dc5-417d-11ee-80ce-a0d3c1fab97f</t>
        </is>
      </c>
    </row>
    <row r="191" ht="16" customHeight="1">
      <c r="A191" s="1" t="inlineStr">
        <is>
          <t>ЭНДОВИ, ООО</t>
        </is>
      </c>
      <c r="B191" s="1" t="inlineStr">
        <is>
          <t>7D045</t>
        </is>
      </c>
      <c r="C191" s="1" t="inlineStr">
        <is>
          <t>Россия</t>
        </is>
      </c>
      <c r="D191" s="1" t="inlineStr">
        <is>
          <t>Москва</t>
        </is>
      </c>
      <c r="E191" s="1" t="inlineStr">
        <is>
          <t>Россия, 123610, г. Москва, Краснопресненская наб., д. 12, г-ца «Международная», подъезд 6, этаж 9, оф. 906</t>
        </is>
      </c>
      <c r="F191" s="10" t="inlineStr">
        <is>
          <t>https://endovi.ru</t>
        </is>
      </c>
      <c r="G191" s="1" t="inlineStr">
        <is>
          <t>info@endovi.ru</t>
        </is>
      </c>
      <c r="H191" s="1" t="inlineStr">
        <is>
          <t>ООО «ЭНДОВИ» — уполномоченный представитель китайского производителя Concemed на территории России. Поставка и техническое обслуживание видеоэндоскопического оборудования Concemed.</t>
        </is>
      </c>
      <c r="I191" s="1" t="inlineStr">
        <is>
          <t>Эндоскопы гибкие; Эндоскопические комплексы и системы</t>
        </is>
      </c>
      <c r="J191" s="1">
        <f>IFERROR(__xludf.DUMMYFUNCTION("AI(Prompt!$B$6, H229:I229)"),"Дилер")</f>
        <v/>
      </c>
      <c r="K191" s="1">
        <f>IFERROR(__xludf.DUMMYFUNCTION("AI(Prompt!$B$12, H229:J229)"),"OK")</f>
        <v/>
      </c>
      <c r="L191" s="1">
        <f>IFERROR(__xludf.DUMMYFUNCTION("AI(Prompt!$B$17, H229:I229)"),"эндоскопы, эндоскопические комплексы и системы")</f>
        <v/>
      </c>
      <c r="M191" s="1">
        <f>IFERROR(__xludf.DUMMYFUNCTION("AI(Prompt!$B$21,A229)"),"Эндови")</f>
        <v/>
      </c>
      <c r="N191" s="1" t="inlineStr">
        <is>
          <t>Здравоохранение-2025</t>
        </is>
      </c>
      <c r="O191" s="9" t="inlineStr">
        <is>
          <t>https://icatalog.expocentr.ru/ru/exhibitions/de590dc5-417d-11ee-80ce-a0d3c1fab97f</t>
        </is>
      </c>
    </row>
    <row r="192" ht="16" customHeight="1">
      <c r="A192" s="1" t="inlineStr">
        <is>
          <t>ФОТЕК, ООО</t>
        </is>
      </c>
      <c r="B192" s="1" t="inlineStr">
        <is>
          <t>7D020,   8G050</t>
        </is>
      </c>
      <c r="C192" s="1" t="inlineStr">
        <is>
          <t>Россия</t>
        </is>
      </c>
      <c r="D192" s="1" t="inlineStr">
        <is>
          <t>Екатеринбург</t>
        </is>
      </c>
      <c r="E192" s="1" t="inlineStr">
        <is>
          <t>Россия, 620078, г. Екатеринбург, ул. Малышева, стр. 145а</t>
        </is>
      </c>
      <c r="F192" s="10" t="inlineStr">
        <is>
          <t>http://www.fotek.ru</t>
        </is>
      </c>
      <c r="G192" s="1" t="inlineStr">
        <is>
          <t>fotek@fotek.ru</t>
        </is>
      </c>
      <c r="H192" s="1" t="inlineStr">
        <is>
          <t>«ФОТЕК» — российский разработчик и производитель электрохирургического и ультразвукового кавитационного оборудования для гинекологии, урологии, хирургии, травматологии и ортопедии, оториноларингологии. Производство сертифицировано в соответствии с международными стандартами ISO. Оборудование «ФОТЕК» соответствует требованиям стандартов Европейского союза.</t>
        </is>
      </c>
      <c r="I192" s="1" t="inlineStr">
        <is>
          <t>Эндоскопические комплексы и системы; Электрохирургические аппараты; Ультразвуковые хирургические аппараты</t>
        </is>
      </c>
      <c r="J192" s="1">
        <f>IFERROR(__xludf.DUMMYFUNCTION("AI(Prompt!$B$6, H230:I230)"),"Производитель")</f>
        <v/>
      </c>
      <c r="K192" s="1">
        <f>IFERROR(__xludf.DUMMYFUNCTION("AI(Prompt!$B$12, H230:J230)"),"OK")</f>
        <v/>
      </c>
      <c r="L192" s="1">
        <f>IFERROR(__xludf.DUMMYFUNCTION("AI(Prompt!$B$17, H230:I230)"),"комплексы, аппараты и оборудование")</f>
        <v/>
      </c>
      <c r="M192" s="1">
        <f>IFERROR(__xludf.DUMMYFUNCTION("AI(Prompt!$B$21,A230)"),"Фотек")</f>
        <v/>
      </c>
      <c r="N192" s="1" t="inlineStr">
        <is>
          <t>Здравоохранение-2025</t>
        </is>
      </c>
      <c r="O192" s="9" t="inlineStr">
        <is>
          <t>https://icatalog.expocentr.ru/ru/exhibitions/de590dc5-417d-11ee-80ce-a0d3c1fab97f</t>
        </is>
      </c>
    </row>
    <row r="193" ht="16" customHeight="1">
      <c r="A193" s="1" t="inlineStr">
        <is>
          <t>СЕРВИСИНСТРУМЕНТ, АО</t>
        </is>
      </c>
      <c r="B193" s="1" t="inlineStr">
        <is>
          <t>7F080</t>
        </is>
      </c>
      <c r="C193" s="1" t="inlineStr">
        <is>
          <t>Россия</t>
        </is>
      </c>
      <c r="D193" s="1" t="inlineStr">
        <is>
          <t>Москва</t>
        </is>
      </c>
      <c r="E193" s="1" t="inlineStr">
        <is>
          <t>Россия, 127018, г. Москва, ул. Сущёвский Вал, д. 5, стр. 28</t>
        </is>
      </c>
      <c r="F193" s="10" t="inlineStr">
        <is>
          <t>http://www.servinst.ru</t>
        </is>
      </c>
      <c r="G193" s="1" t="inlineStr">
        <is>
          <t>info@servinst.ru</t>
        </is>
      </c>
      <c r="H193" s="1" t="inlineStr">
        <is>
          <t>Компания основана в 1988 г. Реанимация, интенсивная терапия. Поставки, монтаж, обучение и технический сервис в клиниках РФ и странах ЕАЭС. Партнеры «Ардо», «Чисон», «Вилтехмеда», «Сикрест», «Акутроник», «Текме», «Зильберман».</t>
        </is>
      </c>
      <c r="I193" s="1" t="inlineStr">
        <is>
          <t>Инкубаторы и открытые реанимационные системы; Фототерапевтические системы; Аппараты для искусственной вентиляции легких; Мониторы пациента; Наркозно-дыхательные аппараты</t>
        </is>
      </c>
      <c r="J193" s="1">
        <f>IFERROR(__xludf.DUMMYFUNCTION("AI(Prompt!$B$6, H231:I231)"),"Дилер")</f>
        <v/>
      </c>
      <c r="K193" s="1">
        <f>IFERROR(__xludf.DUMMYFUNCTION("AI(Prompt!$B$12, H231:J231)"),"OK")</f>
        <v/>
      </c>
      <c r="L193" s="1">
        <f>IFERROR(__xludf.DUMMYFUNCTION("AI(Prompt!$B$17, H231:I231)"),"инкубаторы, фототерапевтические системы, аппараты искусственной вентиляции легких, мониторы пациента и наркозно-дыхательные аппараты")</f>
        <v/>
      </c>
      <c r="M193" s="1">
        <f>IFERROR(__xludf.DUMMYFUNCTION("AI(Prompt!$B$21,A231)"),"Сервисинструмент")</f>
        <v/>
      </c>
      <c r="N193" s="1" t="inlineStr">
        <is>
          <t>Здравоохранение-2025</t>
        </is>
      </c>
      <c r="O193" s="9" t="inlineStr">
        <is>
          <t>https://icatalog.expocentr.ru/ru/exhibitions/de590dc5-417d-11ee-80ce-a0d3c1fab97f</t>
        </is>
      </c>
    </row>
    <row r="194" ht="16" customHeight="1">
      <c r="A194" s="1" t="inlineStr">
        <is>
          <t>МЕДФАРМА-СЕРВИС, ООО</t>
        </is>
      </c>
      <c r="B194" s="1" t="inlineStr">
        <is>
          <t>7B070</t>
        </is>
      </c>
      <c r="C194" s="1" t="inlineStr">
        <is>
          <t>Россия</t>
        </is>
      </c>
      <c r="D194" s="1" t="inlineStr">
        <is>
          <t>Вологда</t>
        </is>
      </c>
      <c r="E194" s="1" t="inlineStr">
        <is>
          <t>Россия, 160019, г. Вологда, ул. Чернышевского, д. 118</t>
        </is>
      </c>
      <c r="F194" s="10" t="inlineStr">
        <is>
          <t>https://medfarma.net</t>
        </is>
      </c>
      <c r="G194" s="1" t="inlineStr">
        <is>
          <t>info@medfarma.net</t>
        </is>
      </c>
      <c r="H194" s="16" t="inlineStr">
        <is>
          <t>Комплексное оснащение ЛПУ медицинским оборудованием. Официальный представитель корпорации Merivaara в России — внедряем интегрированные системы для цифровизации деятельности медицинских учреждений.</t>
        </is>
      </c>
      <c r="I194" s="14" t="inlineStr">
        <is>
          <t>Проектирование, производство, монтаж, валидация чистых операционных и реанимационных; Медицинский инжиниринг; Поставка медицинского оборудования и расходных материалов; Системы eHealth, телемедицина; Операционные столы; Осветители хирургические</t>
        </is>
      </c>
      <c r="J194" s="15" t="inlineStr">
        <is>
          <t>Поставщик услуг</t>
        </is>
      </c>
      <c r="K194" s="14" t="inlineStr">
        <is>
          <t>OK</t>
        </is>
      </c>
      <c r="L194" s="1">
        <f>IFERROR(__xludf.DUMMYFUNCTION("AI(Prompt!$B$17, H233:I233)"),"медицинское оборудование, расходные материалы, операционные столы и осветители")</f>
        <v/>
      </c>
      <c r="M194" s="1">
        <f>IFERROR(__xludf.DUMMYFUNCTION("AI(Prompt!$B$21,A233)"),"Медфарма-Сервис")</f>
        <v/>
      </c>
      <c r="N194" s="1" t="inlineStr">
        <is>
          <t>Здравоохранение-2025</t>
        </is>
      </c>
      <c r="O194" s="9" t="inlineStr">
        <is>
          <t>https://icatalog.expocentr.ru/ru/exhibitions/de590dc5-417d-11ee-80ce-a0d3c1fab97f</t>
        </is>
      </c>
    </row>
    <row r="195" ht="16" customHeight="1">
      <c r="A195" s="1" t="inlineStr">
        <is>
          <t>АЛЬЯНС, ТД, ООО</t>
        </is>
      </c>
      <c r="B195" s="1" t="inlineStr">
        <is>
          <t>7F015</t>
        </is>
      </c>
      <c r="C195" s="1" t="inlineStr">
        <is>
          <t>Россия</t>
        </is>
      </c>
      <c r="D195" s="1" t="inlineStr">
        <is>
          <t>Москва</t>
        </is>
      </c>
      <c r="E195" s="1" t="inlineStr">
        <is>
          <t>Россия, 105005, г. Москва, вн. тер. г. м. о. Басманный, ул. Радио, д. 7, стр. 1, комн. 304</t>
        </is>
      </c>
      <c r="F195" s="10" t="inlineStr">
        <is>
          <t>http://www.respircare.ru</t>
        </is>
      </c>
      <c r="G195" s="1" t="inlineStr">
        <is>
          <t>info@respircare.ru</t>
        </is>
      </c>
      <c r="H195" s="1" t="inlineStr">
        <is>
          <t>Компания является импортером оборудования (в т. ч. увлажнителей с генератором потока Hifent) и расходных материалов для высокопоточной кислородной терапии производства Shenyang RMS Medical Tech Co. Ltd.</t>
        </is>
      </c>
      <c r="I195" s="1" t="inlineStr">
        <is>
          <t>Пульмонологические мониторные системы; Расходные материалы для медицинского оборудования; Оборудование для кислородной терапии; Аппараты для искусственной вентиляции легких; Оборудование для медицинских газов; Наркозно-дыхательные аппараты</t>
        </is>
      </c>
      <c r="J195" s="1">
        <f>IFERROR(__xludf.DUMMYFUNCTION("AI(Prompt!$B$6, H234:I234)"),"Дилер")</f>
        <v/>
      </c>
      <c r="K195" s="1">
        <f>IFERROR(__xludf.DUMMYFUNCTION("AI(Prompt!$B$12, H234:J234)"),"OK")</f>
        <v/>
      </c>
      <c r="L195" s="1">
        <f>IFERROR(__xludf.DUMMYFUNCTION("AI(Prompt!$B$17, H234:I234)"),"оборудование, расходные материалы, мониторные системы, аппараты и газы")</f>
        <v/>
      </c>
      <c r="M195" s="1">
        <f>IFERROR(__xludf.DUMMYFUNCTION("AI(Prompt!$B$21,A234)"),"Альянс")</f>
        <v/>
      </c>
      <c r="N195" s="1" t="inlineStr">
        <is>
          <t>Здравоохранение-2025</t>
        </is>
      </c>
      <c r="O195" s="9" t="inlineStr">
        <is>
          <t>https://icatalog.expocentr.ru/ru/exhibitions/de590dc5-417d-11ee-80ce-a0d3c1fab97f</t>
        </is>
      </c>
    </row>
    <row r="196" ht="16" customHeight="1">
      <c r="A196" s="1" t="inlineStr">
        <is>
          <t>ЗДРАВМЕБЕЛЬ, ООО</t>
        </is>
      </c>
      <c r="B196" s="1" t="inlineStr">
        <is>
          <t>7C165</t>
        </is>
      </c>
      <c r="C196" s="1" t="inlineStr">
        <is>
          <t>Россия</t>
        </is>
      </c>
      <c r="D196" s="1" t="inlineStr">
        <is>
          <t>Тула</t>
        </is>
      </c>
      <c r="E196" s="1" t="inlineStr">
        <is>
          <t>Россия, 300024, г. Тула, Ханинский пр-д, д. 29, пом. 3</t>
        </is>
      </c>
      <c r="F196" s="10" t="inlineStr">
        <is>
          <t>http://zdravmebel77.ru</t>
        </is>
      </c>
      <c r="G196" s="1" t="inlineStr">
        <is>
          <t>zdravmebel@mail.ru</t>
        </is>
      </c>
      <c r="H196" s="1" t="inlineStr">
        <is>
          <t>Собственное производство и оптовая продажа мебели для медицинских и школьных учреждений. Индивидуальные проекты. Наличие РУ. Высокое качество. Оптимальные сроки. Гарантия производителя.</t>
        </is>
      </c>
      <c r="I196" s="1" t="inlineStr">
        <is>
          <t>Медицинская мебель; Прочее общебольничное оборудование; Аналитика рынка, консалтинг; Производство медицинских изделий; Отраслевые СМИ и издательства; Лабораторная мебель</t>
        </is>
      </c>
      <c r="J196" s="1">
        <f>IFERROR(__xludf.DUMMYFUNCTION("AI(Prompt!$B$6, H235:I235)"),"Производитель")</f>
        <v/>
      </c>
      <c r="K196" s="1">
        <f>IFERROR(__xludf.DUMMYFUNCTION("AI(Prompt!$B$12, H235:J235)"),"OK")</f>
        <v/>
      </c>
      <c r="L196" s="1">
        <f>IFERROR(__xludf.DUMMYFUNCTION("AI(Prompt!$B$17, H235:I235)"),"мебель, общебольничное оборудование и лабораторная мебель")</f>
        <v/>
      </c>
      <c r="M196" s="1">
        <f>IFERROR(__xludf.DUMMYFUNCTION("AI(Prompt!$B$21,A235)"),"Здравмебель")</f>
        <v/>
      </c>
      <c r="N196" s="1" t="inlineStr">
        <is>
          <t>Здравоохранение-2025</t>
        </is>
      </c>
      <c r="O196" s="9" t="inlineStr">
        <is>
          <t>https://icatalog.expocentr.ru/ru/exhibitions/de590dc5-417d-11ee-80ce-a0d3c1fab97f</t>
        </is>
      </c>
    </row>
    <row r="197" ht="16" customHeight="1">
      <c r="A197" s="1" t="inlineStr">
        <is>
          <t>БОВА ЕВРАЗИЯ, ООО</t>
        </is>
      </c>
      <c r="B197" s="1" t="inlineStr">
        <is>
          <t>7B090</t>
        </is>
      </c>
      <c r="C197" s="1" t="inlineStr">
        <is>
          <t>Россия</t>
        </is>
      </c>
      <c r="D197" s="1" t="inlineStr">
        <is>
          <t>Москва</t>
        </is>
      </c>
      <c r="E197" s="1" t="inlineStr">
        <is>
          <t>Россия, 125040, г. Москва, Ленинградский просп., д. 24, стр. 3</t>
        </is>
      </c>
      <c r="F197" s="10" t="inlineStr">
        <is>
          <t>http://www.bowa-eurasia.com</t>
        </is>
      </c>
      <c r="G197" s="1" t="inlineStr">
        <is>
          <t>office.russia@bowa-medical.com</t>
        </is>
      </c>
      <c r="H197" s="1" t="inlineStr">
        <is>
          <t>Все, что нужно для хирургии. Надежно, безопасно, навсегда, BOWA.</t>
        </is>
      </c>
      <c r="I197" s="1" t="inlineStr">
        <is>
          <t>Электрохирургические аппараты; Ультразвуковые хирургические аппараты</t>
        </is>
      </c>
      <c r="J197" s="1">
        <f>IFERROR(__xludf.DUMMYFUNCTION("AI(Prompt!$B$6, H236:I236)"),"Производитель")</f>
        <v/>
      </c>
      <c r="K197" s="1">
        <f>IFERROR(__xludf.DUMMYFUNCTION("AI(Prompt!$B$12, H236:J236)"),"OK")</f>
        <v/>
      </c>
      <c r="L197" s="1">
        <f>IFERROR(__xludf.DUMMYFUNCTION("AI(Prompt!$B$17, H236:I236)"),"электрохирургические и ультразвуковые аппараты")</f>
        <v/>
      </c>
      <c r="M197" s="1">
        <f>IFERROR(__xludf.DUMMYFUNCTION("AI(Prompt!$B$21,A236)"),"Бова Евразия")</f>
        <v/>
      </c>
      <c r="N197" s="1" t="inlineStr">
        <is>
          <t>Здравоохранение-2025</t>
        </is>
      </c>
      <c r="O197" s="9" t="inlineStr">
        <is>
          <t>https://icatalog.expocentr.ru/ru/exhibitions/de590dc5-417d-11ee-80ce-a0d3c1fab97f</t>
        </is>
      </c>
    </row>
    <row r="198" ht="16" customHeight="1">
      <c r="A198" s="1" t="inlineStr">
        <is>
          <t>Н-МЕДИКА, ООО</t>
        </is>
      </c>
      <c r="B198" s="1" t="inlineStr">
        <is>
          <t>7F090</t>
        </is>
      </c>
      <c r="C198" s="1" t="inlineStr">
        <is>
          <t>Россия</t>
        </is>
      </c>
      <c r="D198" s="1" t="inlineStr">
        <is>
          <t>Санкт-Петербург</t>
        </is>
      </c>
      <c r="E198" s="1" t="inlineStr">
        <is>
          <t>Россия, 194100, г. Санкт-Петербург, ул. Кантемировская, д. 39, литера А, пом. 41Н, оф. 411</t>
        </is>
      </c>
      <c r="F198" s="10" t="inlineStr">
        <is>
          <t>http://www.nordmedica.ru/kontakty</t>
        </is>
      </c>
      <c r="G198" s="1" t="inlineStr">
        <is>
          <t>info@nordmedica.ru</t>
        </is>
      </c>
      <c r="H198" s="1" t="inlineStr">
        <is>
          <t>«НОРД-МЕДИКА» – официальный дистрибьютор оборудования KaWe (Германия). Более 20 лет занимаемся поставками диагностического оборудования. Эксклюзив: налобный осветитель H-800! Будем рады вас видеть!</t>
        </is>
      </c>
      <c r="I198" s="1" t="inlineStr">
        <is>
          <t>Офтальмоскопы; Дерматоскопы; Отоскопы и лор-инструменты; Ларингоскопы; Комплекты реанимационного оборудования; Осветители хирургические</t>
        </is>
      </c>
      <c r="J198" s="1">
        <f>IFERROR(__xludf.DUMMYFUNCTION("AI(Prompt!$B$6, H237:I237)"),"Дилер")</f>
        <v/>
      </c>
      <c r="K198" s="1">
        <f>IFERROR(__xludf.DUMMYFUNCTION("AI(Prompt!$B$12, H237:J237)"),"OK")</f>
        <v/>
      </c>
      <c r="L198" s="1">
        <f>IFERROR(__xludf.DUMMYFUNCTION("AI(Prompt!$B$17, H237:I237)"),"офтальмоскопы, дерматоскопы, отоскопы, ларингоскопы и осветители хирургические")</f>
        <v/>
      </c>
      <c r="M198" s="1">
        <f>IFERROR(__xludf.DUMMYFUNCTION("AI(Prompt!$B$21,A237)"),"Н-Медика")</f>
        <v/>
      </c>
      <c r="N198" s="1" t="inlineStr">
        <is>
          <t>Здравоохранение-2025</t>
        </is>
      </c>
      <c r="O198" s="9" t="inlineStr">
        <is>
          <t>https://icatalog.expocentr.ru/ru/exhibitions/de590dc5-417d-11ee-80ce-a0d3c1fab97f</t>
        </is>
      </c>
    </row>
    <row r="199" ht="16" customHeight="1">
      <c r="A199" s="1" t="inlineStr">
        <is>
          <t>ДС-МЕД, ООО</t>
        </is>
      </c>
      <c r="B199" s="1" t="inlineStr">
        <is>
          <t>7C070</t>
        </is>
      </c>
      <c r="C199" s="1" t="inlineStr">
        <is>
          <t>Россия</t>
        </is>
      </c>
      <c r="D199" s="1" t="inlineStr">
        <is>
          <t>Серпухов</t>
        </is>
      </c>
      <c r="E199" s="1" t="inlineStr">
        <is>
          <t>Россия, 142214, Московская обл., г. Серпухов, Северный пр-д, д. 6, оф. 1</t>
        </is>
      </c>
      <c r="F199" s="10" t="inlineStr">
        <is>
          <t>http://www.ds-med.ru</t>
        </is>
      </c>
      <c r="G199" s="1" t="inlineStr">
        <is>
          <t>info@ds-med.ru</t>
        </is>
      </c>
      <c r="H199" s="1" t="inlineStr">
        <is>
          <t>Российский производитель инновационного медицинского оборудования. Мы специализируемся на создании современных рабочих мест для лор-врачей DS.AssistENT.</t>
        </is>
      </c>
      <c r="I199" s="1" t="inlineStr">
        <is>
          <t>Диагностическое оборудование для гинекологии; Оборудование для урологической диагностики; Эндоскопы гибкие; Мониторы пациента; Электрохирургические аппараты</t>
        </is>
      </c>
      <c r="J199" s="1">
        <f>IFERROR(__xludf.DUMMYFUNCTION("AI(Prompt!$B$6, H238:I238)"),"Производитель")</f>
        <v/>
      </c>
      <c r="K199" s="1">
        <f>IFERROR(__xludf.DUMMYFUNCTION("AI(Prompt!$B$12, H238:J238)"),"OK")</f>
        <v/>
      </c>
      <c r="L199" s="1">
        <f>IFERROR(__xludf.DUMMYFUNCTION("AI(Prompt!$B$17, H238:I238)"),"диагностическое оборудование, эндоскопы, мониторы и аппараты")</f>
        <v/>
      </c>
      <c r="M199" s="1">
        <f>IFERROR(__xludf.DUMMYFUNCTION("AI(Prompt!$B$21,A238)"),"ДС-Мед")</f>
        <v/>
      </c>
      <c r="N199" s="1" t="inlineStr">
        <is>
          <t>Здравоохранение-2025</t>
        </is>
      </c>
      <c r="O199" s="9" t="inlineStr">
        <is>
          <t>https://icatalog.expocentr.ru/ru/exhibitions/de590dc5-417d-11ee-80ce-a0d3c1fab97f</t>
        </is>
      </c>
    </row>
    <row r="200" ht="16" customHeight="1">
      <c r="A200" s="1" t="inlineStr">
        <is>
          <t>ФОТОН ФЛАЙ, ПО, ООО</t>
        </is>
      </c>
      <c r="B200" s="11" t="n">
        <v>7e+40</v>
      </c>
      <c r="C200" s="1" t="inlineStr">
        <is>
          <t>Россия</t>
        </is>
      </c>
      <c r="D200" s="1" t="inlineStr">
        <is>
          <t>Казань</t>
        </is>
      </c>
      <c r="E200" s="1" t="inlineStr">
        <is>
          <t>Россия, 420095, Республика Татарстан, г. Казань, ул. Восстания, зд. 108Н, корп. 2, оф. 5, 6</t>
        </is>
      </c>
      <c r="F200" s="10" t="inlineStr">
        <is>
          <t>http://www.fotonfly.ru</t>
        </is>
      </c>
      <c r="G200" s="1" t="inlineStr">
        <is>
          <t>info@fotonfly.ru</t>
        </is>
      </c>
      <c r="H200" s="1" t="inlineStr">
        <is>
          <t>Завод светодиодных хирургических светильников.</t>
        </is>
      </c>
      <c r="I200" s="1" t="inlineStr">
        <is>
          <t>Осветители хирургические</t>
        </is>
      </c>
      <c r="J200" s="1">
        <f>IFERROR(__xludf.DUMMYFUNCTION("AI(Prompt!$B$6, H239:I239)"),"Производитель")</f>
        <v/>
      </c>
      <c r="K200" s="1">
        <f>IFERROR(__xludf.DUMMYFUNCTION("AI(Prompt!$B$12, H239:J239)"),"OK")</f>
        <v/>
      </c>
      <c r="L200" s="1">
        <f>IFERROR(__xludf.DUMMYFUNCTION("AI(Prompt!$B$17, H239:I239)"),"осветители")</f>
        <v/>
      </c>
      <c r="M200" s="1">
        <f>IFERROR(__xludf.DUMMYFUNCTION("AI(Prompt!$B$21,A239)"),"Фотон Флай")</f>
        <v/>
      </c>
      <c r="N200" s="1" t="inlineStr">
        <is>
          <t>Здравоохранение-2025</t>
        </is>
      </c>
      <c r="O200" s="9" t="inlineStr">
        <is>
          <t>https://icatalog.expocentr.ru/ru/exhibitions/de590dc5-417d-11ee-80ce-a0d3c1fab97f</t>
        </is>
      </c>
    </row>
    <row r="201" ht="16" customHeight="1">
      <c r="A201" s="1" t="inlineStr">
        <is>
          <t>ЭЛ МЕДИКАЛ, ООО</t>
        </is>
      </c>
      <c r="B201" s="11" t="n">
        <v>7e+35</v>
      </c>
      <c r="C201" s="1" t="inlineStr">
        <is>
          <t>Россия</t>
        </is>
      </c>
      <c r="D201" s="1" t="inlineStr">
        <is>
          <t>Москва</t>
        </is>
      </c>
      <c r="E201" s="1" t="inlineStr">
        <is>
          <t>Россия, 111020, г. Москва, ул. Сторожевая, д. 4, стр. 1</t>
        </is>
      </c>
      <c r="F201" s="10" t="inlineStr">
        <is>
          <t>http://www.el-medical.ru</t>
        </is>
      </c>
      <c r="G201" s="1" t="inlineStr">
        <is>
          <t>info@el-medical.ru</t>
        </is>
      </c>
      <c r="H201" s="1" t="inlineStr">
        <is>
          <t>EL Medical Group — динамично развивающаяся группа компаний, объединяющая направления хирургического оборудования и лабораторной диагностики. Компания поставляет продукцию ведущих мировых брендов: Medtronic, RZ Medizintechnik, Abbott, Radiometer и Xishan, а также сшивающие аппараты российского бренда «ЭНДОСПЕЙС».</t>
        </is>
      </c>
      <c r="I201" s="1" t="inlineStr">
        <is>
          <t>Отоскопы и лор-инструменты; Прочие изделия для лабораторий; Анализаторы; Эндоскопы жесткие; Хирургическое оборудование; Хирургические инструменты</t>
        </is>
      </c>
      <c r="J201" s="1">
        <f>IFERROR(__xludf.DUMMYFUNCTION("AI(Prompt!$B$6, H240:I240)"),"Дилер")</f>
        <v/>
      </c>
      <c r="K201" s="1">
        <f>IFERROR(__xludf.DUMMYFUNCTION("AI(Prompt!$B$12, H240:J240)"),"OK")</f>
        <v/>
      </c>
      <c r="L201" s="1">
        <f>IFERROR(__xludf.DUMMYFUNCTION("AI(Prompt!$B$17, H240:I240)"),"оборудование, анализаторы, эндоскопы и инструменты")</f>
        <v/>
      </c>
      <c r="M201" s="1">
        <f>IFERROR(__xludf.DUMMYFUNCTION("AI(Prompt!$B$21,A240)"),"Эл Медикал")</f>
        <v/>
      </c>
      <c r="N201" s="1" t="inlineStr">
        <is>
          <t>Здравоохранение-2025</t>
        </is>
      </c>
      <c r="O201" s="9" t="inlineStr">
        <is>
          <t>https://icatalog.expocentr.ru/ru/exhibitions/de590dc5-417d-11ee-80ce-a0d3c1fab97f</t>
        </is>
      </c>
    </row>
    <row r="202" ht="16" customHeight="1">
      <c r="A202" s="1" t="inlineStr">
        <is>
          <t>РМ, ООО</t>
        </is>
      </c>
      <c r="B202" s="1" t="inlineStr">
        <is>
          <t>7B130</t>
        </is>
      </c>
      <c r="C202" s="1" t="inlineStr">
        <is>
          <t>Россия</t>
        </is>
      </c>
      <c r="D202" s="1" t="inlineStr">
        <is>
          <t>Мытищи</t>
        </is>
      </c>
      <c r="E202" s="1" t="inlineStr">
        <is>
          <t>Россия, 141006, Московская обл., г. Мытищи, Олимпийский просп., вл. 29, стр. 2, пом. 32, оф. 7</t>
        </is>
      </c>
      <c r="F202" s="10" t="inlineStr">
        <is>
          <t>http://www.rm-med.ru</t>
        </is>
      </c>
      <c r="G202" s="1" t="inlineStr">
        <is>
          <t>info@rm-med.ru</t>
        </is>
      </c>
      <c r="H202" s="1" t="inlineStr">
        <is>
          <t>Производство мебели для медицинских учреждений.</t>
        </is>
      </c>
      <c r="I202" s="1" t="inlineStr">
        <is>
          <t>Медицинская мебель</t>
        </is>
      </c>
      <c r="J202" s="1">
        <f>IFERROR(__xludf.DUMMYFUNCTION("AI(Prompt!$B$6, H241:I241)"),"Производитель")</f>
        <v/>
      </c>
      <c r="K202" s="1">
        <f>IFERROR(__xludf.DUMMYFUNCTION("AI(Prompt!$B$12, H241:J241)"),"OK")</f>
        <v/>
      </c>
      <c r="L202" s="1">
        <f>IFERROR(__xludf.DUMMYFUNCTION("AI(Prompt!$B$17, H241:I241)"),"мебель")</f>
        <v/>
      </c>
      <c r="M202" s="1">
        <f>IFERROR(__xludf.DUMMYFUNCTION("AI(Prompt!$B$21,A241)"),"РМ")</f>
        <v/>
      </c>
      <c r="N202" s="1" t="inlineStr">
        <is>
          <t>Здравоохранение-2025</t>
        </is>
      </c>
      <c r="O202" s="9" t="inlineStr">
        <is>
          <t>https://icatalog.expocentr.ru/ru/exhibitions/de590dc5-417d-11ee-80ce-a0d3c1fab97f</t>
        </is>
      </c>
    </row>
    <row r="203" ht="16" customHeight="1">
      <c r="A203" s="1" t="inlineStr">
        <is>
          <t>ОНХС, ООО</t>
        </is>
      </c>
      <c r="B203" s="11" t="n">
        <v>7e+30</v>
      </c>
      <c r="C203" s="1" t="inlineStr">
        <is>
          <t>Россия</t>
        </is>
      </c>
      <c r="D203" s="1" t="inlineStr">
        <is>
          <t>Москва</t>
        </is>
      </c>
      <c r="E203" s="1" t="inlineStr">
        <is>
          <t>Россия, 125252, г. Москва, Ходынский б-р, д. 5, корп. 4, пом. 6/2</t>
        </is>
      </c>
      <c r="F203" s="10" t="inlineStr">
        <is>
          <t>http://www.onhs.ru</t>
        </is>
      </c>
      <c r="G203" s="1" t="inlineStr">
        <is>
          <t>info@onhs.ru</t>
        </is>
      </c>
      <c r="H203" s="1" t="inlineStr">
        <is>
          <t>Компания «ОНХ Системс» является российским производителем оборудования для систем медицинского газоснабжения (кислород, воздух, вакуум) и устройств для распределения и мониторинга газов в медицинских организациях.</t>
        </is>
      </c>
      <c r="I203" s="1" t="inlineStr">
        <is>
          <t>Оборудование для медицинских газов</t>
        </is>
      </c>
      <c r="J203" s="1">
        <f>IFERROR(__xludf.DUMMYFUNCTION("AI(Prompt!$B$6, H242:I242)"),"Производитель")</f>
        <v/>
      </c>
      <c r="K203" s="1">
        <f>IFERROR(__xludf.DUMMYFUNCTION("AI(Prompt!$B$12, H242:J242)"),"OK")</f>
        <v/>
      </c>
      <c r="L203" s="1">
        <f>IFERROR(__xludf.DUMMYFUNCTION("AI(Prompt!$B$17, H242:I242)"),"оборудование и устройства")</f>
        <v/>
      </c>
      <c r="M203" s="1">
        <f>IFERROR(__xludf.DUMMYFUNCTION("AI(Prompt!$B$21,A242)"),"ОНХС")</f>
        <v/>
      </c>
      <c r="N203" s="1" t="inlineStr">
        <is>
          <t>Здравоохранение-2025</t>
        </is>
      </c>
      <c r="O203" s="9" t="inlineStr">
        <is>
          <t>https://icatalog.expocentr.ru/ru/exhibitions/de590dc5-417d-11ee-80ce-a0d3c1fab97f</t>
        </is>
      </c>
    </row>
    <row r="204" ht="16" customHeight="1">
      <c r="A204" s="1" t="inlineStr">
        <is>
          <t>ДЖЕНЕРАЛ МЕДИТЕЧ РУСКОМПАНИ, ООО</t>
        </is>
      </c>
      <c r="B204" s="1" t="inlineStr">
        <is>
          <t>7D050</t>
        </is>
      </c>
      <c r="C204" s="1" t="inlineStr">
        <is>
          <t>Россия</t>
        </is>
      </c>
      <c r="D204" s="1" t="inlineStr">
        <is>
          <t>Нижний Новгород</t>
        </is>
      </c>
      <c r="E204" s="1" t="inlineStr">
        <is>
          <t>Россия, 603163, г. Нижний Новгород, ул. Германа Лопатина, д. 3, пом. П4</t>
        </is>
      </c>
      <c r="F204" s="10" t="inlineStr">
        <is>
          <t>http://gm-med.ru</t>
        </is>
      </c>
      <c r="G204" s="1" t="inlineStr">
        <is>
          <t>office2@gm-med.ru</t>
        </is>
      </c>
      <c r="H204" s="1" t="inlineStr">
        <is>
          <t>«ДЖЕНЕРАЛ МЕДИТЕЧ РУСКОМПАНИ» — торгово-производственная компания, главныенаправления деятельности включают в себя акушерство, анестезиологию и реанимацию. Это — фетальные мониторы, визуализаторы вен, родовые кровати.</t>
        </is>
      </c>
      <c r="I204" s="1" t="inlineStr">
        <is>
          <t>Родовые кровати; Фетальные мониторы; Средства перевозки (перемещения) пациентов, оборудования и материалов; Ультразвуковые сканеры и диагностические системы; Мониторы пациента</t>
        </is>
      </c>
      <c r="J204" s="1">
        <f>IFERROR(__xludf.DUMMYFUNCTION("AI(Prompt!$B$6, H243:I243)"),"Производитель")</f>
        <v/>
      </c>
      <c r="K204" s="1">
        <f>IFERROR(__xludf.DUMMYFUNCTION("AI(Prompt!$B$12, H243:J243)"),"OK")</f>
        <v/>
      </c>
      <c r="L204" s="1">
        <f>IFERROR(__xludf.DUMMYFUNCTION("AI(Prompt!$B$17, H243:I243)"),"фетальные мониторы, визуализаторы вен и родовые кровати")</f>
        <v/>
      </c>
      <c r="M204" s="1">
        <f>IFERROR(__xludf.DUMMYFUNCTION("AI(Prompt!$B$21,A243)"),"Дженерал Медитеч Рускомпани")</f>
        <v/>
      </c>
      <c r="N204" s="1" t="inlineStr">
        <is>
          <t>Здравоохранение-2025</t>
        </is>
      </c>
      <c r="O204" s="9" t="inlineStr">
        <is>
          <t>https://icatalog.expocentr.ru/ru/exhibitions/de590dc5-417d-11ee-80ce-a0d3c1fab97f</t>
        </is>
      </c>
    </row>
    <row r="205" ht="16" customHeight="1">
      <c r="A205" s="1" t="inlineStr">
        <is>
          <t>Завод ЭМА, ЗАО</t>
        </is>
      </c>
      <c r="B205" s="1" t="inlineStr">
        <is>
          <t>7C110,   8G070</t>
        </is>
      </c>
      <c r="C205" s="1" t="inlineStr">
        <is>
          <t>Россия</t>
        </is>
      </c>
      <c r="D205" s="1" t="inlineStr">
        <is>
          <t>Екатеринбург</t>
        </is>
      </c>
      <c r="E205" s="1" t="inlineStr">
        <is>
          <t>Россия, 620028, г. Екатеринбург, Верх-Исетский б-р, д. 13</t>
        </is>
      </c>
      <c r="F205" s="10" t="inlineStr">
        <is>
          <t>http://www.ema.su</t>
        </is>
      </c>
      <c r="G205" s="1" t="inlineStr">
        <is>
          <t>market@ema.su</t>
        </is>
      </c>
      <c r="H205" s="1" t="inlineStr">
        <is>
          <t>Завод «ЭМА» — ведущий российский производитель медицинской аппаратуры. Завод обладает многолетним опытом и полным технологическим циклом создания современного надежного медицинского оборудования.</t>
        </is>
      </c>
      <c r="I205" s="1" t="inlineStr">
        <is>
          <t>Оборудование для дезинфекции; Физиотерапия и реабилитация; Оборудование для магнитотерапии; Оборудование для фототерапии; Дефибрилляторы; Осветители хирургические</t>
        </is>
      </c>
      <c r="J205" s="1">
        <f>IFERROR(__xludf.DUMMYFUNCTION("AI(Prompt!$B$6, H244:I244)"),"Производитель")</f>
        <v/>
      </c>
      <c r="K205" s="1">
        <f>IFERROR(__xludf.DUMMYFUNCTION("AI(Prompt!$B$12, H244:J244)"),"OK")</f>
        <v/>
      </c>
      <c r="L205" s="1">
        <f>IFERROR(__xludf.DUMMYFUNCTION("AI(Prompt!$B$17, H244:I244)"),"медицинская аппаратура, дефибрилляторы и осветители")</f>
        <v/>
      </c>
      <c r="M205" s="1">
        <f>IFERROR(__xludf.DUMMYFUNCTION("AI(Prompt!$B$21,A244)"),"Завод Эма")</f>
        <v/>
      </c>
      <c r="N205" s="1" t="inlineStr">
        <is>
          <t>Здравоохранение-2025</t>
        </is>
      </c>
      <c r="O205" s="9" t="inlineStr">
        <is>
          <t>https://icatalog.expocentr.ru/ru/exhibitions/de590dc5-417d-11ee-80ce-a0d3c1fab97f</t>
        </is>
      </c>
    </row>
    <row r="206" ht="16" customHeight="1">
      <c r="A206" s="1" t="inlineStr">
        <is>
          <t>АЙБОЛИТ-2000, ООО</t>
        </is>
      </c>
      <c r="B206" s="1" t="inlineStr">
        <is>
          <t>7C140</t>
        </is>
      </c>
      <c r="C206" s="1" t="inlineStr">
        <is>
          <t>Россия</t>
        </is>
      </c>
      <c r="D206" s="1" t="inlineStr">
        <is>
          <t>Нижний Новгород</t>
        </is>
      </c>
      <c r="E206" s="1" t="inlineStr">
        <is>
          <t>Россия, 603108, г. Нижний Новгород, ул. Электровозная, д. 7г</t>
        </is>
      </c>
      <c r="F206" s="10" t="inlineStr">
        <is>
          <t>http://www.aybolit2000.ru</t>
        </is>
      </c>
      <c r="G206" s="1" t="inlineStr">
        <is>
          <t>info@aybolit2000.ru</t>
        </is>
      </c>
      <c r="H206" s="1" t="inlineStr">
        <is>
          <t>ООО «Айболит-2000» занимается разработкой, производством и поставкой медицинской мебели для медучреждений. В большом ассортименте — мебель для процедурных и смотровых кабинетов, для палат и т. д.</t>
        </is>
      </c>
      <c r="I206" s="1" t="inlineStr">
        <is>
          <t>Медицинская мебель; Кушетки медицинские; Столы массажные; Оборудование для лечения онкологических заболеваний; Оборудование для патологоанатомических отделений; Прочее общебольничное оборудование</t>
        </is>
      </c>
      <c r="J206" s="1">
        <f>IFERROR(__xludf.DUMMYFUNCTION("AI(Prompt!$B$6, H245:I245)"),"Производитель")</f>
        <v/>
      </c>
      <c r="K206" s="1">
        <f>IFERROR(__xludf.DUMMYFUNCTION("AI(Prompt!$B$12, H245:J245)"),"OK")</f>
        <v/>
      </c>
      <c r="L206" s="1">
        <f>IFERROR(__xludf.DUMMYFUNCTION("AI(Prompt!$B$17, H245:I245)"),"медицинская мебель, кушетки, столы массажные и оборудование")</f>
        <v/>
      </c>
      <c r="M206" s="1">
        <f>IFERROR(__xludf.DUMMYFUNCTION("AI(Prompt!$B$21,A245)"),"Айболит 2000")</f>
        <v/>
      </c>
      <c r="N206" s="1" t="inlineStr">
        <is>
          <t>Здравоохранение-2025</t>
        </is>
      </c>
      <c r="O206" s="9" t="inlineStr">
        <is>
          <t>https://icatalog.expocentr.ru/ru/exhibitions/de590dc5-417d-11ee-80ce-a0d3c1fab97f</t>
        </is>
      </c>
    </row>
    <row r="207" hidden="1" ht="16" customHeight="1">
      <c r="A207" s="1" t="inlineStr">
        <is>
          <t>ОЛЬСА, ОАО</t>
        </is>
      </c>
      <c r="B207" s="1" t="inlineStr">
        <is>
          <t>7D150</t>
        </is>
      </c>
      <c r="C207" s="1" t="inlineStr">
        <is>
          <t>Республика Беларусь</t>
        </is>
      </c>
      <c r="D207" s="1" t="inlineStr">
        <is>
          <t>Могилёв</t>
        </is>
      </c>
      <c r="E207" s="1" t="inlineStr">
        <is>
          <t>Республика Беларусь, 212030, г. Могилёв, ул. Гришина, д. 96</t>
        </is>
      </c>
      <c r="F207" s="10" t="inlineStr">
        <is>
          <t>http://www.olsa.by</t>
        </is>
      </c>
      <c r="G207" s="1" t="inlineStr">
        <is>
          <t>elena_olsa12@mail.ru</t>
        </is>
      </c>
      <c r="H207" s="1" t="inlineStr">
        <is>
          <t>ОАО «Ольса» — производитель мебели на металлокаркасе, в т. ч. медицинской: кроватей в ассортименте, каталок, кушеток, банкеток и др. — более 40 наименований. Система менеджмента качества ISO 9001.</t>
        </is>
      </c>
      <c r="I207" s="1" t="inlineStr">
        <is>
          <t>Медицинская мебель; Прочее общебольничное оборудование</t>
        </is>
      </c>
      <c r="J207" s="1">
        <f>IFERROR(__xludf.DUMMYFUNCTION("AI(Prompt!$B$6, H246:I246)"),"Производитель")</f>
        <v/>
      </c>
      <c r="K207" s="1">
        <f>IFERROR(__xludf.DUMMYFUNCTION("AI(Prompt!$B$12, H246:J246)"),"OK")</f>
        <v/>
      </c>
      <c r="L207" s="1">
        <f>IFERROR(__xludf.DUMMYFUNCTION("AI(Prompt!$B$17, H246:I246)"),"кровати, каталки, кушетки и банкетки")</f>
        <v/>
      </c>
      <c r="M207" s="1">
        <f>IFERROR(__xludf.DUMMYFUNCTION("AI(Prompt!$B$21,A246)"),"Ольса")</f>
        <v/>
      </c>
      <c r="N207" s="1" t="inlineStr">
        <is>
          <t>Здравоохранение-2025</t>
        </is>
      </c>
      <c r="O207" s="9" t="inlineStr">
        <is>
          <t>https://icatalog.expocentr.ru/ru/exhibitions/de590dc5-417d-11ee-80ce-a0d3c1fab97f</t>
        </is>
      </c>
    </row>
    <row r="208" ht="16" customHeight="1">
      <c r="A208" s="1" t="inlineStr">
        <is>
          <t>ДЕАЛМЕД, АО</t>
        </is>
      </c>
      <c r="B208" s="11" t="n">
        <v>7e+70</v>
      </c>
      <c r="C208" s="1" t="inlineStr">
        <is>
          <t>Россия</t>
        </is>
      </c>
      <c r="D208" s="1" t="inlineStr">
        <is>
          <t>Москва</t>
        </is>
      </c>
      <c r="E208" s="1" t="inlineStr">
        <is>
          <t>Россия, 117485, г. Москва, ул. Профсоюзная, д. 88/20</t>
        </is>
      </c>
      <c r="F208" s="10" t="inlineStr">
        <is>
          <t>http://www.dealmed.ru</t>
        </is>
      </c>
      <c r="G208" s="1" t="inlineStr">
        <is>
          <t>info@dealmed.ru</t>
        </is>
      </c>
      <c r="H208" s="1" t="inlineStr">
        <is>
          <t>«Деалмед» – это не просто поставщик, а проверенный партнер, который уже много лет занимает лидирующие позиции на российском рынке медицинского оборудования и расходных материалов.</t>
        </is>
      </c>
      <c r="I208" s="1" t="inlineStr">
        <is>
          <t>Инструменты гинекологические; Приборы и аппараты для офтальмодиагностики; Производство медицинских изделий; Отоскопы и лор-инструменты; Проктология; Хирургическое оборудование</t>
        </is>
      </c>
      <c r="J208" s="1">
        <f>IFERROR(__xludf.DUMMYFUNCTION("AI(Prompt!$B$6, H247:I247)"),"Производитель")</f>
        <v/>
      </c>
      <c r="K208" s="1">
        <f>IFERROR(__xludf.DUMMYFUNCTION("AI(Prompt!$B$12, H247:J247)"),"OK")</f>
        <v/>
      </c>
      <c r="L208" s="1">
        <f>IFERROR(__xludf.DUMMYFUNCTION("AI(Prompt!$B$17, H247:I247)"),"оборудование, инструменты и материалы")</f>
        <v/>
      </c>
      <c r="M208" s="1">
        <f>IFERROR(__xludf.DUMMYFUNCTION("AI(Prompt!$B$21,A247)"),"Деалмед")</f>
        <v/>
      </c>
      <c r="N208" s="1" t="inlineStr">
        <is>
          <t>Здравоохранение-2025</t>
        </is>
      </c>
      <c r="O208" s="9" t="inlineStr">
        <is>
          <t>https://icatalog.expocentr.ru/ru/exhibitions/de590dc5-417d-11ee-80ce-a0d3c1fab97f</t>
        </is>
      </c>
    </row>
    <row r="209" ht="16" customHeight="1">
      <c r="A209" s="1" t="inlineStr">
        <is>
          <t>ТАЙРИКУ МОСКВА ЛТД, ООО</t>
        </is>
      </c>
      <c r="B209" s="11" t="n">
        <v>7e+122</v>
      </c>
      <c r="C209" s="1" t="inlineStr">
        <is>
          <t>Россия</t>
        </is>
      </c>
      <c r="D209" s="1" t="inlineStr">
        <is>
          <t>Москва</t>
        </is>
      </c>
      <c r="E209" s="1" t="inlineStr">
        <is>
          <t>Россия, г. Москва, ул. Коровий Вал, д. 7, стр. 1, оф. 12</t>
        </is>
      </c>
      <c r="F209" s="10" t="inlineStr">
        <is>
          <t>http://www.tairiku.info</t>
        </is>
      </c>
      <c r="G209" s="1" t="inlineStr">
        <is>
          <t>info@tairiku.info</t>
        </is>
      </c>
      <c r="H209" s="1" t="inlineStr">
        <is>
          <t>«Тайрику Москва Лтд» занимается разработкой и производством медицинских штор для больниц, а также поставкой оборудования и изделий из Японии таких брендов, как Kawashima Selkon, MACHIDA, Topcon.</t>
        </is>
      </c>
      <c r="I209" s="1" t="inlineStr">
        <is>
          <t>Приборы и аппараты для офтальмодиагностики; Прочее общебольничное оборудование; Производство медицинских изделий</t>
        </is>
      </c>
      <c r="J209" s="1">
        <f>IFERROR(__xludf.DUMMYFUNCTION("AI(Prompt!$B$6, H248:I248)"),"Производитель")</f>
        <v/>
      </c>
      <c r="K209" s="1">
        <f>IFERROR(__xludf.DUMMYFUNCTION("AI(Prompt!$B$12, H248:J248)"),"OK")</f>
        <v/>
      </c>
      <c r="L209" s="1">
        <f>IFERROR(__xludf.DUMMYFUNCTION("AI(Prompt!$B$17, H248:I248)"),"медицинские шторы, оборудование и изделия")</f>
        <v/>
      </c>
      <c r="M209" s="1">
        <f>IFERROR(__xludf.DUMMYFUNCTION("AI(Prompt!$B$21,A248)"),"Тайрику Москва")</f>
        <v/>
      </c>
      <c r="N209" s="1" t="inlineStr">
        <is>
          <t>Здравоохранение-2025</t>
        </is>
      </c>
      <c r="O209" s="9" t="inlineStr">
        <is>
          <t>https://icatalog.expocentr.ru/ru/exhibitions/de590dc5-417d-11ee-80ce-a0d3c1fab97f</t>
        </is>
      </c>
    </row>
    <row r="210" ht="16" customHeight="1">
      <c r="A210" s="1" t="inlineStr">
        <is>
          <t>СТЕРН, ООО</t>
        </is>
      </c>
      <c r="B210" s="11" t="n">
        <v>7e+25</v>
      </c>
      <c r="C210" s="1" t="inlineStr">
        <is>
          <t>Россия</t>
        </is>
      </c>
      <c r="D210" s="1" t="inlineStr">
        <is>
          <t>Москва</t>
        </is>
      </c>
      <c r="E210" s="1" t="inlineStr">
        <is>
          <t>Россия, 107497, г. Москва, ул. Монтажная, д. 9, стр. 1, пом. IV, комн. 16, оф. 67</t>
        </is>
      </c>
      <c r="F210" s="10" t="inlineStr">
        <is>
          <t>http://www.medstern.ru</t>
        </is>
      </c>
      <c r="G210" s="1" t="inlineStr">
        <is>
          <t>info@medstern.ru</t>
        </is>
      </c>
      <c r="H210" s="1" t="inlineStr">
        <is>
          <t>Российский производитель медицинского оборудования «Стерн» производит оборудование для кабинетов офтальмолога, лор, гинеколога: дерматоскопы, аудиометры, отоскопы, лор-комбайны, рабочее место офтальмолога.</t>
        </is>
      </c>
      <c r="I210" s="1" t="inlineStr">
        <is>
          <t>Прочие диагностические устройства; Диагностическое оборудование для гинекологии; Приборы и аппараты для офтальмодиагностики; Отоскопы и лор-инструменты; Эндоскопические комплексы и системы; Хирургическое оборудование</t>
        </is>
      </c>
      <c r="J210" s="1">
        <f>IFERROR(__xludf.DUMMYFUNCTION("AI(Prompt!$B$6, H249:I249)"),"Производитель")</f>
        <v/>
      </c>
      <c r="K210" s="1">
        <f>IFERROR(__xludf.DUMMYFUNCTION("AI(Prompt!$B$12, H249:J249)"),"OK")</f>
        <v/>
      </c>
      <c r="L210" s="1">
        <f>IFERROR(__xludf.DUMMYFUNCTION("AI(Prompt!$B$17, H249:I249)"),"медицинское оборудование, дерматоскопы, аудиометры и отоскопы")</f>
        <v/>
      </c>
      <c r="M210" s="1">
        <f>IFERROR(__xludf.DUMMYFUNCTION("AI(Prompt!$B$21,A249)"),"Стерн")</f>
        <v/>
      </c>
      <c r="N210" s="1" t="inlineStr">
        <is>
          <t>Здравоохранение-2025</t>
        </is>
      </c>
      <c r="O210" s="9" t="inlineStr">
        <is>
          <t>https://icatalog.expocentr.ru/ru/exhibitions/de590dc5-417d-11ee-80ce-a0d3c1fab97f</t>
        </is>
      </c>
    </row>
    <row r="211" ht="16" customHeight="1">
      <c r="A211" s="1" t="inlineStr">
        <is>
          <t>СЕНСАР</t>
        </is>
      </c>
      <c r="B211" s="11" t="n">
        <v>7e+124</v>
      </c>
      <c r="C211" s="1" t="inlineStr">
        <is>
          <t>Россия</t>
        </is>
      </c>
      <c r="D211" s="1" t="inlineStr">
        <is>
          <t>Москва</t>
        </is>
      </c>
      <c r="E211" s="1" t="inlineStr">
        <is>
          <t>Россия, 105122, г. Москва, Сиреневый б-р, д. 4, корп. 3, пом. 1/1</t>
        </is>
      </c>
      <c r="F211" s="10" t="inlineStr">
        <is>
          <t>https://sensar.su</t>
        </is>
      </c>
      <c r="G211" s="1" t="inlineStr">
        <is>
          <t>info@sensar.su</t>
        </is>
      </c>
      <c r="H211" s="1" t="inlineStr">
        <is>
          <t>ООО «СЕНСАР» — российский разработчик и производитель. Наш портфель включает в себя оборудование для анестезиологии и реанимации, видеоларингоскопы, решения для урологии и лапароскопической хирургии.</t>
        </is>
      </c>
      <c r="I211" s="1" t="inlineStr">
        <is>
          <t>Оборудование для урологической диагностики; Отоскопы и лор-инструменты; Оборудование и средства для лапароскопии; Средства для оказания экстренной медицинской помощи; Ларингоскопы; Наркозно-дыхательные аппараты</t>
        </is>
      </c>
      <c r="J211" s="1">
        <f>IFERROR(__xludf.DUMMYFUNCTION("AI(Prompt!$B$6, H250:I250)"),"Производитель")</f>
        <v/>
      </c>
      <c r="K211" s="1">
        <f>IFERROR(__xludf.DUMMYFUNCTION("AI(Prompt!$B$12, H250:J250)"),"OK")</f>
        <v/>
      </c>
      <c r="L211" s="1">
        <f>IFERROR(__xludf.DUMMYFUNCTION("AI(Prompt!$B$17, H250:I250)"),"оборудование для анестезиологии, ларингоскопы и наркозно-дыхательные аппараты")</f>
        <v/>
      </c>
      <c r="M211" s="1">
        <f>IFERROR(__xludf.DUMMYFUNCTION("AI(Prompt!$B$21,A250)"),"Сенсар")</f>
        <v/>
      </c>
      <c r="N211" s="1" t="inlineStr">
        <is>
          <t>Здравоохранение-2025</t>
        </is>
      </c>
      <c r="O211" s="9" t="inlineStr">
        <is>
          <t>https://icatalog.expocentr.ru/ru/exhibitions/de590dc5-417d-11ee-80ce-a0d3c1fab97f</t>
        </is>
      </c>
    </row>
    <row r="212" ht="16" customHeight="1">
      <c r="A212" s="1" t="inlineStr">
        <is>
          <t>СОЛЕКС, ООО</t>
        </is>
      </c>
      <c r="B212" s="1" t="inlineStr">
        <is>
          <t>7D005</t>
        </is>
      </c>
      <c r="C212" s="1" t="inlineStr">
        <is>
          <t>Россия</t>
        </is>
      </c>
      <c r="D212" s="1" t="inlineStr">
        <is>
          <t>Мытищи</t>
        </is>
      </c>
      <c r="E212" s="1" t="inlineStr">
        <is>
          <t>Россия, 141006, Московская обл., г. Мытищи, Олимпийский просп., д. 29, стр. 2, пом. 32, оф. 15</t>
        </is>
      </c>
      <c r="F212" s="10" t="inlineStr">
        <is>
          <t>http://www.sol-ex.ru</t>
        </is>
      </c>
      <c r="G212" s="1" t="inlineStr">
        <is>
          <t>info@sol-ex.ru</t>
        </is>
      </c>
      <c r="H212" s="1" t="inlineStr">
        <is>
          <t>ООО «Солекс» — производитель и поставщик взрывозащищенного оборудования. Производитель систем электрообогрева. Эксклюзивный дистрибьютор Iconex — взрывозащищенные компьютеры, смартфоны.</t>
        </is>
      </c>
      <c r="I212" s="1" t="inlineStr">
        <is>
          <t>Медицинский инжиниринг; IT-инфраструктура / компьютерное оборудование / системы mHealth; Коммуникационные системы; Производство медицинских изделий; Комплектующие для производства медицинских изделий</t>
        </is>
      </c>
      <c r="J212" s="1">
        <f>IFERROR(__xludf.DUMMYFUNCTION("AI(Prompt!$B$6, H251:I251)"),"Производитель")</f>
        <v/>
      </c>
      <c r="K212" s="1">
        <f>IFERROR(__xludf.DUMMYFUNCTION("AI(Prompt!$B$12, H251:J251)"),"OK")</f>
        <v/>
      </c>
      <c r="L212" s="1">
        <f>IFERROR(__xludf.DUMMYFUNCTION("AI(Prompt!$B$17, H251:I251)"),"взрывозащищенное оборудование, системы электрообогрева и медицинские изделия")</f>
        <v/>
      </c>
      <c r="M212" s="1">
        <f>IFERROR(__xludf.DUMMYFUNCTION("AI(Prompt!$B$21,A251)"),"Солекс")</f>
        <v/>
      </c>
      <c r="N212" s="1" t="inlineStr">
        <is>
          <t>Здравоохранение-2025</t>
        </is>
      </c>
      <c r="O212" s="9" t="inlineStr">
        <is>
          <t>https://icatalog.expocentr.ru/ru/exhibitions/de590dc5-417d-11ee-80ce-a0d3c1fab97f</t>
        </is>
      </c>
    </row>
    <row r="213" ht="16" customHeight="1">
      <c r="A213" s="1" t="inlineStr">
        <is>
          <t>LYNMOU MEDICAL</t>
        </is>
      </c>
      <c r="B213" s="1" t="inlineStr">
        <is>
          <t>7F070</t>
        </is>
      </c>
      <c r="C213" s="1" t="inlineStr">
        <is>
          <t>Россия</t>
        </is>
      </c>
      <c r="D213" s="1" t="inlineStr">
        <is>
          <t>Москва</t>
        </is>
      </c>
      <c r="E213" s="1" t="inlineStr">
        <is>
          <t>Россия, 115419, г. Москва, ул. Орджоникидзе, д. 11, стр. 1а</t>
        </is>
      </c>
      <c r="G213" s="1" t="inlineStr">
        <is>
          <t>sputnikscope@gmail.com</t>
        </is>
      </c>
      <c r="H213" s="1" t="inlineStr">
        <is>
          <t>Mедицинская технологическая компания, специализирующаяся на разработке эндоскопического оборудования и связанных с ним технологий визуализации.</t>
        </is>
      </c>
      <c r="I213" s="1" t="inlineStr">
        <is>
          <t>Прочие диагностические устройства; Эндоскопы гибкие; Эндоскопические комплексы и системы</t>
        </is>
      </c>
      <c r="J213" s="1">
        <f>IFERROR(__xludf.DUMMYFUNCTION("AI(Prompt!$B$6, H252:I252)"),"Производитель")</f>
        <v/>
      </c>
      <c r="K213" s="1">
        <f>IFERROR(__xludf.DUMMYFUNCTION("AI(Prompt!$B$12, H252:J252)"),"OK")</f>
        <v/>
      </c>
      <c r="L213" s="1">
        <f>IFERROR(__xludf.DUMMYFUNCTION("AI(Prompt!$B$17, H252:I252)"),"диагностические устройства, гибкие эндоскопы и эндоскопические системы")</f>
        <v/>
      </c>
      <c r="M213" s="1">
        <f>IFERROR(__xludf.DUMMYFUNCTION("AI(Prompt!$B$21,A252)"),"Lynmou Medical")</f>
        <v/>
      </c>
      <c r="N213" s="1" t="inlineStr">
        <is>
          <t>Здравоохранение-2025</t>
        </is>
      </c>
      <c r="O213" s="9" t="inlineStr">
        <is>
          <t>https://icatalog.expocentr.ru/ru/exhibitions/de590dc5-417d-11ee-80ce-a0d3c1fab97f</t>
        </is>
      </c>
    </row>
    <row r="214" ht="16" customHeight="1">
      <c r="A214" s="1" t="inlineStr">
        <is>
          <t>РусЭндо</t>
        </is>
      </c>
      <c r="B214" s="11" t="n">
        <v>7e+90</v>
      </c>
      <c r="C214" s="1" t="inlineStr">
        <is>
          <t>Россия</t>
        </is>
      </c>
      <c r="D214" s="1" t="inlineStr">
        <is>
          <t>Екатеринбург</t>
        </is>
      </c>
      <c r="E214" s="1" t="inlineStr">
        <is>
          <t>Россия, 620014, г. Екатеринбург, ул. Радищева, стр. 41, пом. 137</t>
        </is>
      </c>
      <c r="G214" s="1" t="inlineStr">
        <is>
          <t>info@lidermedicina.ru</t>
        </is>
      </c>
      <c r="H214" s="1" t="inlineStr">
        <is>
          <t>Отечественный производитель медицинского оборудования для оснащения эндоскопического отделения: видеоэндоскопических систем, периферийного оборудования, оборудования для оснащения ЦСО.</t>
        </is>
      </c>
      <c r="I214" s="1" t="inlineStr">
        <is>
          <t>Производство медицинских изделий; Эндоскопы жесткие; Эндоскопы гибкие; Эндоскопические комплексы и системы; Инструменты и принадлежности для эндоскопии</t>
        </is>
      </c>
      <c r="J214" s="1">
        <f>IFERROR(__xludf.DUMMYFUNCTION("AI(Prompt!$B$6, H253:I253)"),"Производитель")</f>
        <v/>
      </c>
      <c r="K214" s="1">
        <f>IFERROR(__xludf.DUMMYFUNCTION("AI(Prompt!$B$12, H253:J253)"),"OK")</f>
        <v/>
      </c>
      <c r="L214" s="1">
        <f>IFERROR(__xludf.DUMMYFUNCTION("AI(Prompt!$B$17, H253:I253)"),"медицинское оборудование, видеоэндоскопические системы, эндоскопы, комплексы и инструменты")</f>
        <v/>
      </c>
      <c r="M214" s="1">
        <f>IFERROR(__xludf.DUMMYFUNCTION("AI(Prompt!$B$21,A253)"),"РусЭндо")</f>
        <v/>
      </c>
      <c r="N214" s="1" t="inlineStr">
        <is>
          <t>Здравоохранение-2025</t>
        </is>
      </c>
      <c r="O214" s="9" t="inlineStr">
        <is>
          <t>https://icatalog.expocentr.ru/ru/exhibitions/de590dc5-417d-11ee-80ce-a0d3c1fab97f</t>
        </is>
      </c>
    </row>
    <row r="215" ht="16" customHeight="1">
      <c r="A215" s="1" t="inlineStr">
        <is>
          <t>СОВРЕМЕННЫЕ ТОРГОВЫЕ РЕШЕНИЯ, ООО</t>
        </is>
      </c>
      <c r="B215" s="1" t="inlineStr">
        <is>
          <t>7C155</t>
        </is>
      </c>
      <c r="C215" s="1" t="inlineStr">
        <is>
          <t>Россия</t>
        </is>
      </c>
      <c r="D215" s="1" t="inlineStr">
        <is>
          <t>Москва</t>
        </is>
      </c>
      <c r="E215" s="1" t="inlineStr">
        <is>
          <t>Россия, 108807, г. Москва, Филимонковский р-н, пос. Птичное, ул. Центральная, д. 1, оф. 24</t>
        </is>
      </c>
      <c r="F215" s="10" t="inlineStr">
        <is>
          <t>http://www.optmebel.ru</t>
        </is>
      </c>
      <c r="G215" s="1" t="inlineStr">
        <is>
          <t>an@medmebel.ru</t>
        </is>
      </c>
      <c r="H215" s="1" t="inlineStr">
        <is>
          <t>Компания «СТР» более 10 лет является одним из ведущих российских производителей медицинской, лабораторной, специализированной мебели и оборудования. Производство компании расположено в Москве.</t>
        </is>
      </c>
      <c r="I215" s="1" t="inlineStr">
        <is>
          <t>Мебель для стоматологических кабинетов; Медицинская мебель; Производство медицинских изделий; Лабораторная мебель</t>
        </is>
      </c>
      <c r="J215" s="1">
        <f>IFERROR(__xludf.DUMMYFUNCTION("AI(Prompt!$B$6, H254:I254)"),"Производитель")</f>
        <v/>
      </c>
      <c r="K215" s="1">
        <f>IFERROR(__xludf.DUMMYFUNCTION("AI(Prompt!$B$12, H254:J254)"),"OK")</f>
        <v/>
      </c>
      <c r="L215" s="1">
        <f>IFERROR(__xludf.DUMMYFUNCTION("AI(Prompt!$B$17, H254:I254)"),"мебель, оборудование и медицинские изделия")</f>
        <v/>
      </c>
      <c r="M215" s="1">
        <f>IFERROR(__xludf.DUMMYFUNCTION("AI(Prompt!$B$21,A254)"),"Современные Торговые Решения")</f>
        <v/>
      </c>
      <c r="N215" s="1" t="inlineStr">
        <is>
          <t>Здравоохранение-2025</t>
        </is>
      </c>
      <c r="O215" s="9" t="inlineStr">
        <is>
          <t>https://icatalog.expocentr.ru/ru/exhibitions/de590dc5-417d-11ee-80ce-a0d3c1fab97f</t>
        </is>
      </c>
    </row>
    <row r="216" ht="16" customHeight="1">
      <c r="A216" s="1" t="inlineStr">
        <is>
          <t>АСК, МЕДИЦИНСКАЯ КОМПАНИЯ, ООО</t>
        </is>
      </c>
      <c r="B216" s="11" t="n">
        <v>7e+140</v>
      </c>
      <c r="C216" s="1" t="inlineStr">
        <is>
          <t>Россия</t>
        </is>
      </c>
      <c r="D216" s="1" t="inlineStr">
        <is>
          <t>Нижний Новгород</t>
        </is>
      </c>
      <c r="E216" s="1" t="inlineStr">
        <is>
          <t>Россия, 603016, г. Нижний Новгород, ул. Героя Юрия Смирнова, д. 13, кв. 230</t>
        </is>
      </c>
      <c r="F216" s="10" t="inlineStr">
        <is>
          <t>http://tdask.ru</t>
        </is>
      </c>
      <c r="G216" s="1" t="inlineStr">
        <is>
          <t>info@tdask.ru</t>
        </is>
      </c>
      <c r="H216" s="1" t="inlineStr">
        <is>
          <t>ООО МК «АСК» — производитель медицинской мебели и оборудования с 20-летним опытом. Компания занимается изготовлением широкого перечня мебели для больниц, клиник, медицинских центров, КДЛ.</t>
        </is>
      </c>
      <c r="I216" s="1" t="inlineStr">
        <is>
          <t>Медицинская мебель; Кушетки медицинские; Столы массажные; Средства перевозки (перемещения) пациентов, оборудования и материалов; Прочее общебольничное оборудование; Лабораторная мебель</t>
        </is>
      </c>
      <c r="J216" s="1">
        <f>IFERROR(__xludf.DUMMYFUNCTION("AI(Prompt!$B$6, H256:I256)"),"Производитель")</f>
        <v/>
      </c>
      <c r="K216" s="1">
        <f>IFERROR(__xludf.DUMMYFUNCTION("AI(Prompt!$B$12, H256:J256)"),"OK")</f>
        <v/>
      </c>
      <c r="L216" s="1">
        <f>IFERROR(__xludf.DUMMYFUNCTION("AI(Prompt!$B$17, H256:I256)"),"медицинская и лабораторная мебель, кушетки, столы массажные, средства перевозки")</f>
        <v/>
      </c>
      <c r="M216" s="1">
        <f>IFERROR(__xludf.DUMMYFUNCTION("AI(Prompt!$B$21,A256)"),"АСК")</f>
        <v/>
      </c>
      <c r="N216" s="1" t="inlineStr">
        <is>
          <t>Здравоохранение-2025</t>
        </is>
      </c>
      <c r="O216" s="9" t="inlineStr">
        <is>
          <t>https://icatalog.expocentr.ru/ru/exhibitions/de590dc5-417d-11ee-80ce-a0d3c1fab97f</t>
        </is>
      </c>
    </row>
    <row r="217" ht="16" customHeight="1">
      <c r="A217" s="1" t="inlineStr">
        <is>
          <t>ЗДОРОВЫЙ МИР, ООО</t>
        </is>
      </c>
      <c r="B217" s="1" t="inlineStr">
        <is>
          <t>7A070</t>
        </is>
      </c>
      <c r="C217" s="1" t="inlineStr">
        <is>
          <t>Россия</t>
        </is>
      </c>
      <c r="D217" s="1" t="inlineStr">
        <is>
          <t>Санкт-Петербург</t>
        </is>
      </c>
      <c r="E217" s="1" t="inlineStr">
        <is>
          <t>Россия, 195197, г. Санкт-Петербург, ул. Жукова, д. 18, литера Д</t>
        </is>
      </c>
      <c r="F217" s="10" t="inlineStr">
        <is>
          <t>http://www.zmir.ru</t>
        </is>
      </c>
      <c r="G217" s="1" t="inlineStr">
        <is>
          <t>marketing@zmir.ru</t>
        </is>
      </c>
      <c r="H217" s="1" t="inlineStr">
        <is>
          <t>Компания «Здоровый Мир» — российский производитель и поставщик гинекологических микроскопов (кольпоскопов) брендов MEDPRIBOR и «Здоровый Мир», эксклюзивный партнер бренда Labomed на территории РФ и СНГ.</t>
        </is>
      </c>
      <c r="I217" s="1" t="inlineStr">
        <is>
          <t>Диагностическое оборудование для гинекологии</t>
        </is>
      </c>
      <c r="J217" s="1">
        <f>IFERROR(__xludf.DUMMYFUNCTION("AI(Prompt!$B$6, H257:I257)"),"Производитель")</f>
        <v/>
      </c>
      <c r="K217" s="1">
        <f>IFERROR(__xludf.DUMMYFUNCTION("AI(Prompt!$B$12, H257:J257)"),"OK")</f>
        <v/>
      </c>
      <c r="L217" s="1">
        <f>IFERROR(__xludf.DUMMYFUNCTION("AI(Prompt!$B$17, H257:I257)"),"микроскопы, кольпоскопы и диагностическое оборудование")</f>
        <v/>
      </c>
      <c r="M217" s="1">
        <f>IFERROR(__xludf.DUMMYFUNCTION("AI(Prompt!$B$21,A257)"),"Здоровый Мир")</f>
        <v/>
      </c>
      <c r="N217" s="1" t="inlineStr">
        <is>
          <t>Здравоохранение-2025</t>
        </is>
      </c>
      <c r="O217" s="9" t="inlineStr">
        <is>
          <t>https://icatalog.expocentr.ru/ru/exhibitions/de590dc5-417d-11ee-80ce-a0d3c1fab97f</t>
        </is>
      </c>
    </row>
    <row r="218" ht="16" customHeight="1">
      <c r="A218" s="1" t="inlineStr">
        <is>
          <t>СОНОСКЕЙП, ООО</t>
        </is>
      </c>
      <c r="B218" s="1" t="inlineStr">
        <is>
          <t>7B010</t>
        </is>
      </c>
      <c r="C218" s="1" t="inlineStr">
        <is>
          <t>Россия</t>
        </is>
      </c>
      <c r="D218" s="1" t="inlineStr">
        <is>
          <t>Москва</t>
        </is>
      </c>
      <c r="E218" s="1" t="inlineStr">
        <is>
          <t>Россия, 119435, г. Москва, вн. тер. г. м. о. Хамовники, ул. Малая Пироговская, д. 13, стр. 1, оф. 318</t>
        </is>
      </c>
      <c r="F218" s="10" t="inlineStr">
        <is>
          <t>http://www.sonoscape.ru</t>
        </is>
      </c>
      <c r="G218" s="1" t="inlineStr">
        <is>
          <t>pr@sonoscape.ru</t>
        </is>
      </c>
      <c r="H218" s="1" t="inlineStr">
        <is>
          <t>Официальный дистрибьютор ультразвуковых диагностических систем и видеоэндоскопических систем SonoScape на территории России.</t>
        </is>
      </c>
      <c r="I218" s="1" t="inlineStr">
        <is>
          <t>Ультразвуковые сканеры и диагностические системы; Эндоскопы жесткие; Эндоскопы гибкие</t>
        </is>
      </c>
      <c r="J218" s="1">
        <f>IFERROR(__xludf.DUMMYFUNCTION("AI(Prompt!$B$6, H258:I258)"),"Дилер")</f>
        <v/>
      </c>
      <c r="K218" s="1">
        <f>IFERROR(__xludf.DUMMYFUNCTION("AI(Prompt!$B$12, H258:J258)"),"OK")</f>
        <v/>
      </c>
      <c r="L218" s="1">
        <f>IFERROR(__xludf.DUMMYFUNCTION("AI(Prompt!$B$17, H258:I258)"),"ультразвуковые системы и эндоскопы")</f>
        <v/>
      </c>
      <c r="M218" s="1">
        <f>IFERROR(__xludf.DUMMYFUNCTION("AI(Prompt!$B$21,A258)"),"Соноскейп")</f>
        <v/>
      </c>
      <c r="N218" s="1" t="inlineStr">
        <is>
          <t>Здравоохранение-2025</t>
        </is>
      </c>
      <c r="O218" s="9" t="inlineStr">
        <is>
          <t>https://icatalog.expocentr.ru/ru/exhibitions/de590dc5-417d-11ee-80ce-a0d3c1fab97f</t>
        </is>
      </c>
    </row>
    <row r="219" ht="16" customHeight="1">
      <c r="A219" s="1" t="inlineStr">
        <is>
          <t>СОНОСКЕЙП МЕДИЦИНА РУС, ООО</t>
        </is>
      </c>
      <c r="B219" s="1" t="inlineStr">
        <is>
          <t>7B015</t>
        </is>
      </c>
      <c r="C219" s="1" t="inlineStr">
        <is>
          <t>Россия</t>
        </is>
      </c>
      <c r="D219" s="1" t="inlineStr">
        <is>
          <t>Казань</t>
        </is>
      </c>
      <c r="E219" s="1" t="inlineStr">
        <is>
          <t>Россия, 420108, Республика Татарстан, г. Казань, ул. Мазита Гафури, д. 50, этаж 1, пом. 38</t>
        </is>
      </c>
      <c r="F219" s="10" t="inlineStr">
        <is>
          <t>http://www.sonoscape.com</t>
        </is>
      </c>
      <c r="G219" s="1" t="inlineStr">
        <is>
          <t>russia@sonoscape.net</t>
        </is>
      </c>
      <c r="H219" s="1" t="inlineStr">
        <is>
          <t>Официальное российское представительство производителя ультразвуковых и видеоэндоскопических систем SonoScape Medical Corporation (Китай).</t>
        </is>
      </c>
      <c r="I219" s="1" t="inlineStr">
        <is>
          <t>Ультразвуковые сканеры и диагностические системы; Эндоскопы жесткие; Эндоскопы гибкие; Эндоскопические комплексы и системы; Инструменты и принадлежности для эндоскопии</t>
        </is>
      </c>
      <c r="J219" s="1">
        <f>IFERROR(__xludf.DUMMYFUNCTION("AI(Prompt!$B$6, H259:I259)"),"Дилер")</f>
        <v/>
      </c>
      <c r="K219" s="1">
        <f>IFERROR(__xludf.DUMMYFUNCTION("AI(Prompt!$B$12, H259:J259)"),"OK")</f>
        <v/>
      </c>
      <c r="L219" s="1">
        <f>IFERROR(__xludf.DUMMYFUNCTION("AI(Prompt!$B$17, H259:I259)"),"сканеры, эндоскопы и инструменты")</f>
        <v/>
      </c>
      <c r="M219" s="1">
        <f>IFERROR(__xludf.DUMMYFUNCTION("AI(Prompt!$B$21,A259)"),"Соноскейп Медицина Рус")</f>
        <v/>
      </c>
      <c r="N219" s="1" t="inlineStr">
        <is>
          <t>Здравоохранение-2025</t>
        </is>
      </c>
      <c r="O219" s="9" t="inlineStr">
        <is>
          <t>https://icatalog.expocentr.ru/ru/exhibitions/de590dc5-417d-11ee-80ce-a0d3c1fab97f</t>
        </is>
      </c>
    </row>
    <row r="220" ht="16" customHeight="1">
      <c r="A220" s="1" t="inlineStr">
        <is>
          <t>ЭКВИП, КОМПАНИЯ, ООО</t>
        </is>
      </c>
      <c r="B220" s="1" t="inlineStr">
        <is>
          <t>7D155</t>
        </is>
      </c>
      <c r="C220" s="1" t="inlineStr">
        <is>
          <t>Россия</t>
        </is>
      </c>
      <c r="D220" s="1" t="inlineStr">
        <is>
          <t>Москва</t>
        </is>
      </c>
      <c r="E220" s="1" t="inlineStr">
        <is>
          <t>Россия, 115516, г. Москва, ул. Промышленная, д. 11, стр. 2, пом. XII, комн. 9</t>
        </is>
      </c>
      <c r="F220" s="10" t="inlineStr">
        <is>
          <t>http://www.eq-vip.cafe</t>
        </is>
      </c>
      <c r="G220" s="1" t="inlineStr">
        <is>
          <t>info@eq-vip.cafe</t>
        </is>
      </c>
      <c r="H220" s="1" t="inlineStr">
        <is>
          <t>Проектируем и оснащаем пищеблоки по системе «таблет-питание». Занимаемся разработкой и производством в России термоподносов, посуды и оборудования для больниц, в том числе детских.</t>
        </is>
      </c>
      <c r="I220" s="1" t="inlineStr">
        <is>
          <t>Медицинская мебель; Средства перевозки (перемещения) пациентов, оборудования и материалов; Оборудование для пищеблока</t>
        </is>
      </c>
      <c r="J220" s="1">
        <f>IFERROR(__xludf.DUMMYFUNCTION("AI(Prompt!$B$6, H260:I260)"),"Производитель")</f>
        <v/>
      </c>
      <c r="K220" s="1">
        <f>IFERROR(__xludf.DUMMYFUNCTION("AI(Prompt!$B$12, H260:J260)"),"OK")</f>
        <v/>
      </c>
      <c r="L220" s="1">
        <f>IFERROR(__xludf.DUMMYFUNCTION("AI(Prompt!$B$17, H260:I260)"),"термоподносы, посуда, оборудование, медицинская мебель и средства перевозки")</f>
        <v/>
      </c>
      <c r="M220" s="1">
        <f>IFERROR(__xludf.DUMMYFUNCTION("AI(Prompt!$B$21,A260)"),"Эквип, Компания")</f>
        <v/>
      </c>
      <c r="N220" s="1" t="inlineStr">
        <is>
          <t>Здравоохранение-2025</t>
        </is>
      </c>
      <c r="O220" s="9" t="inlineStr">
        <is>
          <t>https://icatalog.expocentr.ru/ru/exhibitions/de590dc5-417d-11ee-80ce-a0d3c1fab97f</t>
        </is>
      </c>
    </row>
    <row r="221" ht="16" customHeight="1">
      <c r="A221" s="1" t="inlineStr">
        <is>
          <t>АКСИОН, КОНЦЕРН, ООО</t>
        </is>
      </c>
      <c r="B221" s="1" t="inlineStr">
        <is>
          <t>7D030</t>
        </is>
      </c>
      <c r="C221" s="1" t="inlineStr">
        <is>
          <t>Россия</t>
        </is>
      </c>
      <c r="D221" s="1" t="inlineStr">
        <is>
          <t>Ижевск</t>
        </is>
      </c>
      <c r="E221" s="1" t="inlineStr">
        <is>
          <t>Россия, 426008, Удмуртская Республика, г. Ижевск, ул. Максима Горького, д. 90</t>
        </is>
      </c>
      <c r="F221" s="10" t="inlineStr">
        <is>
          <t>http://www.axion-med.ru</t>
        </is>
      </c>
      <c r="G221" s="1" t="inlineStr">
        <is>
          <t>med@c.axion.ru</t>
        </is>
      </c>
      <c r="H221" s="1" t="inlineStr">
        <is>
          <t>«Аксион» производит более 25 наименований медицинских изделий по таким направлениям, как реанимация, кардиология, хирургия, неонатология и физиотерапия. Предприятие осуществляет полный цикл производства.</t>
        </is>
      </c>
      <c r="I221" s="1" t="inlineStr">
        <is>
          <t>Оборудование для мониторинга функций сердечно-сосудистой системы; Фототерапевтические системы; Средства для оказания экстренной медицинской помощи; Аппараты для искусственной вентиляции легких; Дефибрилляторы; Вакуумные экстракторы, аспираторы</t>
        </is>
      </c>
      <c r="J221" s="1">
        <f>IFERROR(__xludf.DUMMYFUNCTION("AI(Prompt!$B$6, H261:I261)"),"Производитель")</f>
        <v/>
      </c>
      <c r="K221" s="1">
        <f>IFERROR(__xludf.DUMMYFUNCTION("AI(Prompt!$B$12, H261:J261)"),"OK")</f>
        <v/>
      </c>
      <c r="L221" s="1">
        <f>IFERROR(__xludf.DUMMYFUNCTION("AI(Prompt!$B$17, H261:I261)"),"медицинские изделия, дефибрилляторы, аспираторы и экстракторы")</f>
        <v/>
      </c>
      <c r="M221" s="1">
        <f>IFERROR(__xludf.DUMMYFUNCTION("AI(Prompt!$B$21,A261)"),"АКСИОН Концерн")</f>
        <v/>
      </c>
      <c r="N221" s="1" t="inlineStr">
        <is>
          <t>Здравоохранение-2025</t>
        </is>
      </c>
      <c r="O221" s="9" t="inlineStr">
        <is>
          <t>https://icatalog.expocentr.ru/ru/exhibitions/de590dc5-417d-11ee-80ce-a0d3c1fab97f</t>
        </is>
      </c>
    </row>
    <row r="222" hidden="1" ht="16" customHeight="1">
      <c r="A222" s="1" t="inlineStr">
        <is>
          <t>ОПЫТНО-МЕХАНИЧЕСКИЙ ЗАВОД, ОАО</t>
        </is>
      </c>
      <c r="B222" s="1" t="inlineStr">
        <is>
          <t>7C145</t>
        </is>
      </c>
      <c r="C222" s="1" t="inlineStr">
        <is>
          <t>Республика Беларусь</t>
        </is>
      </c>
      <c r="D222" s="1" t="inlineStr">
        <is>
          <t>Минск</t>
        </is>
      </c>
      <c r="E222" s="1" t="inlineStr">
        <is>
          <t>Республика Беларусь, 220113, г. Минск, ул. Лукьяновича, д. 10, оф. 703</t>
        </is>
      </c>
      <c r="F222" s="10" t="inlineStr">
        <is>
          <t>http://omzbel.by</t>
        </is>
      </c>
      <c r="G222" s="1" t="inlineStr">
        <is>
          <t>com@omzbel.by</t>
        </is>
      </c>
      <c r="H222" s="1" t="inlineStr">
        <is>
          <t>Кровати для реабилитации лежачих пациентов в больнице и дома, электрические кровати, противопролежневые системы, мебель медицинская, матрацы. Стулья медицинские, производственные. Столы, шкафы.</t>
        </is>
      </c>
      <c r="I222" s="1" t="inlineStr">
        <is>
          <t>Медицинская мебель</t>
        </is>
      </c>
      <c r="J222" s="1">
        <f>IFERROR(__xludf.DUMMYFUNCTION("AI(Prompt!$B$6, H262:I262)"),"Производитель")</f>
        <v/>
      </c>
      <c r="K222" s="1">
        <f>IFERROR(__xludf.DUMMYFUNCTION("AI(Prompt!$B$12, H262:J262)"),"OK")</f>
        <v/>
      </c>
      <c r="L222" s="1">
        <f>IFERROR(__xludf.DUMMYFUNCTION("AI(Prompt!$B$17, H262:I262)"),"кровати, противопролежневые системы, матрацы, стулья и шкафы")</f>
        <v/>
      </c>
      <c r="M222" s="1">
        <f>IFERROR(__xludf.DUMMYFUNCTION("AI(Prompt!$B$21,A262)"),"Опытно-Механический Завод")</f>
        <v/>
      </c>
      <c r="N222" s="1" t="inlineStr">
        <is>
          <t>Здравоохранение-2025</t>
        </is>
      </c>
      <c r="O222" s="9" t="inlineStr">
        <is>
          <t>https://icatalog.expocentr.ru/ru/exhibitions/de590dc5-417d-11ee-80ce-a0d3c1fab97f</t>
        </is>
      </c>
    </row>
    <row r="223" ht="16" customHeight="1">
      <c r="A223" s="1" t="inlineStr">
        <is>
          <t>Ippon</t>
        </is>
      </c>
      <c r="B223" s="1" t="inlineStr">
        <is>
          <t>7D040</t>
        </is>
      </c>
      <c r="C223" s="1" t="inlineStr">
        <is>
          <t>Россия</t>
        </is>
      </c>
      <c r="D223" s="1" t="inlineStr">
        <is>
          <t>Красногорск</t>
        </is>
      </c>
      <c r="E223" s="1" t="inlineStr">
        <is>
          <t>Россия, 143401, Московская обл., г. Красногорск, б-р Строителей, д. 4, корп. 1, этаж 8, каб. 819</t>
        </is>
      </c>
      <c r="F223" s="10" t="inlineStr">
        <is>
          <t>https://ippon.ru</t>
        </is>
      </c>
      <c r="G223" s="1" t="inlineStr">
        <is>
          <t>pr@ippon.ru</t>
        </is>
      </c>
      <c r="H223" s="1" t="inlineStr">
        <is>
          <t>Ippon — ведущий бренд в России, предлагающий широкий выбор источников бесперебойного питания для защиты электроники: от домашних устройств до профессиональных систем для бизнеса.</t>
        </is>
      </c>
      <c r="I223" s="1" t="inlineStr">
        <is>
          <t>Стоматологическое оборудование и инструменты; Оборудование для цифровой стоматологии; Стоматологическая рентгенодиагностическая аппаратура; Рентгеновские диагностические установки, передвижные и стационарные; Компьютерные томографы; ПЭТ</t>
        </is>
      </c>
      <c r="J223" s="1">
        <f>IFERROR(__xludf.DUMMYFUNCTION("AI(Prompt!$B$6, H263:I263)"),"Дилер")</f>
        <v/>
      </c>
      <c r="K223" s="1">
        <f>IFERROR(__xludf.DUMMYFUNCTION("AI(Prompt!$B$12, H263:J263)"),"OK")</f>
        <v/>
      </c>
      <c r="L223" s="1">
        <f>IFERROR(__xludf.DUMMYFUNCTION("AI(Prompt!$B$17, H263:I263)"),"источники бесперебойного питания")</f>
        <v/>
      </c>
      <c r="M223" s="1">
        <f>IFERROR(__xludf.DUMMYFUNCTION("AI(Prompt!$B$21,A263)"),"Ippon")</f>
        <v/>
      </c>
      <c r="N223" s="1" t="inlineStr">
        <is>
          <t>Здравоохранение-2025</t>
        </is>
      </c>
      <c r="O223" s="9" t="inlineStr">
        <is>
          <t>https://icatalog.expocentr.ru/ru/exhibitions/de590dc5-417d-11ee-80ce-a0d3c1fab97f</t>
        </is>
      </c>
    </row>
    <row r="224" ht="16" customHeight="1">
      <c r="A224" s="1" t="inlineStr">
        <is>
          <t>ДИАЛОГ КОМПЛЕКТ</t>
        </is>
      </c>
      <c r="B224" s="1" t="inlineStr">
        <is>
          <t>7D145</t>
        </is>
      </c>
      <c r="C224" s="1" t="inlineStr">
        <is>
          <t>Россия</t>
        </is>
      </c>
      <c r="D224" s="1" t="inlineStr">
        <is>
          <t>Москва</t>
        </is>
      </c>
      <c r="E224" s="1" t="inlineStr">
        <is>
          <t>Россия, г. Москва, ул. Малая Почтовая, д. 2/2, стр. 8</t>
        </is>
      </c>
      <c r="F224" s="10" t="inlineStr">
        <is>
          <t>http://www.ooo-dialog.ru</t>
        </is>
      </c>
      <c r="G224" s="1" t="inlineStr">
        <is>
          <t>vs@ooo-dialog.ru</t>
        </is>
      </c>
      <c r="H224" s="1" t="inlineStr">
        <is>
          <t>Компания «Диалог Комплект» производит термоподносы, посуду для таблет-питания, телеги для перевозки, проектирует, поставляет пищевое оборудование, монтирует, обучает, внедряет в больницы под ключ.</t>
        </is>
      </c>
      <c r="I224" s="1" t="inlineStr">
        <is>
          <t>Оборудование для пищеблока</t>
        </is>
      </c>
      <c r="J224" s="1">
        <f>IFERROR(__xludf.DUMMYFUNCTION("AI(Prompt!$B$6, H264:I264)"),"Производитель")</f>
        <v/>
      </c>
      <c r="K224" s="1">
        <f>IFERROR(__xludf.DUMMYFUNCTION("AI(Prompt!$B$12, H264:J264)"),"OK")</f>
        <v/>
      </c>
      <c r="L224" s="1">
        <f>IFERROR(__xludf.DUMMYFUNCTION("AI(Prompt!$B$17, H264:I264)"),"термоподносы, посуда, телеги и пищевое оборудование")</f>
        <v/>
      </c>
      <c r="M224" s="1">
        <f>IFERROR(__xludf.DUMMYFUNCTION("AI(Prompt!$B$21,A264)"),"Диалог Комплект")</f>
        <v/>
      </c>
      <c r="N224" s="1" t="inlineStr">
        <is>
          <t>Здравоохранение-2025</t>
        </is>
      </c>
      <c r="O224" s="9" t="inlineStr">
        <is>
          <t>https://icatalog.expocentr.ru/ru/exhibitions/de590dc5-417d-11ee-80ce-a0d3c1fab97f</t>
        </is>
      </c>
    </row>
    <row r="225" ht="16" customHeight="1">
      <c r="A225" s="1" t="inlineStr">
        <is>
          <t>ЭЛЕКТРОНТЕСТ, ГРУППА КОМПАНИЙ</t>
        </is>
      </c>
      <c r="B225" s="1" t="inlineStr">
        <is>
          <t>7D060</t>
        </is>
      </c>
      <c r="C225" s="1" t="inlineStr">
        <is>
          <t>Россия</t>
        </is>
      </c>
      <c r="D225" s="1" t="inlineStr">
        <is>
          <t>Москва</t>
        </is>
      </c>
      <c r="E225" s="1" t="inlineStr">
        <is>
          <t>Россия, 125414, г. Москва, ул. Клинская, д. 6, оф. 212</t>
        </is>
      </c>
      <c r="F225" s="10" t="inlineStr">
        <is>
          <t>https://electrontest-grp.ru</t>
        </is>
      </c>
      <c r="G225" s="1" t="inlineStr">
        <is>
          <t>electron-test@yandex.ru</t>
        </is>
      </c>
      <c r="H225" s="1" t="inlineStr">
        <is>
          <t>Производство и поставка медицинских изделий. Комплексная регистрация МИ в ЕАЭС и отдельных государствах по национальным правилам. Испытания в собственных лабораториях: технические, ЭМС, токсикологические. Изготовление испытательного оборудования.</t>
        </is>
      </c>
      <c r="I225" s="1" t="inlineStr">
        <is>
          <t>Аналитика рынка, консалтинг; Испытательные лаборатории, органы по сертификации, метрологические центры; Производство медицинских изделий</t>
        </is>
      </c>
      <c r="J225" s="1">
        <f>IFERROR(__xludf.DUMMYFUNCTION("AI(Prompt!$B$6, H265:I265)"),"Производитель")</f>
        <v/>
      </c>
      <c r="K225" s="1">
        <f>IFERROR(__xludf.DUMMYFUNCTION("AI(Prompt!$B$12, H265:J265)"),"OK")</f>
        <v/>
      </c>
      <c r="L225" s="1">
        <f>IFERROR(__xludf.DUMMYFUNCTION("AI(Prompt!$B$17, H265:I265)"),"медицинские изделия и испытательное оборудование")</f>
        <v/>
      </c>
      <c r="M225" s="1">
        <f>IFERROR(__xludf.DUMMYFUNCTION("AI(Prompt!$B$21,A265)"),"Электронтест")</f>
        <v/>
      </c>
      <c r="N225" s="1" t="inlineStr">
        <is>
          <t>Здравоохранение-2025</t>
        </is>
      </c>
      <c r="O225" s="9" t="inlineStr">
        <is>
          <t>https://icatalog.expocentr.ru/ru/exhibitions/de590dc5-417d-11ee-80ce-a0d3c1fab97f</t>
        </is>
      </c>
    </row>
    <row r="226" ht="16" customHeight="1">
      <c r="A226" s="1" t="inlineStr">
        <is>
          <t>МЕДИЦИНОФФ, ООО</t>
        </is>
      </c>
      <c r="B226" s="11" t="n">
        <v>7e+150</v>
      </c>
      <c r="C226" s="1" t="inlineStr">
        <is>
          <t>Россия</t>
        </is>
      </c>
      <c r="D226" s="1" t="inlineStr">
        <is>
          <t>Москва</t>
        </is>
      </c>
      <c r="E226" s="1" t="inlineStr">
        <is>
          <t>Россия, 117105, г. Москва, Варшавское ш., д. 37а</t>
        </is>
      </c>
      <c r="F226" s="10" t="inlineStr">
        <is>
          <t>http://www.medicinoff.ru</t>
        </is>
      </c>
      <c r="G226" s="1" t="inlineStr">
        <is>
          <t>info@medicinoff.ru</t>
        </is>
      </c>
      <c r="H226" s="1" t="inlineStr">
        <is>
          <t>«Медицинофф» — российский производитель медицинской мебели. Более 15 лет наша мебель пользуется неизменным спросом в медицинских учреждениях по всей стране. Продукция входит в реестр Минпромторга РФ.</t>
        </is>
      </c>
      <c r="I226" s="1" t="inlineStr">
        <is>
          <t>Мебель для гинекологии и акушерства; Медицинская мебель</t>
        </is>
      </c>
      <c r="J226" s="1">
        <f>IFERROR(__xludf.DUMMYFUNCTION("AI(Prompt!$B$6, H266:I266)"),"Производитель")</f>
        <v/>
      </c>
      <c r="K226" s="1">
        <f>IFERROR(__xludf.DUMMYFUNCTION("AI(Prompt!$B$12, H266:J266)"),"OK")</f>
        <v/>
      </c>
      <c r="L226" s="1">
        <f>IFERROR(__xludf.DUMMYFUNCTION("AI(Prompt!$B$17, H266:I266)"),"медицинская мебель и мебель для гинекологии и акушерства")</f>
        <v/>
      </c>
      <c r="M226" s="1">
        <f>IFERROR(__xludf.DUMMYFUNCTION("AI(Prompt!$B$21,A266)"),"Медицинофф")</f>
        <v/>
      </c>
      <c r="N226" s="1" t="inlineStr">
        <is>
          <t>Здравоохранение-2025</t>
        </is>
      </c>
      <c r="O226" s="9" t="inlineStr">
        <is>
          <t>https://icatalog.expocentr.ru/ru/exhibitions/de590dc5-417d-11ee-80ce-a0d3c1fab97f</t>
        </is>
      </c>
    </row>
    <row r="227" ht="16" customHeight="1">
      <c r="A227" s="1" t="inlineStr">
        <is>
          <t>МЕДКЛЮЧ, ООО</t>
        </is>
      </c>
      <c r="B227" s="1" t="inlineStr">
        <is>
          <t>7C010</t>
        </is>
      </c>
      <c r="C227" s="1" t="inlineStr">
        <is>
          <t>Россия</t>
        </is>
      </c>
      <c r="D227" s="1" t="inlineStr">
        <is>
          <t>Ростов-на-Дону</t>
        </is>
      </c>
      <c r="E227" s="1" t="inlineStr">
        <is>
          <t>Россия, 344022, г. Ростов-на-Дону, ул. Максима Горького, д. 245</t>
        </is>
      </c>
      <c r="F227" s="10" t="inlineStr">
        <is>
          <t>https://medklych.ru</t>
        </is>
      </c>
      <c r="G227" s="1" t="inlineStr">
        <is>
          <t>info@medklych.ru</t>
        </is>
      </c>
      <c r="H227" s="1" t="inlineStr">
        <is>
          <t>17 лет на рынке продаж медицинского оборудования. Входим в список 50 крупных поставщиков рынка госзаказа. Имеем продукцию как мировых зарубежных, так и ведущих отечественных производителей.</t>
        </is>
      </c>
      <c r="I227" s="1" t="inlineStr">
        <is>
          <t>Диагностическое оборудование для гинекологии; Фетальные мониторы; Инкубаторы и открытые реанимационные системы; Рентгеновские диагностические установки, передвижные и стационарные; Компьютерные томографы; Флюорографы; Ультразвуковые сканеры и диагностические системы; Эндоскопы гибкие; Эндоскопические комплексы и системы; Мониторы пациента; Наркозно-дыхательные аппараты</t>
        </is>
      </c>
      <c r="J227" s="1">
        <f>IFERROR(__xludf.DUMMYFUNCTION("AI(Prompt!$B$6, H268:I268)"),"Дилер")</f>
        <v/>
      </c>
      <c r="K227" s="1">
        <f>IFERROR(__xludf.DUMMYFUNCTION("AI(Prompt!$B$12, H268:J268)"),"OK")</f>
        <v/>
      </c>
      <c r="L227" s="1">
        <f>IFERROR(__xludf.DUMMYFUNCTION("AI(Prompt!$B$17, H268:I268)"),"диагностическое оборудование, мониторы, томографы, эндоскопы и аппараты")</f>
        <v/>
      </c>
      <c r="M227" s="1">
        <f>IFERROR(__xludf.DUMMYFUNCTION("AI(Prompt!$B$21,A268)"),"Медключ")</f>
        <v/>
      </c>
      <c r="N227" s="1" t="inlineStr">
        <is>
          <t>Здравоохранение-2025</t>
        </is>
      </c>
      <c r="O227" s="9" t="inlineStr">
        <is>
          <t>https://icatalog.expocentr.ru/ru/exhibitions/de590dc5-417d-11ee-80ce-a0d3c1fab97f</t>
        </is>
      </c>
    </row>
    <row r="228" ht="16" customHeight="1">
      <c r="A228" s="1" t="inlineStr">
        <is>
          <t>ЕВРОМЕДСЕРВИС, ООО</t>
        </is>
      </c>
      <c r="B228" s="1" t="inlineStr">
        <is>
          <t>7A010</t>
        </is>
      </c>
      <c r="C228" s="1" t="inlineStr">
        <is>
          <t>Россия</t>
        </is>
      </c>
      <c r="D228" s="1" t="inlineStr">
        <is>
          <t>Москва</t>
        </is>
      </c>
      <c r="E228" s="1" t="inlineStr">
        <is>
          <t>Россия, 125424, г. Москва, Волоколамское ш., д. 73, этаж 3, пом. I, комн. 31, 33</t>
        </is>
      </c>
      <c r="F228" s="10" t="inlineStr">
        <is>
          <t>http://www.euromedservice.org</t>
        </is>
      </c>
      <c r="G228" s="1" t="inlineStr">
        <is>
          <t>euromedservice@bk.ru</t>
        </is>
      </c>
      <c r="H228" s="1" t="inlineStr">
        <is>
          <t>Предлагаем системные решения для реанимации, скорой помощи и респираторной поддержки.Эксклюзивный дистрибьютор Amoul®, специализируемся на оборудовании для проведения СЛР Е6.</t>
        </is>
      </c>
      <c r="I228" s="1" t="inlineStr">
        <is>
          <t>Спасательное оборудование и снаряжение; Дефибрилляторы; Комплекты реанимационного оборудования</t>
        </is>
      </c>
      <c r="J228" s="1">
        <f>IFERROR(__xludf.DUMMYFUNCTION("AI(Prompt!$B$6, H269:I269)"),"Дилер")</f>
        <v/>
      </c>
      <c r="K228" s="1">
        <f>IFERROR(__xludf.DUMMYFUNCTION("AI(Prompt!$B$12, H269:J269)"),"OK")</f>
        <v/>
      </c>
      <c r="L228" s="1">
        <f>IFERROR(__xludf.DUMMYFUNCTION("AI(Prompt!$B$17, H269:I269)"),"спасательное оборудование, дефибрилляторы и реанимационные комплекты")</f>
        <v/>
      </c>
      <c r="M228" s="1">
        <f>IFERROR(__xludf.DUMMYFUNCTION("AI(Prompt!$B$21,A269)"),"Евромедсервис")</f>
        <v/>
      </c>
      <c r="N228" s="1" t="inlineStr">
        <is>
          <t>Здравоохранение-2025</t>
        </is>
      </c>
      <c r="O228" s="9" t="inlineStr">
        <is>
          <t>https://icatalog.expocentr.ru/ru/exhibitions/de590dc5-417d-11ee-80ce-a0d3c1fab97f</t>
        </is>
      </c>
    </row>
    <row r="229" ht="16" customHeight="1">
      <c r="A229" s="1" t="inlineStr">
        <is>
          <t>МЕГИ, ООО</t>
        </is>
      </c>
      <c r="B229" s="1" t="inlineStr">
        <is>
          <t>7A150</t>
        </is>
      </c>
      <c r="C229" s="1" t="inlineStr">
        <is>
          <t>Россия</t>
        </is>
      </c>
      <c r="D229" s="1" t="inlineStr">
        <is>
          <t>Уфа</t>
        </is>
      </c>
      <c r="E229" s="1" t="inlineStr">
        <is>
          <t>Россия, 450095, Республика Башкортостан, г. Уфа, ул. Глазовская, д. 1, корп. 1</t>
        </is>
      </c>
      <c r="F229" s="10" t="inlineStr">
        <is>
          <t>http://www.megi.ru</t>
        </is>
      </c>
      <c r="G229" s="1" t="inlineStr">
        <is>
          <t>megi@megi.ru</t>
        </is>
      </c>
      <c r="H229" s="1" t="inlineStr">
        <is>
          <t>За 30 лет завод МЕГИ зарекомендовал себя как надежный партнер и производитель широкого спектра медицинских изделий: от простых ширм до сложных многофункциональных кроватей и операционных столов.</t>
        </is>
      </c>
      <c r="I229" s="1" t="inlineStr">
        <is>
          <t>Мебель для гинекологии и акушерства; Медицинская мебель; Производство медицинских изделий; Лабораторная мебель; Оборудование для медицинских газов; Операционные столы</t>
        </is>
      </c>
      <c r="J229" s="1">
        <f>IFERROR(__xludf.DUMMYFUNCTION("AI(Prompt!$B$6, H270:I270)"),"Производитель")</f>
        <v/>
      </c>
      <c r="K229" s="1">
        <f>IFERROR(__xludf.DUMMYFUNCTION("AI(Prompt!$B$12, H270:J270)"),"OK")</f>
        <v/>
      </c>
      <c r="L229" s="1">
        <f>IFERROR(__xludf.DUMMYFUNCTION("AI(Prompt!$B$17, H270:I270)"),"медицинские изделия, мебель и оборудование")</f>
        <v/>
      </c>
      <c r="M229" s="1">
        <f>IFERROR(__xludf.DUMMYFUNCTION("AI(Prompt!$B$21,A270)"),"Меги")</f>
        <v/>
      </c>
      <c r="N229" s="1" t="inlineStr">
        <is>
          <t>Здравоохранение-2025</t>
        </is>
      </c>
      <c r="O229" s="9" t="inlineStr">
        <is>
          <t>https://icatalog.expocentr.ru/ru/exhibitions/de590dc5-417d-11ee-80ce-a0d3c1fab97f</t>
        </is>
      </c>
    </row>
    <row r="230" ht="16" customHeight="1">
      <c r="A230" s="1" t="inlineStr">
        <is>
          <t>ДОКТОР МЕБЕЛЬ, ООО</t>
        </is>
      </c>
      <c r="B230" s="1" t="inlineStr">
        <is>
          <t>7C130</t>
        </is>
      </c>
      <c r="C230" s="1" t="inlineStr">
        <is>
          <t>Россия</t>
        </is>
      </c>
      <c r="D230" s="1" t="inlineStr">
        <is>
          <t>Москва</t>
        </is>
      </c>
      <c r="E230" s="1" t="inlineStr">
        <is>
          <t>Россия, 108811, г. Москва, Киевское ш., 22-й км (пос. Московский), д. 4/4, оф. 511/1Д</t>
        </is>
      </c>
      <c r="F230" s="10" t="inlineStr">
        <is>
          <t>http://www.doctormebel.ru</t>
        </is>
      </c>
      <c r="G230" s="1" t="inlineStr">
        <is>
          <t>info@doctormebel.ru</t>
        </is>
      </c>
      <c r="H230" s="1" t="inlineStr">
        <is>
          <t>ООО «Доктор Мебель» представляет комплексный подход к организации медицинских пространств, где технологии встречаются с комфортом.</t>
        </is>
      </c>
      <c r="I230" s="1" t="inlineStr">
        <is>
          <t>Медицинская мебель; Кушетки медицинские</t>
        </is>
      </c>
      <c r="J230" s="1">
        <f>IFERROR(__xludf.DUMMYFUNCTION("AI(Prompt!$B$6, H271:I271)"),"Производитель")</f>
        <v/>
      </c>
      <c r="K230" s="1">
        <f>IFERROR(__xludf.DUMMYFUNCTION("AI(Prompt!$B$12, H271:J271)"),"OK")</f>
        <v/>
      </c>
      <c r="L230" s="1">
        <f>IFERROR(__xludf.DUMMYFUNCTION("AI(Prompt!$B$17, H271:I271)"),"медицинская мебель и кушетки")</f>
        <v/>
      </c>
      <c r="M230" s="1">
        <f>IFERROR(__xludf.DUMMYFUNCTION("AI(Prompt!$B$21,A271)"),"Доктор Мебель")</f>
        <v/>
      </c>
      <c r="N230" s="1" t="inlineStr">
        <is>
          <t>Здравоохранение-2025</t>
        </is>
      </c>
      <c r="O230" s="9" t="inlineStr">
        <is>
          <t>https://icatalog.expocentr.ru/ru/exhibitions/de590dc5-417d-11ee-80ce-a0d3c1fab97f</t>
        </is>
      </c>
    </row>
    <row r="231" ht="16" customHeight="1">
      <c r="A231" s="1" t="inlineStr">
        <is>
          <t>ЛЕГИОН, ООО</t>
        </is>
      </c>
      <c r="B231" s="1" t="inlineStr">
        <is>
          <t>7F060</t>
        </is>
      </c>
      <c r="C231" s="1" t="inlineStr">
        <is>
          <t>Россия</t>
        </is>
      </c>
      <c r="D231" s="1" t="inlineStr">
        <is>
          <t>Санкт-Петербург</t>
        </is>
      </c>
      <c r="E231" s="1" t="inlineStr">
        <is>
          <t>Россия, 198152, г. Санкт-Петербург, ул. Краснопутиловская, д. 69, литера А, пом. 157-н, оф. 651.1В</t>
        </is>
      </c>
      <c r="F231" s="10" t="inlineStr">
        <is>
          <t>http://www.legion.ru</t>
        </is>
      </c>
      <c r="G231" s="1" t="inlineStr">
        <is>
          <t>welcome@legion.ru</t>
        </is>
      </c>
      <c r="H231" s="1" t="inlineStr">
        <is>
          <t>Системный интегратор ГК «Легион» с 1994 года специализируется на поставках систем печати и AV-оборудования для различных областей применения: в полиграфии, медицине, промышленном и финансовом секторе.</t>
        </is>
      </c>
      <c r="I231" s="1" t="inlineStr">
        <is>
          <t>Прочие диагностические устройства; Поставка медицинского оборудования и расходных материалов; Вспомогательное оборудование; Операционные микроскопы и видеоустройства</t>
        </is>
      </c>
      <c r="J231" s="1">
        <f>IFERROR(__xludf.DUMMYFUNCTION("AI(Prompt!$B$6, H272:I272)"),"Дилер")</f>
        <v/>
      </c>
      <c r="K231" s="1">
        <f>IFERROR(__xludf.DUMMYFUNCTION("AI(Prompt!$B$12, H272:J272)"),"OK")</f>
        <v/>
      </c>
      <c r="L231" s="1">
        <f>IFERROR(__xludf.DUMMYFUNCTION("AI(Prompt!$B$17, H272:I272)"),"системы печати, AV-оборудование, медицинское оборудование и расходные материалы")</f>
        <v/>
      </c>
      <c r="M231" s="1">
        <f>IFERROR(__xludf.DUMMYFUNCTION("AI(Prompt!$B$21,A272)"),"Легион")</f>
        <v/>
      </c>
      <c r="N231" s="1" t="inlineStr">
        <is>
          <t>Здравоохранение-2025</t>
        </is>
      </c>
      <c r="O231" s="9" t="inlineStr">
        <is>
          <t>https://icatalog.expocentr.ru/ru/exhibitions/de590dc5-417d-11ee-80ce-a0d3c1fab97f</t>
        </is>
      </c>
    </row>
    <row r="232" ht="16" customHeight="1">
      <c r="A232" s="1" t="inlineStr">
        <is>
          <t>БУРЕЕВА ВЛАДИСЛАВА ИГОРЕВНА, ИП</t>
        </is>
      </c>
      <c r="B232" s="1" t="inlineStr">
        <is>
          <t>7F140</t>
        </is>
      </c>
      <c r="C232" s="1" t="inlineStr">
        <is>
          <t>Россия</t>
        </is>
      </c>
      <c r="D232" s="1" t="inlineStr">
        <is>
          <t>Южно-Сахалинск</t>
        </is>
      </c>
      <c r="E232" s="1" t="inlineStr">
        <is>
          <t>Россия, 693000, Сахалинская обл., г. Южно-Сахалинск</t>
        </is>
      </c>
      <c r="G232" s="1" t="inlineStr">
        <is>
          <t>alex_petoukhov@mail.ru</t>
        </is>
      </c>
      <c r="H232" s="14" t="inlineStr">
        <is>
          <t>Мы представляем на российском рынке системы линейных приводов немецкой марки DEWERT и колеса китайской марки ZOGO для российского производства надежной технологичной медицинской мебели и оборудования.</t>
        </is>
      </c>
      <c r="I232" s="1" t="inlineStr">
        <is>
          <t>Медицинская мебель; Производство медицинских изделий; Комплектующие для производства медицинских изделий</t>
        </is>
      </c>
      <c r="J232" s="1">
        <f>IFERROR(__xludf.DUMMYFUNCTION("AI(Prompt!$B$6, H288:I288)"),"Дилер")</f>
        <v/>
      </c>
      <c r="K232" s="14" t="inlineStr">
        <is>
          <t>OK</t>
        </is>
      </c>
      <c r="L232" s="1">
        <f>IFERROR(__xludf.DUMMYFUNCTION("AI(Prompt!$B$17, H273:I273)"),"системы приводов, колеса и комплектующие")</f>
        <v/>
      </c>
      <c r="M232" s="1">
        <f>IFERROR(__xludf.DUMMYFUNCTION("AI(Prompt!$B$21,A273)"),"ИП Буреева")</f>
        <v/>
      </c>
      <c r="N232" s="1" t="inlineStr">
        <is>
          <t>Здравоохранение-2025</t>
        </is>
      </c>
      <c r="O232" s="9" t="inlineStr">
        <is>
          <t>https://icatalog.expocentr.ru/ru/exhibitions/de590dc5-417d-11ee-80ce-a0d3c1fab97f</t>
        </is>
      </c>
    </row>
    <row r="233" ht="16" customHeight="1">
      <c r="A233" s="1" t="inlineStr">
        <is>
          <t>МЕДГРЕЙД, ООО</t>
        </is>
      </c>
      <c r="B233" s="1" t="inlineStr">
        <is>
          <t>7C090</t>
        </is>
      </c>
      <c r="C233" s="1" t="inlineStr">
        <is>
          <t>Россия</t>
        </is>
      </c>
      <c r="D233" s="1" t="inlineStr">
        <is>
          <t>Москва</t>
        </is>
      </c>
      <c r="E233" s="1" t="inlineStr">
        <is>
          <t>Россия, 105122, г. Москва, Щёлковское ш., д. 5, стр. 1, оф. 619</t>
        </is>
      </c>
      <c r="F233" s="10" t="inlineStr">
        <is>
          <t>http://www.medgrade.pro</t>
        </is>
      </c>
      <c r="G233" s="1" t="inlineStr">
        <is>
          <t>info@medgrade.pro</t>
        </is>
      </c>
      <c r="H233" s="1" t="inlineStr">
        <is>
          <t>Являемся официальным представителем рентгенов Perlove в России. Поставляем современное медоборудование: от подбора до ввода в эксплуатацию с гарантией качества и сервисным обслуживанием.</t>
        </is>
      </c>
      <c r="I233" s="1" t="inlineStr">
        <is>
          <t>Рентгеновские диагностические установки, передвижные и стационарные; Ультразвуковые сканеры и диагностические системы; Эндоскопы гибкие; Аппараты для искусственной вентиляции легких; Наркозно-дыхательные аппараты; Операционные столы</t>
        </is>
      </c>
      <c r="J233" s="1">
        <f>IFERROR(__xludf.DUMMYFUNCTION("AI(Prompt!$B$6, H274:I274)"),"Дилер")</f>
        <v/>
      </c>
      <c r="K233" s="1">
        <f>IFERROR(__xludf.DUMMYFUNCTION("AI(Prompt!$B$12, H274:J274)"),"OK")</f>
        <v/>
      </c>
      <c r="L233" s="1">
        <f>IFERROR(__xludf.DUMMYFUNCTION("AI(Prompt!$B$17, H274:I274)"),"рентгены, сканеры, эндоскопы и аппараты ИВЛ")</f>
        <v/>
      </c>
      <c r="M233" s="1">
        <f>IFERROR(__xludf.DUMMYFUNCTION("AI(Prompt!$B$21,A274)"),"Медгрейд")</f>
        <v/>
      </c>
      <c r="N233" s="1" t="inlineStr">
        <is>
          <t>Здравоохранение-2025</t>
        </is>
      </c>
      <c r="O233" s="9" t="inlineStr">
        <is>
          <t>https://icatalog.expocentr.ru/ru/exhibitions/de590dc5-417d-11ee-80ce-a0d3c1fab97f</t>
        </is>
      </c>
    </row>
    <row r="234" ht="16" customHeight="1">
      <c r="A234" s="1" t="inlineStr">
        <is>
          <t>ДОКТОР ДИСКАУНТ, ООО</t>
        </is>
      </c>
      <c r="B234" s="11" t="n">
        <v>7e+20</v>
      </c>
      <c r="C234" s="1" t="inlineStr">
        <is>
          <t>Россия</t>
        </is>
      </c>
      <c r="D234" s="1" t="inlineStr">
        <is>
          <t>Москва</t>
        </is>
      </c>
      <c r="E234" s="1" t="inlineStr">
        <is>
          <t>Россия, 125040, г. Москва, вн. тер. г. м. о. Беговой, Ленинградский просп., д. 24, стр. 3</t>
        </is>
      </c>
      <c r="F234" s="10" t="inlineStr">
        <is>
          <t>http://www.dr-d.ru</t>
        </is>
      </c>
      <c r="G234" s="1" t="inlineStr">
        <is>
          <t>info@dr-d.ru</t>
        </is>
      </c>
      <c r="H234" s="1" t="inlineStr">
        <is>
          <t>«Доктор Дискаунт» – эксклюзивный представитель немецкого бренда Tontarra, официальный поставщик профессионального медицинского оборудования, хирургического инструмента мировых брендов на российский рынок.</t>
        </is>
      </c>
      <c r="I234" s="1" t="inlineStr">
        <is>
          <t>Эндоскопы жесткие; Инструменты и принадлежности для эндоскопии; Хирургическое оборудование; Электрохирургические аппараты; Хирургические инструменты; Осветители налобные с бинокулярными лупами</t>
        </is>
      </c>
      <c r="J234" s="1">
        <f>IFERROR(__xludf.DUMMYFUNCTION("AI(Prompt!$B$6, H275:I275)"),"Дилер")</f>
        <v/>
      </c>
      <c r="K234" s="1">
        <f>IFERROR(__xludf.DUMMYFUNCTION("AI(Prompt!$B$12, H275:J275)"),"OK")</f>
        <v/>
      </c>
      <c r="L234" s="1">
        <f>IFERROR(__xludf.DUMMYFUNCTION("AI(Prompt!$B$17, H275:I275)"),"медицинское оборудование, хирургические инструменты и эндоскопы")</f>
        <v/>
      </c>
      <c r="M234" s="1">
        <f>IFERROR(__xludf.DUMMYFUNCTION("AI(Prompt!$B$21,A275)"),"Доктор Дискаунт")</f>
        <v/>
      </c>
      <c r="N234" s="1" t="inlineStr">
        <is>
          <t>Здравоохранение-2025</t>
        </is>
      </c>
      <c r="O234" s="9" t="inlineStr">
        <is>
          <t>https://icatalog.expocentr.ru/ru/exhibitions/de590dc5-417d-11ee-80ce-a0d3c1fab97f</t>
        </is>
      </c>
    </row>
    <row r="235" ht="16" customHeight="1">
      <c r="A235" s="1" t="inlineStr">
        <is>
          <t>ДИГИТАЛ ВЕБ, ООО</t>
        </is>
      </c>
      <c r="B235" s="1" t="inlineStr">
        <is>
          <t>7A140</t>
        </is>
      </c>
      <c r="C235" s="1" t="inlineStr">
        <is>
          <t>Россия</t>
        </is>
      </c>
      <c r="D235" s="1" t="inlineStr">
        <is>
          <t>Москва</t>
        </is>
      </c>
      <c r="E235" s="1" t="inlineStr">
        <is>
          <t>Россия, 127018, г. Москва, вн. тер. г. м. о. Марьина Роща, ул. Полковая, д. 3, стр. 2, пом. 1B/6</t>
        </is>
      </c>
      <c r="F235" s="10" t="inlineStr">
        <is>
          <t>http://www.medprivod.com</t>
        </is>
      </c>
      <c r="G235" s="1" t="inlineStr">
        <is>
          <t>actuator@neomailbox.net</t>
        </is>
      </c>
      <c r="H235" s="1" t="inlineStr">
        <is>
          <t>Приводы для медицинской мебели Med-i-Drive, производитель Jiecang.</t>
        </is>
      </c>
      <c r="I235" s="1" t="inlineStr">
        <is>
          <t>Приборы и аппараты для офтальмодиагностики; Стоматологическое оборудование и инструменты; Производство медицинских изделий; Комплектующие для производства медицинских изделий; Рентгеновские диагностические установки, передвижные и стационарные; Операционные столы</t>
        </is>
      </c>
      <c r="J235" s="1">
        <f>IFERROR(__xludf.DUMMYFUNCTION("AI(Prompt!$B$6, H276:I276)"),"Производитель")</f>
        <v/>
      </c>
      <c r="K235" s="1">
        <f>IFERROR(__xludf.DUMMYFUNCTION("AI(Prompt!$B$12, H276:J276)"),"OK")</f>
        <v/>
      </c>
      <c r="L235" s="1">
        <f>IFERROR(__xludf.DUMMYFUNCTION("AI(Prompt!$B$17, H276:I276)"),"приводы, оборудование, комплектующие и столы")</f>
        <v/>
      </c>
      <c r="M235" s="1">
        <f>IFERROR(__xludf.DUMMYFUNCTION("AI(Prompt!$B$21,A276)"),"Дигитал Веб")</f>
        <v/>
      </c>
      <c r="N235" s="1" t="inlineStr">
        <is>
          <t>Здравоохранение-2025</t>
        </is>
      </c>
      <c r="O235" s="9" t="inlineStr">
        <is>
          <t>https://icatalog.expocentr.ru/ru/exhibitions/de590dc5-417d-11ee-80ce-a0d3c1fab97f</t>
        </is>
      </c>
    </row>
    <row r="236" ht="16" customHeight="1">
      <c r="A236" s="1" t="inlineStr">
        <is>
          <t>АМИКО медицинская мебель, НПАО</t>
        </is>
      </c>
      <c r="B236" s="1" t="inlineStr">
        <is>
          <t>7B155</t>
        </is>
      </c>
      <c r="C236" s="1" t="inlineStr">
        <is>
          <t>Россия</t>
        </is>
      </c>
      <c r="D236" s="1" t="inlineStr">
        <is>
          <t>Москва</t>
        </is>
      </c>
      <c r="E236" s="1" t="inlineStr">
        <is>
          <t>Россия, 117556, г. Москва, вн. тер. г. м. о. Нагорный, ул. Фруктовая, д. 8, корп. 3</t>
        </is>
      </c>
      <c r="F236" s="10" t="inlineStr">
        <is>
          <t>https://medmebel.amico.ru</t>
        </is>
      </c>
      <c r="G236" s="1" t="inlineStr">
        <is>
          <t>info@amico.ru</t>
        </is>
      </c>
      <c r="H236" s="1" t="inlineStr">
        <is>
          <t>Медицинская мебель российского производства для ЛПУ. Полный цикл испытаний, устойчивое покрытие, цвет по каталогу RAL, регистрационное удостоверение.</t>
        </is>
      </c>
      <c r="I236" s="1" t="inlineStr">
        <is>
          <t>Мебель для стоматологических кабинетов; Медицинская мебель; Кушетки медицинские</t>
        </is>
      </c>
      <c r="J236" s="1">
        <f>IFERROR(__xludf.DUMMYFUNCTION("AI(Prompt!$B$6, H277:I277)"),"Производитель")</f>
        <v/>
      </c>
      <c r="K236" s="1">
        <f>IFERROR(__xludf.DUMMYFUNCTION("AI(Prompt!$B$12, H277:J277)"),"OK")</f>
        <v/>
      </c>
      <c r="L236" s="1">
        <f>IFERROR(__xludf.DUMMYFUNCTION("AI(Prompt!$B$17, H277:I277)"),"медицинская мебель и кушетки")</f>
        <v/>
      </c>
      <c r="M236" s="1">
        <f>IFERROR(__xludf.DUMMYFUNCTION("AI(Prompt!$B$21,A277)"),"АМИКО")</f>
        <v/>
      </c>
      <c r="N236" s="1" t="inlineStr">
        <is>
          <t>Здравоохранение-2025</t>
        </is>
      </c>
      <c r="O236" s="9" t="inlineStr">
        <is>
          <t>https://icatalog.expocentr.ru/ru/exhibitions/de590dc5-417d-11ee-80ce-a0d3c1fab97f</t>
        </is>
      </c>
    </row>
    <row r="237" ht="16" customHeight="1">
      <c r="A237" s="1" t="inlineStr">
        <is>
          <t>ЮНИТИ-М, ООО</t>
        </is>
      </c>
      <c r="B237" s="1" t="inlineStr">
        <is>
          <t>7C020</t>
        </is>
      </c>
      <c r="C237" s="1" t="inlineStr">
        <is>
          <t>Россия</t>
        </is>
      </c>
      <c r="D237" s="1" t="inlineStr">
        <is>
          <t>Москва</t>
        </is>
      </c>
      <c r="E237" s="1" t="inlineStr">
        <is>
          <t>Россия, 127015, г. Москва, ул. Новодмитровская, д. 2Б, этаж 2, пом. VIII, комн. 16</t>
        </is>
      </c>
      <c r="F237" s="10" t="inlineStr">
        <is>
          <t>http://www.unity-m.pro</t>
        </is>
      </c>
      <c r="G237" s="1" t="inlineStr">
        <is>
          <t>info@unity-m.pro</t>
        </is>
      </c>
      <c r="H237" s="1" t="inlineStr">
        <is>
          <t>Создаем чистые помещения — проектирование, 3D-моделирование, производство и монтаж. Модуль медицинский климатизированный, монтаж системы медицинского газоснабжения, поставка медицинского оборудования.</t>
        </is>
      </c>
      <c r="I237" s="1" t="inlineStr">
        <is>
          <t>Прочее общебольничное оборудование; Проектирование, производство, монтаж, валидация чистых операционных и реанимационных; Проектирование и оснащение медицинских учреждений под ключ; Поставка медицинского оборудования и расходных материалов; Оборудование для медицинских газов; Потолочные консоли</t>
        </is>
      </c>
      <c r="J237" s="1">
        <f>IFERROR(__xludf.DUMMYFUNCTION("AI(Prompt!$B$6, H278:I278)"),"Производитель")</f>
        <v/>
      </c>
      <c r="K237" s="1">
        <f>IFERROR(__xludf.DUMMYFUNCTION("AI(Prompt!$B$12, H278:J278)"),"OK")</f>
        <v/>
      </c>
      <c r="L237" s="1">
        <f>IFERROR(__xludf.DUMMYFUNCTION("AI(Prompt!$B$17, H278:I278)"),"модули, оборудование, консоли")</f>
        <v/>
      </c>
      <c r="M237" s="1">
        <f>IFERROR(__xludf.DUMMYFUNCTION("AI(Prompt!$B$21,A278)"),"Юнити-М")</f>
        <v/>
      </c>
      <c r="N237" s="1" t="inlineStr">
        <is>
          <t>Здравоохранение-2025</t>
        </is>
      </c>
      <c r="O237" s="9" t="inlineStr">
        <is>
          <t>https://icatalog.expocentr.ru/ru/exhibitions/de590dc5-417d-11ee-80ce-a0d3c1fab97f</t>
        </is>
      </c>
    </row>
    <row r="238" ht="16" customHeight="1">
      <c r="A238" s="1" t="inlineStr">
        <is>
          <t>ПРОМЕТ, НПО, ООО</t>
        </is>
      </c>
      <c r="B238" s="1" t="inlineStr">
        <is>
          <t>7B120</t>
        </is>
      </c>
      <c r="C238" s="1" t="inlineStr">
        <is>
          <t>Россия</t>
        </is>
      </c>
      <c r="D238" s="1" t="inlineStr">
        <is>
          <t>Узловая</t>
        </is>
      </c>
      <c r="E238" s="1" t="inlineStr">
        <is>
          <t>Россия, 301602, Тульская обл., г. Узловая, ул. Дубовская, д. 2а</t>
        </is>
      </c>
      <c r="F238" s="10" t="inlineStr">
        <is>
          <t>http://www.safe.ru</t>
        </is>
      </c>
      <c r="G238" s="1" t="inlineStr">
        <is>
          <t>mo@promet.ru</t>
        </is>
      </c>
      <c r="H238" s="1" t="inlineStr">
        <is>
          <t>Производство медицинской мебели HILFE. Шкафы, тумбы, процедурные столики, кровати, тележки для перевозки больных, для скорой помощи, массажные столы, сейфы-термостаты для хранения медсредств.</t>
        </is>
      </c>
      <c r="I238" s="1" t="inlineStr">
        <is>
          <t>Медицинская мебель; Кушетки медицинские; Столы массажные; Средства перевозки (перемещения) пациентов, оборудования и материалов; Прочее общебольничное оборудование</t>
        </is>
      </c>
      <c r="J238" s="1">
        <f>IFERROR(__xludf.DUMMYFUNCTION("AI(Prompt!$B$6, H279:I279)"),"Производитель")</f>
        <v/>
      </c>
      <c r="K238" s="1">
        <f>IFERROR(__xludf.DUMMYFUNCTION("AI(Prompt!$B$12, H279:J279)"),"OK")</f>
        <v/>
      </c>
      <c r="L238" s="1">
        <f>IFERROR(__xludf.DUMMYFUNCTION("AI(Prompt!$B$17, H279:I279)"),"медицинская мебель, кушетки и столы")</f>
        <v/>
      </c>
      <c r="M238" s="1">
        <f>IFERROR(__xludf.DUMMYFUNCTION("AI(Prompt!$B$21,A279)"),"ПРОМЕТ")</f>
        <v/>
      </c>
      <c r="N238" s="1" t="inlineStr">
        <is>
          <t>Здравоохранение-2025</t>
        </is>
      </c>
      <c r="O238" s="9" t="inlineStr">
        <is>
          <t>https://icatalog.expocentr.ru/ru/exhibitions/de590dc5-417d-11ee-80ce-a0d3c1fab97f</t>
        </is>
      </c>
    </row>
    <row r="239" ht="16" customHeight="1">
      <c r="A239" s="1" t="inlineStr">
        <is>
          <t>КАРДИОМЕД, ООО</t>
        </is>
      </c>
      <c r="B239" s="1" t="inlineStr">
        <is>
          <t>7C015</t>
        </is>
      </c>
      <c r="C239" s="1" t="inlineStr">
        <is>
          <t>Россия</t>
        </is>
      </c>
      <c r="D239" s="1" t="inlineStr">
        <is>
          <t>Москва</t>
        </is>
      </c>
      <c r="E239" s="1" t="inlineStr">
        <is>
          <t>Россия, 119285, г. Москва, вн. тер. г. м. о. Раменки, ул. МЖД Киевское, 5-й километр, д. 1, стр. 1, пом. 32/1</t>
        </is>
      </c>
      <c r="F239" s="10" t="inlineStr">
        <is>
          <t>http://www.cardiomed.su</t>
        </is>
      </c>
      <c r="G239" s="1" t="inlineStr">
        <is>
          <t>info@cardiomed.su</t>
        </is>
      </c>
      <c r="H239" s="1" t="inlineStr">
        <is>
          <t>«КардиоМед» — дистрибьютор медицинских изделий и оборудования крупнейших международных производителей. За 19 лет работы компания успешно выполнила более тысячи государственных и муниципальных контрактов, включая комплексное оснащение ЛПУ.«КардиоМед» также является эксклюзивным дистрибьютором фетальных мониторов и доплеров, инкубаторов для новорожденных и аппаратов интенсивной фототерапии, экспресс-анализаторов кислотно-щелочного состояния, гликогемоглобина, маркеров воспаления и сердечно-сосудистых патологий производителей из Южной Кореи и Китая.</t>
        </is>
      </c>
      <c r="I239" s="1" t="inlineStr">
        <is>
          <t>Фетальные мониторы; Инкубаторы и открытые реанимационные системы; Фототерапевтические системы; Производство медицинских изделий; Анализаторы; Ортезы</t>
        </is>
      </c>
      <c r="J239" s="1">
        <f>IFERROR(__xludf.DUMMYFUNCTION("AI(Prompt!$B$6, H280:I280)"),"Дилер")</f>
        <v/>
      </c>
      <c r="K239" s="1">
        <f>IFERROR(__xludf.DUMMYFUNCTION("AI(Prompt!$B$12, H280:J280)"),"OK")</f>
        <v/>
      </c>
      <c r="L239" s="1">
        <f>IFERROR(__xludf.DUMMYFUNCTION("AI(Prompt!$B$17, H280:I280)"),"медицинские изделия, оборудование, анализаторы, ортезы")</f>
        <v/>
      </c>
      <c r="M239" s="1">
        <f>IFERROR(__xludf.DUMMYFUNCTION("AI(Prompt!$B$21,A280)"),"Кардиомед")</f>
        <v/>
      </c>
      <c r="N239" s="1" t="inlineStr">
        <is>
          <t>Здравоохранение-2025</t>
        </is>
      </c>
      <c r="O239" s="9" t="inlineStr">
        <is>
          <t>https://icatalog.expocentr.ru/ru/exhibitions/de590dc5-417d-11ee-80ce-a0d3c1fab97f</t>
        </is>
      </c>
    </row>
    <row r="240" ht="16" customHeight="1">
      <c r="A240" s="1" t="inlineStr">
        <is>
          <t>ВЗМО, АО</t>
        </is>
      </c>
      <c r="B240" s="1" t="inlineStr">
        <is>
          <t>7D153</t>
        </is>
      </c>
      <c r="C240" s="1" t="inlineStr">
        <is>
          <t>Россия</t>
        </is>
      </c>
      <c r="D240" s="1" t="inlineStr">
        <is>
          <t>Волгоград</t>
        </is>
      </c>
      <c r="E240" s="1" t="inlineStr">
        <is>
          <t>Россия, 400002, г. Волгоград, ул. Революционная, д. 57а, оф. 12</t>
        </is>
      </c>
      <c r="F240" s="10" t="inlineStr">
        <is>
          <t>http://www.vzmo.su</t>
        </is>
      </c>
      <c r="G240" s="1" t="inlineStr">
        <is>
          <t>info@vzmo.su</t>
        </is>
      </c>
      <c r="H240" s="1" t="inlineStr">
        <is>
          <t>ВЗМО — производственная компания с традициями и историей. На сегодняшний день является одной из наиболее технологичных, эффективных и конкурентных в области производства медицинской мебели.</t>
        </is>
      </c>
      <c r="I240" s="1" t="inlineStr">
        <is>
          <t>Мебель для стоматологических кабинетов; Медицинская мебель; Производство медицинских изделий</t>
        </is>
      </c>
      <c r="J240" s="1">
        <f>IFERROR(__xludf.DUMMYFUNCTION("AI(Prompt!$B$6, H281:I281)"),"Производитель")</f>
        <v/>
      </c>
      <c r="K240" s="1">
        <f>IFERROR(__xludf.DUMMYFUNCTION("AI(Prompt!$B$12, H281:J281)"),"OK")</f>
        <v/>
      </c>
      <c r="L240" s="1">
        <f>IFERROR(__xludf.DUMMYFUNCTION("AI(Prompt!$B$17, H281:I281)"),"медицинская мебель, мебель для стоматологических кабинетов и медицинские изделия")</f>
        <v/>
      </c>
      <c r="M240" s="1">
        <f>IFERROR(__xludf.DUMMYFUNCTION("AI(Prompt!$B$21,A281)"),"ВЗМО")</f>
        <v/>
      </c>
      <c r="N240" s="1" t="inlineStr">
        <is>
          <t>Здравоохранение-2025</t>
        </is>
      </c>
      <c r="O240" s="9" t="inlineStr">
        <is>
          <t>https://icatalog.expocentr.ru/ru/exhibitions/de590dc5-417d-11ee-80ce-a0d3c1fab97f</t>
        </is>
      </c>
    </row>
    <row r="241" ht="16" customHeight="1">
      <c r="A241" s="1" t="inlineStr">
        <is>
          <t>МЕДБИЗНЕССЕРВИС, ООО</t>
        </is>
      </c>
      <c r="B241" s="11" t="n">
        <v>7e+65</v>
      </c>
      <c r="C241" s="1" t="inlineStr">
        <is>
          <t>Россия</t>
        </is>
      </c>
      <c r="D241" s="1" t="inlineStr">
        <is>
          <t>Москва</t>
        </is>
      </c>
      <c r="E241" s="1" t="inlineStr">
        <is>
          <t>Россия, 105187, г. Москва, вн. тер. г. м. о. Соколиная Гора, Окружной пр-д, д. 30а</t>
        </is>
      </c>
      <c r="F241" s="10" t="inlineStr">
        <is>
          <t>http://www.rusmbs.ru</t>
        </is>
      </c>
      <c r="G241" s="1" t="inlineStr">
        <is>
          <t>info@rusmbs.ru</t>
        </is>
      </c>
      <c r="H241" s="1" t="inlineStr">
        <is>
          <t>Оптовая продажа медицинского оборудования для операционного блока и диагностического оборудования.</t>
        </is>
      </c>
      <c r="I241" s="1" t="inlineStr">
        <is>
          <t>Операционные столы; Потолочные консоли; Осветители хирургические; Ортопедическое оборудование и инструменты</t>
        </is>
      </c>
      <c r="J241" s="1">
        <f>IFERROR(__xludf.DUMMYFUNCTION("AI(Prompt!$B$6, H282:I282)"),"Дилер")</f>
        <v/>
      </c>
      <c r="K241" s="1">
        <f>IFERROR(__xludf.DUMMYFUNCTION("AI(Prompt!$B$12, H282:J282)"),"OK")</f>
        <v/>
      </c>
      <c r="L241" s="1">
        <f>IFERROR(__xludf.DUMMYFUNCTION("AI(Prompt!$B$17, H282:I282)"),"медицинское оборудование, операционные столы, потолочные консоли, осветители, ортопедическое оборудование и инструменты")</f>
        <v/>
      </c>
      <c r="M241" s="1">
        <f>IFERROR(__xludf.DUMMYFUNCTION("AI(Prompt!$B$21,A282)"),"Медбизнессервис")</f>
        <v/>
      </c>
      <c r="N241" s="1" t="inlineStr">
        <is>
          <t>Здравоохранение-2025</t>
        </is>
      </c>
      <c r="O241" s="9" t="inlineStr">
        <is>
          <t>https://icatalog.expocentr.ru/ru/exhibitions/de590dc5-417d-11ee-80ce-a0d3c1fab97f</t>
        </is>
      </c>
    </row>
    <row r="242" ht="16" customHeight="1">
      <c r="A242" s="1" t="inlineStr">
        <is>
          <t>ДИАКОМС, ООО</t>
        </is>
      </c>
      <c r="B242" s="1" t="inlineStr">
        <is>
          <t>7F150</t>
        </is>
      </c>
      <c r="C242" s="1" t="inlineStr">
        <is>
          <t>Россия</t>
        </is>
      </c>
      <c r="D242" s="1" t="inlineStr">
        <is>
          <t>Москва</t>
        </is>
      </c>
      <c r="E242" s="1" t="inlineStr">
        <is>
          <t>Россия, 109382, г. Москва, ул. Нижние Поля, д. 29, стр. 1, оф. 1</t>
        </is>
      </c>
      <c r="F242" s="10" t="inlineStr">
        <is>
          <t>http://www.diacoms.ru</t>
        </is>
      </c>
      <c r="G242" s="1" t="inlineStr">
        <is>
          <t>diakoms@inbox.ru</t>
        </is>
      </c>
      <c r="H242" s="1" t="inlineStr">
        <is>
          <t>ООО «Диакомс» — московский производитель медицинской мебели и оборудования, номенклатура насчитывает более 45 видов изделий: шкафы, кушетки, столики, тележки для перевозки больных и грузов, ростомеры и т. д.</t>
        </is>
      </c>
      <c r="I242" s="1" t="inlineStr">
        <is>
          <t>Гинекологические кресла; Родовые кровати; Медицинская мебель; Кушетки медицинские; Столы массажные; Производство медицинских изделий</t>
        </is>
      </c>
      <c r="J242" s="1">
        <f>IFERROR(__xludf.DUMMYFUNCTION("AI(Prompt!$B$6, H283:I283)"),"Производитель")</f>
        <v/>
      </c>
      <c r="K242" s="1">
        <f>IFERROR(__xludf.DUMMYFUNCTION("AI(Prompt!$B$12, H283:J283)"),"OK")</f>
        <v/>
      </c>
      <c r="L242" s="1">
        <f>IFERROR(__xludf.DUMMYFUNCTION("AI(Prompt!$B$17, H283:I283)"),"медицинская мебель, кушетки, столики, ростомеры и кресла")</f>
        <v/>
      </c>
      <c r="M242" s="1">
        <f>IFERROR(__xludf.DUMMYFUNCTION("AI(Prompt!$B$21,A283)"),"Диакомс")</f>
        <v/>
      </c>
      <c r="N242" s="1" t="inlineStr">
        <is>
          <t>Здравоохранение-2025</t>
        </is>
      </c>
      <c r="O242" s="9" t="inlineStr">
        <is>
          <t>https://icatalog.expocentr.ru/ru/exhibitions/de590dc5-417d-11ee-80ce-a0d3c1fab97f</t>
        </is>
      </c>
    </row>
    <row r="243" ht="16" customHeight="1">
      <c r="A243" s="1" t="inlineStr">
        <is>
          <t>СМАРТКОЛЛ, НАО</t>
        </is>
      </c>
      <c r="B243" s="11" t="n">
        <v>70000000000</v>
      </c>
      <c r="C243" s="1" t="inlineStr">
        <is>
          <t>Россия</t>
        </is>
      </c>
      <c r="D243" s="1" t="inlineStr">
        <is>
          <t>Москва</t>
        </is>
      </c>
      <c r="E243" s="1" t="inlineStr">
        <is>
          <t>Россия, 115114, г. Москва, вн. тер. г. м. о. Замоскворечье, ул. Летниковская, д. 16, пом. 1/1</t>
        </is>
      </c>
      <c r="F243" s="10" t="inlineStr">
        <is>
          <t>https://smcall.ru</t>
        </is>
      </c>
      <c r="G243" s="1" t="inlineStr">
        <is>
          <t>office@smcall.ru</t>
        </is>
      </c>
      <c r="H243" s="1" t="inlineStr">
        <is>
          <t>«СМАРТКОЛЛ» — российский производитель IP палатной сигнализации и системы часофикации. Мы спасаем жизни, обеспечивая безупрeчную связь между пациентом и персоналом, когда каждая секунда на счету. Легкое проектирование и установка. Сервис без выходных. Нам доверяют лучшие клиники. Сделано в России — для России.</t>
        </is>
      </c>
      <c r="I243" s="1" t="inlineStr">
        <is>
          <t>IT-инфраструктура / компьютерное оборудование / системы mHealth; Коммуникационные системы</t>
        </is>
      </c>
      <c r="J243" s="1">
        <f>IFERROR(__xludf.DUMMYFUNCTION("AI(Prompt!$B$6, H284:I284)"),"Производитель")</f>
        <v/>
      </c>
      <c r="K243" s="1">
        <f>IFERROR(__xludf.DUMMYFUNCTION("AI(Prompt!$B$12, H284:J284)"),"OK")</f>
        <v/>
      </c>
      <c r="L243" s="1">
        <f>IFERROR(__xludf.DUMMYFUNCTION("AI(Prompt!$B$17, H284:I284)"),"системы сигнализации и системы часофикации")</f>
        <v/>
      </c>
      <c r="M243" s="1">
        <f>IFERROR(__xludf.DUMMYFUNCTION("AI(Prompt!$B$21,A284)"),"Смартколл")</f>
        <v/>
      </c>
      <c r="N243" s="1" t="inlineStr">
        <is>
          <t>Здравоохранение-2025</t>
        </is>
      </c>
      <c r="O243" s="9" t="inlineStr">
        <is>
          <t>https://icatalog.expocentr.ru/ru/exhibitions/de590dc5-417d-11ee-80ce-a0d3c1fab97f</t>
        </is>
      </c>
    </row>
    <row r="244" ht="16" customHeight="1">
      <c r="A244" s="1" t="inlineStr">
        <is>
          <t>ЛИДЕР-М, ООО</t>
        </is>
      </c>
      <c r="B244" s="1" t="inlineStr">
        <is>
          <t>7D120</t>
        </is>
      </c>
      <c r="C244" s="1" t="inlineStr">
        <is>
          <t>Россия</t>
        </is>
      </c>
      <c r="D244" s="1" t="inlineStr">
        <is>
          <t>Москва</t>
        </is>
      </c>
      <c r="E244" s="1" t="inlineStr">
        <is>
          <t>Россия, 117246, г. Москва, вн. тер. г. м. о. Черёмушки, Научный пр-д, д. 17, пом. 33/7</t>
        </is>
      </c>
      <c r="F244" s="10" t="inlineStr">
        <is>
          <t>https://nitrocare.com.ru</t>
        </is>
      </c>
      <c r="G244" s="1" t="inlineStr">
        <is>
          <t>info@nitrocare.com.ru</t>
        </is>
      </c>
      <c r="H244" s="1" t="inlineStr">
        <is>
          <t>Комплексное оснащение медицинских учреждений. Производство и поставка медицинских многофункциональных кроватей, кушеток, каталок, кресел-каталок и прочего.</t>
        </is>
      </c>
      <c r="I244" s="1" t="inlineStr">
        <is>
          <t>Родовые кровати; Медицинская мебель; Кушетки медицинские; Средства перевозки (перемещения) пациентов, оборудования и материалов; Физиотерапия и реабилитация; Реабилитационное оборудование</t>
        </is>
      </c>
      <c r="J244" s="1">
        <f>IFERROR(__xludf.DUMMYFUNCTION("AI(Prompt!$B$6, H285:I285)"),"Производитель")</f>
        <v/>
      </c>
      <c r="K244" s="1">
        <f>IFERROR(__xludf.DUMMYFUNCTION("AI(Prompt!$B$12, H285:J285)"),"OK")</f>
        <v/>
      </c>
      <c r="L244" s="1">
        <f>IFERROR(__xludf.DUMMYFUNCTION("AI(Prompt!$B$17, H285:I285)"),"кровати, кушетки, каталки и кресла-каталки")</f>
        <v/>
      </c>
      <c r="M244" s="1">
        <f>IFERROR(__xludf.DUMMYFUNCTION("AI(Prompt!$B$21,A285)"),"Лидер-М")</f>
        <v/>
      </c>
      <c r="N244" s="1" t="inlineStr">
        <is>
          <t>Здравоохранение-2025</t>
        </is>
      </c>
      <c r="O244" s="9" t="inlineStr">
        <is>
          <t>https://icatalog.expocentr.ru/ru/exhibitions/de590dc5-417d-11ee-80ce-a0d3c1fab97f</t>
        </is>
      </c>
    </row>
    <row r="245" ht="16" customHeight="1">
      <c r="A245" s="1" t="inlineStr">
        <is>
          <t>ЯДРОМЕД, ООО</t>
        </is>
      </c>
      <c r="B245" s="11" t="n">
        <v>7e+110</v>
      </c>
      <c r="C245" s="1" t="inlineStr">
        <is>
          <t>Россия</t>
        </is>
      </c>
      <c r="D245" s="1" t="inlineStr">
        <is>
          <t>Ростов-на-Дону</t>
        </is>
      </c>
      <c r="E245" s="1" t="inlineStr">
        <is>
          <t>Россия, 344092, г. Ростов-на-Дону, ул. Волкова, д. 39, кв. 100</t>
        </is>
      </c>
      <c r="F245" s="10" t="inlineStr">
        <is>
          <t>http://www.yadromed.ru</t>
        </is>
      </c>
      <c r="G245" s="1" t="inlineStr">
        <is>
          <t>info@yadromed.ru</t>
        </is>
      </c>
      <c r="H245" s="1" t="inlineStr">
        <is>
          <t>Разработчик и производитель уникальной отечественной системы внутрикостного доступа Р-КД.</t>
        </is>
      </c>
      <c r="I245" s="1" t="inlineStr">
        <is>
          <t>Приборы и принадлежности для кардиографических исследований; Нейрофизиологическое оборудование; Средства для оказания экстренной медицинской помощи; Вакуумные экстракторы, аспираторы</t>
        </is>
      </c>
      <c r="J245" s="1">
        <f>IFERROR(__xludf.DUMMYFUNCTION("AI(Prompt!$B$6, H286:I286)"),"Производитель")</f>
        <v/>
      </c>
      <c r="K245" s="1">
        <f>IFERROR(__xludf.DUMMYFUNCTION("AI(Prompt!$B$12, H286:J286)"),"OK")</f>
        <v/>
      </c>
      <c r="L245" s="1">
        <f>IFERROR(__xludf.DUMMYFUNCTION("AI(Prompt!$B$17, H286:I286)"),"медицинские приборы, оборудование и средства помощи")</f>
        <v/>
      </c>
      <c r="M245" s="1">
        <f>IFERROR(__xludf.DUMMYFUNCTION("AI(Prompt!$B$21,A286)"),"Ядромед")</f>
        <v/>
      </c>
      <c r="N245" s="1" t="inlineStr">
        <is>
          <t>Здравоохранение-2025</t>
        </is>
      </c>
      <c r="O245" s="9" t="inlineStr">
        <is>
          <t>https://icatalog.expocentr.ru/ru/exhibitions/de590dc5-417d-11ee-80ce-a0d3c1fab97f</t>
        </is>
      </c>
    </row>
    <row r="246" ht="16" customHeight="1">
      <c r="A246" s="1" t="inlineStr">
        <is>
          <t>ЛОМО, АО</t>
        </is>
      </c>
      <c r="B246" s="1" t="inlineStr">
        <is>
          <t>7D130</t>
        </is>
      </c>
      <c r="C246" s="1" t="inlineStr">
        <is>
          <t>Россия</t>
        </is>
      </c>
      <c r="D246" s="1" t="inlineStr">
        <is>
          <t>Санкт-Петербург</t>
        </is>
      </c>
      <c r="E246" s="1" t="inlineStr">
        <is>
          <t>Россия, 194044, г. Санкт-Петербург, ул. Чугунная, д. 20</t>
        </is>
      </c>
      <c r="F246" s="10" t="inlineStr">
        <is>
          <t>http://www.lomo.ru</t>
        </is>
      </c>
      <c r="G246" s="1" t="inlineStr">
        <is>
          <t>lomo@lomo.ru</t>
        </is>
      </c>
      <c r="H246" s="1" t="inlineStr">
        <is>
          <t>АО «ЛОМО» - единственное предприятие в РФ, имеющее полный цикл производства гибких медицинских эндоскопов. В рамках импортозамещения мы предлагаем высококачественную отечественную продукцию, соответствующую современным стандартам качества. АО «ЛОМО» стремится к постоянному развитию и совершенствованию производства медицинской техники, предлагая рынку продуктивные и инновационные решения.</t>
        </is>
      </c>
      <c r="I246" s="1" t="inlineStr">
        <is>
          <t>Приборы для оценки функции ЖКТ; Микроскопы; Эндоскопы гибкие; Эндоскопические комплексы и системы</t>
        </is>
      </c>
      <c r="J246" s="1">
        <f>IFERROR(__xludf.DUMMYFUNCTION("AI(Prompt!$B$6, H287:I287)"),"Производитель")</f>
        <v/>
      </c>
      <c r="K246" s="1">
        <f>IFERROR(__xludf.DUMMYFUNCTION("AI(Prompt!$B$12, H287:J287)"),"OK")</f>
        <v/>
      </c>
      <c r="L246" s="1">
        <f>IFERROR(__xludf.DUMMYFUNCTION("AI(Prompt!$B$17, H287:I287)"),"эндоскопы, микроскопы и приборы для ЖКТ")</f>
        <v/>
      </c>
      <c r="M246" s="1">
        <f>IFERROR(__xludf.DUMMYFUNCTION("AI(Prompt!$B$21,A287)"),"ЛОМО")</f>
        <v/>
      </c>
      <c r="N246" s="1" t="inlineStr">
        <is>
          <t>Здравоохранение-2025</t>
        </is>
      </c>
      <c r="O246" s="9" t="inlineStr">
        <is>
          <t>https://icatalog.expocentr.ru/ru/exhibitions/de590dc5-417d-11ee-80ce-a0d3c1fab97f</t>
        </is>
      </c>
    </row>
    <row r="247" ht="16" customHeight="1">
      <c r="A247" s="1" t="inlineStr">
        <is>
          <t>РЕЗОНАНС, ГРУППА КОМПАНИЙ</t>
        </is>
      </c>
      <c r="B247" s="11" t="n">
        <v>7e+105</v>
      </c>
      <c r="C247" s="1" t="inlineStr">
        <is>
          <t>Россия</t>
        </is>
      </c>
      <c r="D247" s="1" t="inlineStr">
        <is>
          <t>Воронеж</t>
        </is>
      </c>
      <c r="E247" s="1" t="inlineStr">
        <is>
          <t>Россия, г. Воронеж, Московский просп., д. 11/17</t>
        </is>
      </c>
      <c r="F247" s="10" t="inlineStr">
        <is>
          <t>http://www.mrigroup.ru</t>
        </is>
      </c>
      <c r="G247" s="1" t="inlineStr">
        <is>
          <t>v1@mrigroup.ru</t>
        </is>
      </c>
      <c r="H247" s="1" t="inlineStr">
        <is>
          <t>Поставка медицинского оборудования (МРТ, КТ, УЗИ, рентген) под ключ, сервисное обслуживание медицинского оборудования, строительство мобильных медицинских зданий.</t>
        </is>
      </c>
      <c r="I247" s="1" t="inlineStr">
        <is>
          <t>Рентгеновские диагностические установки, передвижные и стационарные; Вспомогательное оборудование; Компьютерные томографы; Флюорографы; Магнитно-резонансные томографы; Ультразвуковые сканеры и диагностические системы</t>
        </is>
      </c>
      <c r="J247" s="1">
        <f>IFERROR(__xludf.DUMMYFUNCTION("AI(Prompt!$B$6, H288:I288)"),"Дилер")</f>
        <v/>
      </c>
      <c r="K247" s="14" t="inlineStr">
        <is>
          <t>OK</t>
        </is>
      </c>
      <c r="L247" s="1">
        <f>IFERROR(__xludf.DUMMYFUNCTION("AI(Prompt!$B$17, H288:I288)"),"медицинское оборудование и здания")</f>
        <v/>
      </c>
      <c r="M247" s="1">
        <f>IFERROR(__xludf.DUMMYFUNCTION("AI(Prompt!$B$21,A288)"),"Резонанс")</f>
        <v/>
      </c>
      <c r="N247" s="1" t="inlineStr">
        <is>
          <t>Здравоохранение-2025</t>
        </is>
      </c>
      <c r="O247" s="9" t="inlineStr">
        <is>
          <t>https://icatalog.expocentr.ru/ru/exhibitions/de590dc5-417d-11ee-80ce-a0d3c1fab97f</t>
        </is>
      </c>
    </row>
    <row r="248" ht="16" customHeight="1">
      <c r="A248" s="1" t="inlineStr">
        <is>
          <t>ЭсДжиМедикал, ООО</t>
        </is>
      </c>
      <c r="B248" s="1" t="inlineStr">
        <is>
          <t>7C150</t>
        </is>
      </c>
      <c r="C248" s="1" t="inlineStr">
        <is>
          <t>Россия</t>
        </is>
      </c>
      <c r="D248" s="1" t="inlineStr">
        <is>
          <t>Москва</t>
        </is>
      </c>
      <c r="E248" s="1" t="inlineStr">
        <is>
          <t>Россия, г. Москва, ул. Вятская, д. 70, оф. 502</t>
        </is>
      </c>
      <c r="F248" s="10" t="inlineStr">
        <is>
          <t>http://www.sgmedical.ru</t>
        </is>
      </c>
      <c r="G248" s="1" t="inlineStr">
        <is>
          <t>sales@sgmedical.ru</t>
        </is>
      </c>
      <c r="H248" s="1" t="inlineStr">
        <is>
          <t>Российский производитель медицинских матрасов, медицинского постельного белья, медицинской одежды. Товар сертифицирован, имеет заключение Минпромторга, РУ, отвечает международным стандартам качества.</t>
        </is>
      </c>
      <c r="I248" s="1" t="inlineStr">
        <is>
          <t>Кушетки медицинские; Одежда и белье для пациентов и медицинского персонала; Прочее общебольничное оборудование; Производство медицинских изделий; Реабилитационное оборудование; Анатомические и ортопедические подушки и матрасы</t>
        </is>
      </c>
      <c r="J248" s="1">
        <f>IFERROR(__xludf.DUMMYFUNCTION("AI(Prompt!$B$6, H289:I289)"),"Производитель")</f>
        <v/>
      </c>
      <c r="K248" s="1">
        <f>IFERROR(__xludf.DUMMYFUNCTION("AI(Prompt!$B$12, H289:J289)"),"OK")</f>
        <v/>
      </c>
      <c r="L248" s="1">
        <f>IFERROR(__xludf.DUMMYFUNCTION("AI(Prompt!$B$17, H289:I289)"),"матрасы, постельное белье и одежда")</f>
        <v/>
      </c>
      <c r="M248" s="1">
        <f>IFERROR(__xludf.DUMMYFUNCTION("AI(Prompt!$B$21,A289)"),"ЭсДжиМедикал")</f>
        <v/>
      </c>
      <c r="N248" s="1" t="inlineStr">
        <is>
          <t>Здравоохранение-2025</t>
        </is>
      </c>
      <c r="O248" s="9" t="inlineStr">
        <is>
          <t>https://icatalog.expocentr.ru/ru/exhibitions/de590dc5-417d-11ee-80ce-a0d3c1fab97f</t>
        </is>
      </c>
    </row>
    <row r="249" ht="16" customHeight="1">
      <c r="A249" s="1" t="inlineStr">
        <is>
          <t>ЮНОНА ХОЛДИНГ</t>
        </is>
      </c>
      <c r="B249" s="11" t="n">
        <v>700000000000</v>
      </c>
      <c r="C249" s="1" t="inlineStr">
        <is>
          <t>Россия</t>
        </is>
      </c>
      <c r="D249" s="1" t="inlineStr">
        <is>
          <t>Екатеринбург</t>
        </is>
      </c>
      <c r="E249" s="1" t="inlineStr">
        <is>
          <t>Россия, 620028, г. Екатеринбург, ул. Кирова, стр. 28, пом. 222</t>
        </is>
      </c>
      <c r="F249" s="10" t="inlineStr">
        <is>
          <t>http://unona-aqua.ru</t>
        </is>
      </c>
      <c r="G249" s="1" t="inlineStr">
        <is>
          <t>info@unona-aqua.ru</t>
        </is>
      </c>
      <c r="H249" s="1" t="inlineStr">
        <is>
          <t>Система водоподготовки «Юнона АКВА» — единственная система получения УЛЬТРАчистой воды для гемодиализа по уникальной технологии. ООО «Завод Дизэт» — импортозамещение и инновации для гемодиализа.</t>
        </is>
      </c>
      <c r="I249" s="1" t="inlineStr">
        <is>
          <t>Проектирование и оснащение медицинских учреждений под ключ; Медицинский инжиниринг; Поставка медицинского оборудования и расходных материалов; Оборудование и расходные материалы для проведения гемосорбции, гемодиализа и плазмофереза</t>
        </is>
      </c>
      <c r="J249" s="1">
        <f>IFERROR(__xludf.DUMMYFUNCTION("AI(Prompt!$B$6, H290:I290)"),"Производитель")</f>
        <v/>
      </c>
      <c r="K249" s="1">
        <f>IFERROR(__xludf.DUMMYFUNCTION("AI(Prompt!$B$12, H290:J290)"),"OK")</f>
        <v/>
      </c>
      <c r="L249" s="1">
        <f>IFERROR(__xludf.DUMMYFUNCTION("AI(Prompt!$B$17, H290:I290)"),"системы водоподготовки, оборудование и материалы")</f>
        <v/>
      </c>
      <c r="M249" s="1">
        <f>IFERROR(__xludf.DUMMYFUNCTION("AI(Prompt!$B$21,A290)"),"Юнона Холдинг")</f>
        <v/>
      </c>
      <c r="N249" s="1" t="inlineStr">
        <is>
          <t>Здравоохранение-2025</t>
        </is>
      </c>
      <c r="O249" s="9" t="inlineStr">
        <is>
          <t>https://icatalog.expocentr.ru/ru/exhibitions/de590dc5-417d-11ee-80ce-a0d3c1fab97f</t>
        </is>
      </c>
    </row>
    <row r="250" ht="16" customHeight="1">
      <c r="A250" s="1" t="inlineStr">
        <is>
          <t>КОМПАНИЯ КОМФОРТ, ООО</t>
        </is>
      </c>
      <c r="B250" s="1" t="inlineStr">
        <is>
          <t>7F145</t>
        </is>
      </c>
      <c r="C250" s="1" t="inlineStr">
        <is>
          <t>Россия</t>
        </is>
      </c>
      <c r="D250" s="1" t="inlineStr">
        <is>
          <t>Москва</t>
        </is>
      </c>
      <c r="E250" s="1" t="inlineStr">
        <is>
          <t>Россия, 117105, г. Москва, Новоданиловская наб., д. 12, пом. 74</t>
        </is>
      </c>
      <c r="F250" s="10" t="inlineStr">
        <is>
          <t>http://a-vm.ru</t>
        </is>
      </c>
      <c r="G250" s="1" t="inlineStr">
        <is>
          <t>tanya@a-vm.ru</t>
        </is>
      </c>
      <c r="H250" s="1" t="inlineStr">
        <is>
          <t>ООО «КОМПАНИЯ КОМФОРТ» — производитель профессионального клинингового инвентаря. Опыт позволяет нам точно определять ключевые тренды и производить надежные швабры, уборочные тележки, мопы, салфетки, тряпки.</t>
        </is>
      </c>
      <c r="I250" s="1" t="inlineStr">
        <is>
          <t>Оборудование для прачечных; Оборудование для пищеблока; Прочее общебольничное оборудование; Оборудование для дезинфекции; Дезинфицирующие средства и материалы; Чистые помещения</t>
        </is>
      </c>
      <c r="J250" s="1">
        <f>IFERROR(__xludf.DUMMYFUNCTION("AI(Prompt!$B$6, H291:I291)"),"Производитель")</f>
        <v/>
      </c>
      <c r="K250" s="1">
        <f>IFERROR(__xludf.DUMMYFUNCTION("AI(Prompt!$B$12, H291:J291)"),"OK")</f>
        <v/>
      </c>
      <c r="L250" s="1">
        <f>IFERROR(__xludf.DUMMYFUNCTION("AI(Prompt!$B$17, H291:I291)"),"швабры, тележки, мопы и салфетки")</f>
        <v/>
      </c>
      <c r="M250" s="1">
        <f>IFERROR(__xludf.DUMMYFUNCTION("AI(Prompt!$B$21,A291)"),"Компания Комфорт")</f>
        <v/>
      </c>
      <c r="N250" s="1" t="inlineStr">
        <is>
          <t>Здравоохранение-2025</t>
        </is>
      </c>
      <c r="O250" s="9" t="inlineStr">
        <is>
          <t>https://icatalog.expocentr.ru/ru/exhibitions/de590dc5-417d-11ee-80ce-a0d3c1fab97f</t>
        </is>
      </c>
    </row>
    <row r="251" ht="16" customHeight="1">
      <c r="A251" s="1" t="inlineStr">
        <is>
          <t>КАРИПАИН, НПК, ООО</t>
        </is>
      </c>
      <c r="B251" s="11" t="n">
        <v>7.000000000000001e+135</v>
      </c>
      <c r="C251" s="1" t="inlineStr">
        <is>
          <t>Россия</t>
        </is>
      </c>
      <c r="D251" s="1" t="inlineStr">
        <is>
          <t>Подольск</t>
        </is>
      </c>
      <c r="E251" s="1" t="inlineStr">
        <is>
          <t>Россия, 142155, Московская обл., г. Подольск, Львовский мкр., пр-д Металлургов, д. 6</t>
        </is>
      </c>
      <c r="F251" s="10" t="inlineStr">
        <is>
          <t>https://karipain.ru</t>
        </is>
      </c>
      <c r="G251" s="1" t="inlineStr">
        <is>
          <t>npk-karipain@yandex.ru</t>
        </is>
      </c>
      <c r="H251" s="1" t="inlineStr">
        <is>
          <t>НПК «КАРИПАИН» специализируется на разработке и выпуске ферментных препаратов, применяемых для восстановления позвоночника и суставов, а также ликвидации и уменьшения рубцов, шрамов и других дефектов.</t>
        </is>
      </c>
      <c r="I251" s="1" t="inlineStr">
        <is>
          <t>Физиотерапия и реабилитация; Спортивное питание; Лечебная косметика; Профилактическая медицина, увеличение продолжительности жизни; Методы и способы усиления иммунитета, повышения защитных функций организма; Фармацевтические средства и БАД</t>
        </is>
      </c>
      <c r="J251" s="1">
        <f>IFERROR(__xludf.DUMMYFUNCTION("AI(Prompt!$B$6, H292:I292)"),"Производитель")</f>
        <v/>
      </c>
      <c r="K251" s="1">
        <f>IFERROR(__xludf.DUMMYFUNCTION("AI(Prompt!$B$12, H292:J292)"),"OK")</f>
        <v/>
      </c>
      <c r="L251" s="1">
        <f>IFERROR(__xludf.DUMMYFUNCTION("AI(Prompt!$B$17, H292:I292)"),"ферментные препараты, спортивное питание, лечебная косметика и фармацевтические средства")</f>
        <v/>
      </c>
      <c r="M251" s="1">
        <f>IFERROR(__xludf.DUMMYFUNCTION("AI(Prompt!$B$21,A292)"),"Карипаин, НПК")</f>
        <v/>
      </c>
      <c r="N251" s="1" t="inlineStr">
        <is>
          <t>Здравоохранение-2025</t>
        </is>
      </c>
      <c r="O251" s="9" t="inlineStr">
        <is>
          <t>https://icatalog.expocentr.ru/ru/exhibitions/de590dc5-417d-11ee-80ce-a0d3c1fab97f</t>
        </is>
      </c>
    </row>
    <row r="252" ht="16" customHeight="1">
      <c r="A252" s="1" t="inlineStr">
        <is>
          <t>ДИВИСИ ИНТЕГРАЦИЯ, ООО</t>
        </is>
      </c>
      <c r="B252" s="1" t="inlineStr">
        <is>
          <t>7B110</t>
        </is>
      </c>
      <c r="C252" s="1" t="inlineStr">
        <is>
          <t>Россия</t>
        </is>
      </c>
      <c r="D252" s="1" t="inlineStr">
        <is>
          <t>Москва</t>
        </is>
      </c>
      <c r="E252" s="1" t="inlineStr">
        <is>
          <t>Россия, г. Москва, ул. Шаболовка, д. 31г</t>
        </is>
      </c>
      <c r="F252" s="10" t="inlineStr">
        <is>
          <t>http://www.divisy.biz</t>
        </is>
      </c>
      <c r="G252" s="1" t="inlineStr">
        <is>
          <t>info@divisy.biz</t>
        </is>
      </c>
      <c r="H252" s="1" t="inlineStr">
        <is>
          <t>Divisy Group — первая российская компания, которая разработала интегрированные решения для диагностических кабинетов, операционных залов и реанимационных в России и странах СНГ.</t>
        </is>
      </c>
      <c r="I252" s="1" t="inlineStr">
        <is>
          <t>IT-инфраструктура / компьютерное оборудование / системы mHealth; Системы eHealth, телемедицина; Информационные системы администрирования / программное обеспечение; Медицинские информационные системы / программные решения; Коммуникационные системы; Медицинские порталы</t>
        </is>
      </c>
      <c r="J252" s="1">
        <f>IFERROR(__xludf.DUMMYFUNCTION("AI(Prompt!$B$6, H293:I293)"),"Производитель")</f>
        <v/>
      </c>
      <c r="K252" s="1">
        <f>IFERROR(__xludf.DUMMYFUNCTION("AI(Prompt!$B$12, H293:J293)"),"OK")</f>
        <v/>
      </c>
      <c r="L252" s="1">
        <f>IFERROR(__xludf.DUMMYFUNCTION("AI(Prompt!$B$17, H293:I293)"),"компьютерное оборудование")</f>
        <v/>
      </c>
      <c r="M252" s="1">
        <f>IFERROR(__xludf.DUMMYFUNCTION("AI(Prompt!$B$21,A293)"),"Дивиси Интеграция")</f>
        <v/>
      </c>
      <c r="N252" s="1" t="inlineStr">
        <is>
          <t>Здравоохранение-2025</t>
        </is>
      </c>
      <c r="O252" s="9" t="inlineStr">
        <is>
          <t>https://icatalog.expocentr.ru/ru/exhibitions/de590dc5-417d-11ee-80ce-a0d3c1fab97f</t>
        </is>
      </c>
    </row>
    <row r="253" ht="16" customHeight="1">
      <c r="A253" s="1" t="inlineStr">
        <is>
          <t>ДЕЛЬТА ГРУПП, ООО</t>
        </is>
      </c>
      <c r="B253" s="11" t="n">
        <v>7e+112</v>
      </c>
      <c r="C253" s="1" t="inlineStr">
        <is>
          <t>Россия</t>
        </is>
      </c>
      <c r="D253" s="1" t="inlineStr">
        <is>
          <t>Уфа</t>
        </is>
      </c>
      <c r="E253" s="1" t="inlineStr">
        <is>
          <t>Россия, 450078, Республика Башкортостан, г. Уфа, ул. Кирова, д. 91, оф. 1</t>
        </is>
      </c>
      <c r="F253" s="10" t="inlineStr">
        <is>
          <t>http://deltaufa.ru</t>
        </is>
      </c>
      <c r="G253" s="1" t="inlineStr">
        <is>
          <t>office@deltaufa.ru</t>
        </is>
      </c>
      <c r="H253" s="1" t="inlineStr">
        <is>
          <t>Осуществляем прямые поставки медицинской продукции зарубежных и отечественных производителей, предназначенных для применения в различных сферах медицины.</t>
        </is>
      </c>
      <c r="I253" s="1" t="inlineStr">
        <is>
          <t>Инструменты и принадлежности для эндоскопии; Операционные микроскопы и видеоустройства</t>
        </is>
      </c>
      <c r="J253" s="1">
        <f>IFERROR(__xludf.DUMMYFUNCTION("AI(Prompt!$B$6, H294:I294)"),"Дилер")</f>
        <v/>
      </c>
      <c r="K253" s="1">
        <f>IFERROR(__xludf.DUMMYFUNCTION("AI(Prompt!$B$12, H294:J294)"),"OK")</f>
        <v/>
      </c>
      <c r="L253" s="1">
        <f>IFERROR(__xludf.DUMMYFUNCTION("AI(Prompt!$B$17, H294:I294)"),"медицинская продукция, инструменты, микроскопы и видеоустройства")</f>
        <v/>
      </c>
      <c r="M253" s="1">
        <f>IFERROR(__xludf.DUMMYFUNCTION("AI(Prompt!$B$21,A294)"),"Дельта Групп")</f>
        <v/>
      </c>
      <c r="N253" s="1" t="inlineStr">
        <is>
          <t>Здравоохранение-2025</t>
        </is>
      </c>
      <c r="O253" s="9" t="inlineStr">
        <is>
          <t>https://icatalog.expocentr.ru/ru/exhibitions/de590dc5-417d-11ee-80ce-a0d3c1fab97f</t>
        </is>
      </c>
    </row>
    <row r="254" ht="16" customHeight="1">
      <c r="A254" s="1" t="inlineStr">
        <is>
          <t>АЛМАЗ НПП, АО</t>
        </is>
      </c>
      <c r="B254" s="11" t="n">
        <v>70000000000000</v>
      </c>
      <c r="C254" s="1" t="inlineStr">
        <is>
          <t>Россия</t>
        </is>
      </c>
      <c r="D254" s="1" t="inlineStr">
        <is>
          <t>Саратов</t>
        </is>
      </c>
      <c r="E254" s="1" t="inlineStr">
        <is>
          <t>Россия, 410033, г. Саратов, ул. им. Панфилова И.В., зд. 1а, стр. 1</t>
        </is>
      </c>
      <c r="F254" s="10" t="inlineStr">
        <is>
          <t>http://www.almaz-rpe.ru</t>
        </is>
      </c>
      <c r="G254" s="1" t="inlineStr">
        <is>
          <t>info@almaz-rpe.ru</t>
        </is>
      </c>
      <c r="H254" s="1" t="inlineStr">
        <is>
          <t>АО «НПП «Алмаз» более 30 лет производит устройства газовой автоматики, выпуская сигнализаторы контроля загазованности широкого назначения, а также медицинские изделия.</t>
        </is>
      </c>
      <c r="I254" s="1" t="inlineStr">
        <is>
          <t>Производство медицинских изделий; Средства для оказания экстренной медицинской помощи; Комплекты реанимационного оборудования</t>
        </is>
      </c>
      <c r="J254" s="1">
        <f>IFERROR(__xludf.DUMMYFUNCTION("AI(Prompt!$B$6, H295:I295)"),"Производитель")</f>
        <v/>
      </c>
      <c r="K254" s="1">
        <f>IFERROR(__xludf.DUMMYFUNCTION("AI(Prompt!$B$12, H295:J295)"),"OK")</f>
        <v/>
      </c>
      <c r="L254" s="1">
        <f>IFERROR(__xludf.DUMMYFUNCTION("AI(Prompt!$B$17, H295:I295)"),"сигнализаторы и медицинские изделия")</f>
        <v/>
      </c>
      <c r="M254" s="1">
        <f>IFERROR(__xludf.DUMMYFUNCTION("AI(Prompt!$B$21,A295)"),"Алмаз НПП")</f>
        <v/>
      </c>
      <c r="N254" s="1" t="inlineStr">
        <is>
          <t>Здравоохранение-2025</t>
        </is>
      </c>
      <c r="O254" s="9" t="inlineStr">
        <is>
          <t>https://icatalog.expocentr.ru/ru/exhibitions/de590dc5-417d-11ee-80ce-a0d3c1fab97f</t>
        </is>
      </c>
    </row>
    <row r="255" ht="16" customHeight="1">
      <c r="A255" s="1" t="inlineStr">
        <is>
          <t>ВЕГА, ВНИИ, АО</t>
        </is>
      </c>
      <c r="B255" s="11" t="n">
        <v>70000000000000</v>
      </c>
      <c r="C255" s="1" t="inlineStr">
        <is>
          <t>Россия</t>
        </is>
      </c>
      <c r="D255" s="1" t="inlineStr">
        <is>
          <t>Воронеж</t>
        </is>
      </c>
      <c r="E255" s="1" t="inlineStr">
        <is>
          <t>Россия, 394026, г. Воронеж, Московский просп., д. 7, корп. Б</t>
        </is>
      </c>
      <c r="F255" s="10" t="inlineStr">
        <is>
          <t>https://vniivega.ru</t>
        </is>
      </c>
      <c r="G255" s="1" t="inlineStr">
        <is>
          <t>vega@vniivega.ru</t>
        </is>
      </c>
      <c r="H255" s="1" t="inlineStr">
        <is>
          <t>Разработка, производство и обслуживание систем, программно-аппаратных комплексов и средств подвижной радиосвязи профессионального назначения, радиоэлектронной аппаратуры и медицинских изделий.</t>
        </is>
      </c>
      <c r="I255" s="1" t="inlineStr">
        <is>
          <t>Ультразвуковые сканеры и диагностические системы; Эндоскопические комплексы и системы; Оборудование и средства для лапароскопии; Электрохирургические аппараты; Лазерные  хирургические аппараты</t>
        </is>
      </c>
      <c r="J255" s="1">
        <f>IFERROR(__xludf.DUMMYFUNCTION("AI(Prompt!$B$6, H296:I296)"),"Производитель")</f>
        <v/>
      </c>
      <c r="K255" s="1">
        <f>IFERROR(__xludf.DUMMYFUNCTION("AI(Prompt!$B$12, H296:J296)"),"OK")</f>
        <v/>
      </c>
      <c r="L255" s="1">
        <f>IFERROR(__xludf.DUMMYFUNCTION("AI(Prompt!$B$17, H296:I296)"),"медицинские изделия, радиоаппаратура и системы радиосвязи")</f>
        <v/>
      </c>
      <c r="M255" s="1">
        <f>IFERROR(__xludf.DUMMYFUNCTION("AI(Prompt!$B$21,A296)"),"ВЕГА, ВНИИ")</f>
        <v/>
      </c>
      <c r="N255" s="1" t="inlineStr">
        <is>
          <t>Здравоохранение-2025</t>
        </is>
      </c>
      <c r="O255" s="9" t="inlineStr">
        <is>
          <t>https://icatalog.expocentr.ru/ru/exhibitions/de590dc5-417d-11ee-80ce-a0d3c1fab97f</t>
        </is>
      </c>
    </row>
    <row r="256" ht="16" customHeight="1">
      <c r="A256" s="1" t="inlineStr">
        <is>
          <t>РЭЛСИБ НПК, ООО</t>
        </is>
      </c>
      <c r="B256" s="11" t="n">
        <v>7e+130</v>
      </c>
      <c r="C256" s="1" t="inlineStr">
        <is>
          <t>Россия</t>
        </is>
      </c>
      <c r="D256" s="1" t="inlineStr">
        <is>
          <t>Новосибирск</t>
        </is>
      </c>
      <c r="E256" s="1" t="inlineStr">
        <is>
          <t>Россия, 630087, г. Новосибирск, ул. Немировича-Данченко, зд. 128/1</t>
        </is>
      </c>
      <c r="F256" s="10" t="inlineStr">
        <is>
          <t>http://www.relsib.com</t>
        </is>
      </c>
      <c r="G256" s="1" t="inlineStr">
        <is>
          <t>chif@relsib.com</t>
        </is>
      </c>
      <c r="H256" s="1" t="inlineStr">
        <is>
          <t>Разработка, производство и поставка медицинской техники, гигрометров, логгеров, термометров. Интегратор систем мониторинга и автоматизации на производстве. Валидация и температурное картирование.</t>
        </is>
      </c>
      <c r="I256" s="1" t="inlineStr">
        <is>
          <t>Оборудование для пищеблока; Прочее общебольничное оборудование; Медицинский инжиниринг; Поставка медицинского оборудования и расходных материалов; Термометры; Прочие изделия для лабораторий</t>
        </is>
      </c>
      <c r="J256" s="1">
        <f>IFERROR(__xludf.DUMMYFUNCTION("AI(Prompt!$B$6, H297:I297)"),"Производитель")</f>
        <v/>
      </c>
      <c r="K256" s="1">
        <f>IFERROR(__xludf.DUMMYFUNCTION("AI(Prompt!$B$12, H297:J297)"),"OK")</f>
        <v/>
      </c>
      <c r="L256" s="1">
        <f>IFERROR(__xludf.DUMMYFUNCTION("AI(Prompt!$B$17, H297:I297)"),"медицинская техника, гигрометры, логгеры и термометры")</f>
        <v/>
      </c>
      <c r="M256" s="1">
        <f>IFERROR(__xludf.DUMMYFUNCTION("AI(Prompt!$B$21,A297)"),"Рэлсиб НПК")</f>
        <v/>
      </c>
      <c r="N256" s="1" t="inlineStr">
        <is>
          <t>Здравоохранение-2025</t>
        </is>
      </c>
      <c r="O256" s="9" t="inlineStr">
        <is>
          <t>https://icatalog.expocentr.ru/ru/exhibitions/de590dc5-417d-11ee-80ce-a0d3c1fab97f</t>
        </is>
      </c>
    </row>
    <row r="257" ht="16" customHeight="1">
      <c r="A257" s="1" t="inlineStr">
        <is>
          <t>НАУЧНО-ИССЛЕДОВАТЕЛЬСКИЙ ИНСТИТУТ ПОЛУПРОВОДНИКОВЫХ ПРИБОРОВ, АО (НИИПП, АО)</t>
        </is>
      </c>
      <c r="B257" s="11" t="n">
        <v>70000000000000</v>
      </c>
      <c r="C257" s="1" t="inlineStr">
        <is>
          <t>Россия</t>
        </is>
      </c>
      <c r="D257" s="1" t="inlineStr">
        <is>
          <t>Томск</t>
        </is>
      </c>
      <c r="E257" s="1" t="inlineStr">
        <is>
          <t>Россия, 634034, г. Томск, ул. Красноармейская, д. 99а</t>
        </is>
      </c>
      <c r="F257" s="10" t="inlineStr">
        <is>
          <t>http://www.niipp.ru</t>
        </is>
      </c>
      <c r="G257" s="1" t="inlineStr">
        <is>
          <t>niipp@niipp.ru</t>
        </is>
      </c>
      <c r="H257" s="1" t="inlineStr">
        <is>
          <t>Один из лидеров в создании СВЧ-изделий и оптоэлектронных приборов ИК и видимого диапазона. Медицинская продукция: — аппарат светодиодный фототерапевтический портативный «ГЕСКА»; — электростимулятор автономный желудочно-кишечного тракта «СИБИРИУМ»; — электростимулятор автономный мышечных тканей ректально-вагинальный «ЭРЕКТРОН»; — автоматизированный комплекс мониторинга и контроля состояния здоровья человека «СМОТР».</t>
        </is>
      </c>
      <c r="I257" s="1" t="inlineStr">
        <is>
          <t>Прочие диагностические устройства; Фототерапевтические системы; Инструменты урологические</t>
        </is>
      </c>
      <c r="J257" s="1">
        <f>IFERROR(__xludf.DUMMYFUNCTION("AI(Prompt!$B$6, H298:I298)"),"Производитель")</f>
        <v/>
      </c>
      <c r="K257" s="1">
        <f>IFERROR(__xludf.DUMMYFUNCTION("AI(Prompt!$B$12, H298:J298)"),"OK")</f>
        <v/>
      </c>
      <c r="L257" s="1">
        <f>IFERROR(__xludf.DUMMYFUNCTION("AI(Prompt!$B$17, H298:I298)"),"СВЧ-изделия, оптоэлектронные приборы и медицинские аппараты")</f>
        <v/>
      </c>
      <c r="M257" s="1">
        <f>IFERROR(__xludf.DUMMYFUNCTION("AI(Prompt!$B$21,A298)"),"НИИПП")</f>
        <v/>
      </c>
      <c r="N257" s="1" t="inlineStr">
        <is>
          <t>Здравоохранение-2025</t>
        </is>
      </c>
      <c r="O257" s="9" t="inlineStr">
        <is>
          <t>https://icatalog.expocentr.ru/ru/exhibitions/de590dc5-417d-11ee-80ce-a0d3c1fab97f</t>
        </is>
      </c>
    </row>
    <row r="258" ht="16" customHeight="1">
      <c r="A258" s="1" t="inlineStr">
        <is>
          <t>ВСВ, ООО</t>
        </is>
      </c>
      <c r="B258" s="11" t="n">
        <v>7.000000000000001e+126</v>
      </c>
      <c r="C258" s="1" t="inlineStr">
        <is>
          <t>Россия</t>
        </is>
      </c>
      <c r="D258" s="1" t="inlineStr">
        <is>
          <t>Санкт-Петербург</t>
        </is>
      </c>
      <c r="E258" s="1" t="inlineStr">
        <is>
          <t>Россия, 198095, г. Санкт-Петербург, Химический пер., д. 12, литера АБ</t>
        </is>
      </c>
      <c r="F258" s="10" t="inlineStr">
        <is>
          <t>http://www.rs01.ru</t>
        </is>
      </c>
      <c r="G258" s="1" t="inlineStr">
        <is>
          <t>mail@rs01.ru</t>
        </is>
      </c>
      <c r="H258" s="1" t="inlineStr">
        <is>
          <t>Компания «ВСВ» была основана в декабре 1997 года, с тех мы осуществляем производство, поставку и обслуживание оборудования и снаряжения для спасательных и медицинских служб.</t>
        </is>
      </c>
      <c r="I258" s="1" t="inlineStr">
        <is>
          <t>Спасательное оборудование и снаряжение; Средства для оказания экстренной медицинской помощи</t>
        </is>
      </c>
      <c r="J258" s="1">
        <f>IFERROR(__xludf.DUMMYFUNCTION("AI(Prompt!$B$6, H299:I299)"),"Производитель")</f>
        <v/>
      </c>
      <c r="K258" s="1">
        <f>IFERROR(__xludf.DUMMYFUNCTION("AI(Prompt!$B$12, H299:J299)"),"OK")</f>
        <v/>
      </c>
      <c r="L258" s="1">
        <f>IFERROR(__xludf.DUMMYFUNCTION("AI(Prompt!$B$17, H299:I299)"),"оборудование, снаряжение и средства")</f>
        <v/>
      </c>
      <c r="M258" s="1">
        <f>IFERROR(__xludf.DUMMYFUNCTION("AI(Prompt!$B$21,A299)"),"ВСВ")</f>
        <v/>
      </c>
      <c r="N258" s="1" t="inlineStr">
        <is>
          <t>Здравоохранение-2025</t>
        </is>
      </c>
      <c r="O258" s="9" t="inlineStr">
        <is>
          <t>https://icatalog.expocentr.ru/ru/exhibitions/de590dc5-417d-11ee-80ce-a0d3c1fab97f</t>
        </is>
      </c>
    </row>
    <row r="259" ht="16" customHeight="1">
      <c r="A259" s="1" t="inlineStr">
        <is>
          <t>ХОЛДИНГ ЮНОНА, ООО</t>
        </is>
      </c>
      <c r="B259" s="11" t="n">
        <v>6.999999999999999e+128</v>
      </c>
      <c r="C259" s="1" t="inlineStr">
        <is>
          <t>Россия</t>
        </is>
      </c>
      <c r="D259" s="1" t="inlineStr">
        <is>
          <t>Екатеринбург</t>
        </is>
      </c>
      <c r="E259" s="1" t="inlineStr">
        <is>
          <t>Россия, 620028, г. Екатеринбург, ул. Кирова, стр. 28б/2, пом. 1, оф. 214</t>
        </is>
      </c>
      <c r="F259" s="10" t="inlineStr">
        <is>
          <t>http://medicagroup.ru</t>
        </is>
      </c>
      <c r="G259" s="1" t="inlineStr">
        <is>
          <t>medica.group@uphc.ru</t>
        </is>
      </c>
      <c r="H259" s="1" t="inlineStr">
        <is>
          <t>Холдинг «Юнона» занимается оснащением медицинских лабораторий, предлагая комплексные решения, соответствующие мировым стандартам качества.</t>
        </is>
      </c>
      <c r="I259" s="1" t="inlineStr">
        <is>
          <t>Лабораторные информационные системы; Прочие изделия для лабораторий; Анализаторы; Инкубаторы</t>
        </is>
      </c>
      <c r="J259" s="1">
        <f>IFERROR(__xludf.DUMMYFUNCTION("AI(Prompt!$B$6, H300:I300)"),"Дилер")</f>
        <v/>
      </c>
      <c r="K259" s="1">
        <f>IFERROR(__xludf.DUMMYFUNCTION("AI(Prompt!$B$12, H300:J300)"),"OK")</f>
        <v/>
      </c>
      <c r="L259" s="1">
        <f>IFERROR(__xludf.DUMMYFUNCTION("AI(Prompt!$B$17, H300:I300)"),"анализаторы, инкубаторы и изделия для лабораторий")</f>
        <v/>
      </c>
      <c r="M259" s="1">
        <f>IFERROR(__xludf.DUMMYFUNCTION("AI(Prompt!$B$21,A300)"),"Холдинг Юнона")</f>
        <v/>
      </c>
      <c r="N259" s="1" t="inlineStr">
        <is>
          <t>Здравоохранение-2025</t>
        </is>
      </c>
      <c r="O259" s="9" t="inlineStr">
        <is>
          <t>https://icatalog.expocentr.ru/ru/exhibitions/de590dc5-417d-11ee-80ce-a0d3c1fab97f</t>
        </is>
      </c>
    </row>
    <row r="260" hidden="1" ht="16" customHeight="1">
      <c r="A260" s="1" t="inlineStr">
        <is>
          <t>POLIMOT LINEER HAREKET SISTEMLERI VE MEKATRONIK SAN. TIC. LTD. STI.</t>
        </is>
      </c>
      <c r="B260" s="11" t="n">
        <v>7000000000000000</v>
      </c>
      <c r="C260" s="1" t="inlineStr">
        <is>
          <t>Турция</t>
        </is>
      </c>
      <c r="E260" s="1" t="inlineStr">
        <is>
          <t>Турция</t>
        </is>
      </c>
      <c r="F260" s="10" t="inlineStr">
        <is>
          <t>http://www.polimot.com</t>
        </is>
      </c>
      <c r="G260" s="1" t="inlineStr">
        <is>
          <t>info@polimot.com</t>
        </is>
      </c>
      <c r="H260" s="1" t="inlineStr">
        <is>
          <t>Электрические и гидравлические приводы и системы управления медицинским оборудованием.</t>
        </is>
      </c>
      <c r="I260" s="1" t="inlineStr">
        <is>
          <t>Гинекологические кресла; Родовые кровати; Медицинская мебель; Кушетки медицинские; Столы массажные; Операционные столы</t>
        </is>
      </c>
      <c r="J260" s="1">
        <f>IFERROR(__xludf.DUMMYFUNCTION("AI(Prompt!$B$6, H301:I301)"),"Производитель")</f>
        <v/>
      </c>
      <c r="K260" s="1">
        <f>IFERROR(__xludf.DUMMYFUNCTION("AI(Prompt!$B$12, H301:J301)"),"OK")</f>
        <v/>
      </c>
      <c r="L260" s="1">
        <f>IFERROR(__xludf.DUMMYFUNCTION("AI(Prompt!$B$17, H301:I301)"),"медицинская мебель и приводы")</f>
        <v/>
      </c>
      <c r="M260" s="1">
        <f>IFERROR(__xludf.DUMMYFUNCTION("AI(Prompt!$B$21,A301)"),"Polimot")</f>
        <v/>
      </c>
      <c r="N260" s="1" t="inlineStr">
        <is>
          <t>Здравоохранение-2025</t>
        </is>
      </c>
      <c r="O260" s="9" t="inlineStr">
        <is>
          <t>https://icatalog.expocentr.ru/ru/exhibitions/de590dc5-417d-11ee-80ce-a0d3c1fab97f</t>
        </is>
      </c>
    </row>
    <row r="261" ht="16" customHeight="1">
      <c r="A261" s="1" t="inlineStr">
        <is>
          <t>ВИПС-МЕД</t>
        </is>
      </c>
      <c r="B261" s="1" t="inlineStr">
        <is>
          <t>7C135</t>
        </is>
      </c>
      <c r="C261" s="1" t="inlineStr">
        <is>
          <t>Россия</t>
        </is>
      </c>
      <c r="D261" s="1" t="inlineStr">
        <is>
          <t>Фрязино</t>
        </is>
      </c>
      <c r="E261" s="1" t="inlineStr">
        <is>
          <t>Россия, 141190, Московская обл., г. Фрязино, тер. Восточная заводская промышленная, д. 3а, этаж 2, пом. 2003, каб. 23</t>
        </is>
      </c>
      <c r="F261" s="10" t="inlineStr">
        <is>
          <t>http://www.vipsmed.ru</t>
        </is>
      </c>
      <c r="G261" s="1" t="inlineStr">
        <is>
          <t>market@vipsmed.ru</t>
        </is>
      </c>
      <c r="H261" s="1" t="inlineStr">
        <is>
          <t>ООО "Фирма «ВИПС-МЕД» занимается производством операционных столов, медицинских изделий, лекарственных препаратов. Комплексное проектирование и строительство фармацевтических и медицинских объектов.</t>
        </is>
      </c>
      <c r="I261" s="1" t="inlineStr">
        <is>
          <t>Чистые помещения; Поставка медицинского оборудования и расходных материалов; Производство медицинских изделий; Комплектующие для производства медицинских изделий; Лекарственные средства; Операционные столы</t>
        </is>
      </c>
      <c r="J261" s="1">
        <f>IFERROR(__xludf.DUMMYFUNCTION("AI(Prompt!$B$6, H302:I302)"),"Производитель")</f>
        <v/>
      </c>
      <c r="K261" s="1">
        <f>IFERROR(__xludf.DUMMYFUNCTION("AI(Prompt!$B$12, H302:J302)"),"OK")</f>
        <v/>
      </c>
      <c r="L261" s="1">
        <f>IFERROR(__xludf.DUMMYFUNCTION("AI(Prompt!$B$17, H302:I302)"),"операционные столы, медицинские изделия и лекарственные средства")</f>
        <v/>
      </c>
      <c r="M261" s="1">
        <f>IFERROR(__xludf.DUMMYFUNCTION("AI(Prompt!$B$21,A302)"),"Випс-Мед")</f>
        <v/>
      </c>
      <c r="N261" s="1" t="inlineStr">
        <is>
          <t>Здравоохранение-2025</t>
        </is>
      </c>
      <c r="O261" s="9" t="inlineStr">
        <is>
          <t>https://icatalog.expocentr.ru/ru/exhibitions/de590dc5-417d-11ee-80ce-a0d3c1fab97f</t>
        </is>
      </c>
    </row>
    <row r="262" ht="16" customHeight="1">
      <c r="A262" s="1" t="inlineStr">
        <is>
          <t>ХААСС, ООО</t>
        </is>
      </c>
      <c r="B262" s="1" t="inlineStr">
        <is>
          <t>7D001</t>
        </is>
      </c>
      <c r="C262" s="1" t="inlineStr">
        <is>
          <t>Россия</t>
        </is>
      </c>
      <c r="D262" s="1" t="inlineStr">
        <is>
          <t>Москва</t>
        </is>
      </c>
      <c r="E262" s="1" t="inlineStr">
        <is>
          <t>Россия, 109235, г. Москва, вн. тер. г. м. о. Печатники, ул. 1-я Курьяновская, д. 34, стр. 8</t>
        </is>
      </c>
      <c r="F262" s="10" t="inlineStr">
        <is>
          <t>http://haass.ru</t>
        </is>
      </c>
      <c r="G262" s="1" t="inlineStr">
        <is>
          <t>info@haass.ru</t>
        </is>
      </c>
      <c r="H262" s="1" t="inlineStr">
        <is>
          <t>Компания «ХААСС» проектирует, производит и поставляет оборудование для систем медицинского газоснабжения, выполняет монтаж и ввод в эксплуатацию, предлагая решения мирового уровня.</t>
        </is>
      </c>
      <c r="I262" s="1" t="inlineStr">
        <is>
          <t>Проектирование, производство, монтаж, валидация чистых операционных и реанимационных; Оборудование для медицинских газов; Комплекты реанимационного оборудования; Потолочные консоли</t>
        </is>
      </c>
      <c r="J262" s="1">
        <f>IFERROR(__xludf.DUMMYFUNCTION("AI(Prompt!$B$6, H303:I303)"),"Производитель")</f>
        <v/>
      </c>
      <c r="K262" s="1">
        <f>IFERROR(__xludf.DUMMYFUNCTION("AI(Prompt!$B$12, H303:J303)"),"OK")</f>
        <v/>
      </c>
      <c r="L262" s="1">
        <f>IFERROR(__xludf.DUMMYFUNCTION("AI(Prompt!$B$17, H303:I303)"),"оборудование, комплекты, консоли")</f>
        <v/>
      </c>
      <c r="M262" s="1">
        <f>IFERROR(__xludf.DUMMYFUNCTION("AI(Prompt!$B$21,A303)"),"Хаасс")</f>
        <v/>
      </c>
      <c r="N262" s="1" t="inlineStr">
        <is>
          <t>Здравоохранение-2025</t>
        </is>
      </c>
      <c r="O262" s="9" t="inlineStr">
        <is>
          <t>https://icatalog.expocentr.ru/ru/exhibitions/de590dc5-417d-11ee-80ce-a0d3c1fab97f</t>
        </is>
      </c>
    </row>
    <row r="263" ht="16" customHeight="1">
      <c r="A263" s="1" t="inlineStr">
        <is>
          <t>АДД Медикал</t>
        </is>
      </c>
      <c r="B263" s="11" t="n">
        <v>7000000000000</v>
      </c>
      <c r="C263" s="1" t="inlineStr">
        <is>
          <t>Россия</t>
        </is>
      </c>
      <c r="D263" s="1" t="inlineStr">
        <is>
          <t>Нижний Новгород</t>
        </is>
      </c>
      <c r="E263" s="1" t="inlineStr">
        <is>
          <t>Россия, 603105, г. Нижний Новгород, ул. Верхнеудинская, д. 4</t>
        </is>
      </c>
      <c r="G263" s="1" t="inlineStr">
        <is>
          <t>Ddr@add-med.ru</t>
        </is>
      </c>
      <c r="H263" s="1" t="inlineStr">
        <is>
          <t>Компания является уполномоченным представителем завода Plasti-med (Турция) на территории РФ, реализует медицинские изделия для урологии, хирургии, реанимации.</t>
        </is>
      </c>
      <c r="I263" s="1" t="inlineStr">
        <is>
          <t>Инструменты урологические; Одноразовые медицинские изделия прочие; Принадлежности и расходные материалы для реанимации и экстренной помощи; Инструменты общехирургические</t>
        </is>
      </c>
      <c r="J263" s="1">
        <f>IFERROR(__xludf.DUMMYFUNCTION("AI(Prompt!$B$6, H304:I304)"),"Дилер")</f>
        <v/>
      </c>
      <c r="K263" s="1">
        <f>IFERROR(__xludf.DUMMYFUNCTION("AI(Prompt!$B$12, H304:J304)"),"OK")</f>
        <v/>
      </c>
      <c r="L263" s="1">
        <f>IFERROR(__xludf.DUMMYFUNCTION("AI(Prompt!$B$17, H304:I304)"),"медицинские изделия, инструменты и расходные материалы")</f>
        <v/>
      </c>
      <c r="M263" s="1">
        <f>IFERROR(__xludf.DUMMYFUNCTION("AI(Prompt!$B$21,A304)"),"АДД Медикал")</f>
        <v/>
      </c>
      <c r="N263" s="1" t="inlineStr">
        <is>
          <t>Здравоохранение-2025</t>
        </is>
      </c>
      <c r="O263" s="9" t="inlineStr">
        <is>
          <t>https://icatalog.expocentr.ru/ru/exhibitions/de590dc5-417d-11ee-80ce-a0d3c1fab97f</t>
        </is>
      </c>
    </row>
    <row r="264" ht="16" customHeight="1">
      <c r="A264" s="1" t="inlineStr">
        <is>
          <t>ИННОВАЦИОННАЯ ФИРМА МАРК, ООО</t>
        </is>
      </c>
      <c r="B264" s="11" t="n">
        <v>7e+132</v>
      </c>
      <c r="C264" s="1" t="inlineStr">
        <is>
          <t>Россия</t>
        </is>
      </c>
      <c r="E264" s="1" t="inlineStr">
        <is>
          <t>Россия, 121108, ул. Кастанаевская, д. 43, корп. 4, пом. V, оф. 1</t>
        </is>
      </c>
      <c r="F264" s="10" t="inlineStr">
        <is>
          <t>http://ifmark.ru</t>
        </is>
      </c>
      <c r="G264" s="1" t="inlineStr">
        <is>
          <t>sales@ifmark.ru</t>
        </is>
      </c>
      <c r="H264" s="1" t="inlineStr">
        <is>
          <t>Занимаемся производством изделий на основе силикона платиновой системы вулканизации из передовых материалов, разработанных в соответствии со строгими требованиями фармацевтики, медицины и биотехнологий.</t>
        </is>
      </c>
      <c r="I264" s="1" t="inlineStr">
        <is>
          <t>Расходные материалы для медицинского оборудования; Производство медицинских изделий; Оборудование и расходные материалы для проведения гемосорбции, гемодиализа и плазмофереза; Средства для оказания экстренной медицинской помощи; Оборудование для длительных вливаний крови и растворов</t>
        </is>
      </c>
      <c r="J264" s="1">
        <f>IFERROR(__xludf.DUMMYFUNCTION("AI(Prompt!$B$6, H305:I305)"),"Производитель")</f>
        <v/>
      </c>
      <c r="K264" s="1">
        <f>IFERROR(__xludf.DUMMYFUNCTION("AI(Prompt!$B$12, H305:J305)"),"OK")</f>
        <v/>
      </c>
      <c r="L264" s="1">
        <f>IFERROR(__xludf.DUMMYFUNCTION("AI(Prompt!$B$17, H305:I305)"),"изделия, расходные материалы и оборудование")</f>
        <v/>
      </c>
      <c r="M264" s="1">
        <f>IFERROR(__xludf.DUMMYFUNCTION("AI(Prompt!$B$21,A305)"),"Инновационная Фирма Марк")</f>
        <v/>
      </c>
      <c r="N264" s="1" t="inlineStr">
        <is>
          <t>Здравоохранение-2025</t>
        </is>
      </c>
      <c r="O264" s="9" t="inlineStr">
        <is>
          <t>https://icatalog.expocentr.ru/ru/exhibitions/de590dc5-417d-11ee-80ce-a0d3c1fab97f</t>
        </is>
      </c>
    </row>
    <row r="265" ht="16" customHeight="1">
      <c r="A265" s="1" t="inlineStr">
        <is>
          <t>ЭЛЕПС, НПФ, ООО</t>
        </is>
      </c>
      <c r="B265" s="1" t="inlineStr">
        <is>
          <t>7D010</t>
        </is>
      </c>
      <c r="C265" s="1" t="inlineStr">
        <is>
          <t>Россия</t>
        </is>
      </c>
      <c r="D265" s="1" t="inlineStr">
        <is>
          <t>Казань</t>
        </is>
      </c>
      <c r="E265" s="1" t="inlineStr">
        <is>
          <t>Россия, 420095, Республика Татарстан, г. Казань, тер. Химград, д. 156, оф. 14</t>
        </is>
      </c>
      <c r="F265" s="10" t="inlineStr">
        <is>
          <t>http://www.eleps.ru</t>
        </is>
      </c>
      <c r="G265" s="1" t="inlineStr">
        <is>
          <t>info@eleps.ru</t>
        </is>
      </c>
      <c r="H265" s="1" t="inlineStr">
        <is>
          <t>ООО НПФ «ЭЛЕПС» — российский производитель оборудования и инструментов эндохирургического комплекса. Более 30 лет опыта разработки и производства. Производство полного цикла. Тройная гарантия.</t>
        </is>
      </c>
      <c r="I265" s="1" t="inlineStr">
        <is>
          <t>Эндоскопы жесткие; Эндоскопические комплексы и системы; Оборудование и средства для лапароскопии; Инструменты и принадлежности для эндоскопии</t>
        </is>
      </c>
      <c r="J265" s="1">
        <f>IFERROR(__xludf.DUMMYFUNCTION("AI(Prompt!$B$6, H306:I306)"),"Производитель")</f>
        <v/>
      </c>
      <c r="K265" s="1">
        <f>IFERROR(__xludf.DUMMYFUNCTION("AI(Prompt!$B$12, H306:J306)"),"OK")</f>
        <v/>
      </c>
      <c r="L265" s="1">
        <f>IFERROR(__xludf.DUMMYFUNCTION("AI(Prompt!$B$17, H306:I306)"),"эндоскопы, комплексы, оборудование и инструменты")</f>
        <v/>
      </c>
      <c r="M265" s="1">
        <f>IFERROR(__xludf.DUMMYFUNCTION("AI(Prompt!$B$21,A306)"),"ЭЛЕПС, НПФ")</f>
        <v/>
      </c>
      <c r="N265" s="1" t="inlineStr">
        <is>
          <t>Здравоохранение-2025</t>
        </is>
      </c>
      <c r="O265" s="9" t="inlineStr">
        <is>
          <t>https://icatalog.expocentr.ru/ru/exhibitions/de590dc5-417d-11ee-80ce-a0d3c1fab97f</t>
        </is>
      </c>
    </row>
    <row r="266" ht="16" customHeight="1">
      <c r="A266" s="1" t="inlineStr">
        <is>
          <t>АБ МЕД, ООО</t>
        </is>
      </c>
      <c r="B266" s="11" t="n">
        <v>7e+100</v>
      </c>
      <c r="C266" s="1" t="inlineStr">
        <is>
          <t>Россия</t>
        </is>
      </c>
      <c r="D266" s="1" t="inlineStr">
        <is>
          <t>Москва</t>
        </is>
      </c>
      <c r="E266" s="1" t="inlineStr">
        <is>
          <t>Россия, г. Москва, ул. Гурьянова, д. 30, оф. 106</t>
        </is>
      </c>
      <c r="F266" s="10" t="inlineStr">
        <is>
          <t>https://www.avantainvest.com</t>
        </is>
      </c>
      <c r="G266" s="1" t="inlineStr">
        <is>
          <t>info@avantainvest.com</t>
        </is>
      </c>
      <c r="H266" s="1" t="inlineStr">
        <is>
          <t>Компания ООО «АБ Мед» является отечественным производителем медицинской мебели из металла, специального оборудования для стоматологических кабинетов, больниц, поликлиник, аптек и многого другого.</t>
        </is>
      </c>
      <c r="I266" s="1" t="inlineStr">
        <is>
          <t>Мебель для стоматологических кабинетов; Зуботехническое оборудование и инструменты; Производство медицинских изделий</t>
        </is>
      </c>
      <c r="J266" s="1">
        <f>IFERROR(__xludf.DUMMYFUNCTION("AI(Prompt!$B$6, H307:I307)"),"Производитель")</f>
        <v/>
      </c>
      <c r="K266" s="1">
        <f>IFERROR(__xludf.DUMMYFUNCTION("AI(Prompt!$B$12, H307:J307)"),"OK")</f>
        <v/>
      </c>
      <c r="L266" s="1">
        <f>IFERROR(__xludf.DUMMYFUNCTION("AI(Prompt!$B$17, H307:I307)"),"медицинская мебель, оборудование и инструменты")</f>
        <v/>
      </c>
      <c r="M266" s="1">
        <f>IFERROR(__xludf.DUMMYFUNCTION("AI(Prompt!$B$21,A307)"),"АБ МЕД")</f>
        <v/>
      </c>
      <c r="N266" s="1" t="inlineStr">
        <is>
          <t>Здравоохранение-2025</t>
        </is>
      </c>
      <c r="O266" s="9" t="inlineStr">
        <is>
          <t>https://icatalog.expocentr.ru/ru/exhibitions/de590dc5-417d-11ee-80ce-a0d3c1fab97f</t>
        </is>
      </c>
    </row>
    <row r="267" ht="16" customHeight="1">
      <c r="A267" s="1" t="inlineStr">
        <is>
          <t>БАЛУМЕД, ООО</t>
        </is>
      </c>
      <c r="B267" s="1" t="inlineStr">
        <is>
          <t>6D025</t>
        </is>
      </c>
      <c r="C267" s="1" t="inlineStr">
        <is>
          <t>Россия</t>
        </is>
      </c>
      <c r="D267" s="1" t="inlineStr">
        <is>
          <t>Ростов-на-Дону</t>
        </is>
      </c>
      <c r="E267" s="1" t="inlineStr">
        <is>
          <t>Россия, 344091, г. Ростов-на-Дону, ул. Малиновского, зд. 9а</t>
        </is>
      </c>
      <c r="F267" s="10" t="inlineStr">
        <is>
          <t>http://www.balumed.su</t>
        </is>
      </c>
      <c r="G267" s="1" t="inlineStr">
        <is>
          <t>info@balumed.su</t>
        </is>
      </c>
      <c r="H267" s="1" t="inlineStr">
        <is>
          <t>ООО «БАЛУМЕД» — российский производитель хирургических шовных материалов для всех отраслей хирургии. Более 20 лет мы производим шовные хирургические материалы и каждый день стремимся к совершенству.</t>
        </is>
      </c>
      <c r="I267" s="1" t="inlineStr">
        <is>
          <t>Одноразовые медицинские изделия прочие; Производство медицинских изделий; Шовный материал</t>
        </is>
      </c>
      <c r="J267" s="1">
        <f>IFERROR(__xludf.DUMMYFUNCTION("AI(Prompt!$B$6, H309:I309)"),"Производитель")</f>
        <v/>
      </c>
      <c r="K267" s="1">
        <f>IFERROR(__xludf.DUMMYFUNCTION("AI(Prompt!$B$12, H309:J309)"),"OK")</f>
        <v/>
      </c>
      <c r="L267" s="1">
        <f>IFERROR(__xludf.DUMMYFUNCTION("AI(Prompt!$B$17, H309:I309)"),"шовные материалы, одноразовые изделия")</f>
        <v/>
      </c>
      <c r="M267" s="1">
        <f>IFERROR(__xludf.DUMMYFUNCTION("AI(Prompt!$B$21,A309)"),"Балумед")</f>
        <v/>
      </c>
      <c r="N267" s="1" t="inlineStr">
        <is>
          <t>Здравоохранение-2025</t>
        </is>
      </c>
      <c r="O267" s="9" t="inlineStr">
        <is>
          <t>https://icatalog.expocentr.ru/ru/exhibitions/de590dc5-417d-11ee-80ce-a0d3c1fab97f</t>
        </is>
      </c>
    </row>
    <row r="268" ht="16" customHeight="1">
      <c r="A268" s="1" t="inlineStr">
        <is>
          <t>МЕДИЦИНСКИЕ ИЗДЕЛИЯ, ООО</t>
        </is>
      </c>
      <c r="B268" s="1" t="inlineStr">
        <is>
          <t>6C085</t>
        </is>
      </c>
      <c r="C268" s="1" t="inlineStr">
        <is>
          <t>Россия</t>
        </is>
      </c>
      <c r="D268" s="1" t="inlineStr">
        <is>
          <t>Казань</t>
        </is>
      </c>
      <c r="E268" s="1" t="inlineStr">
        <is>
          <t>Россия, 420061, Республика Татарстан, г. Казань, ул. Космонавтов, д. 39, оф. 102</t>
        </is>
      </c>
      <c r="F268" s="10" t="inlineStr">
        <is>
          <t>http://www.medizdelie.ru</t>
        </is>
      </c>
      <c r="G268" s="1" t="inlineStr">
        <is>
          <t>sale@medizdelie.ru</t>
        </is>
      </c>
      <c r="H268" s="1" t="inlineStr">
        <is>
          <t>ООО «Медицинские изделия» — компания-производитель расходных инструментов в области гинекологии, оториноларингологии, лабораторий.</t>
        </is>
      </c>
      <c r="I268" s="1" t="inlineStr">
        <is>
          <t>Инструменты гинекологические; Производство медицинских изделий; Расходные материалы для службы крови</t>
        </is>
      </c>
      <c r="J268" s="1">
        <f>IFERROR(__xludf.DUMMYFUNCTION("AI(Prompt!$B$6, H310:I310)"),"Производитель")</f>
        <v/>
      </c>
      <c r="K268" s="1">
        <f>IFERROR(__xludf.DUMMYFUNCTION("AI(Prompt!$B$12, H310:J310)"),"OK")</f>
        <v/>
      </c>
      <c r="L268" s="1">
        <f>IFERROR(__xludf.DUMMYFUNCTION("AI(Prompt!$B$17, H310:I310)"),"инструменты, расходные материалы")</f>
        <v/>
      </c>
      <c r="M268" s="1">
        <f>IFERROR(__xludf.DUMMYFUNCTION("AI(Prompt!$B$21,A310)"),"Медицинские Изделия")</f>
        <v/>
      </c>
      <c r="N268" s="1" t="inlineStr">
        <is>
          <t>Здравоохранение-2025</t>
        </is>
      </c>
      <c r="O268" s="9" t="inlineStr">
        <is>
          <t>https://icatalog.expocentr.ru/ru/exhibitions/de590dc5-417d-11ee-80ce-a0d3c1fab97f</t>
        </is>
      </c>
    </row>
    <row r="269" ht="16" customHeight="1">
      <c r="A269" s="1" t="inlineStr">
        <is>
          <t>ТОПМЕД, ООО</t>
        </is>
      </c>
      <c r="B269" s="1" t="inlineStr">
        <is>
          <t>6B050</t>
        </is>
      </c>
      <c r="C269" s="1" t="inlineStr">
        <is>
          <t>Россия</t>
        </is>
      </c>
      <c r="D269" s="1" t="inlineStr">
        <is>
          <t>Москва</t>
        </is>
      </c>
      <c r="E269" s="1" t="inlineStr">
        <is>
          <t>Россия, 129301, г. Москва, ул. Космонавтов, д. 18, корп. 2, пом. II, оф. 12</t>
        </is>
      </c>
      <c r="F269" s="10" t="inlineStr">
        <is>
          <t>http://medikom.ru</t>
        </is>
      </c>
      <c r="G269" s="1" t="inlineStr">
        <is>
          <t>info@topmed.com.ru</t>
        </is>
      </c>
      <c r="H269" s="1" t="inlineStr">
        <is>
          <t>Компания «ТОПМЕД» — производитель и дистрибьютор широкого ассортимента медицинских изделий. Продуктовый портфель — более 3000 современных медицинских изделий, среди которых есть уникальные товары.</t>
        </is>
      </c>
      <c r="I269" s="1" t="inlineStr">
        <is>
          <t>Диагностическое оборудование для гинекологии; Инструменты и принадлежности для инъекций  и взятия крови; Одноразовые медицинские изделия прочие; Термометры; Расходные материалы для службы крови; Принадлежности и расходные материалы для реанимации и экстренной помощи</t>
        </is>
      </c>
      <c r="J269" s="1">
        <f>IFERROR(__xludf.DUMMYFUNCTION("AI(Prompt!$B$6, H311:I311)"),"Производитель")</f>
        <v/>
      </c>
      <c r="K269" s="1">
        <f>IFERROR(__xludf.DUMMYFUNCTION("AI(Prompt!$B$12, H311:J311)"),"OK")</f>
        <v/>
      </c>
      <c r="L269" s="1">
        <f>IFERROR(__xludf.DUMMYFUNCTION("AI(Prompt!$B$17, H311:I311)"),"медицинские изделия, диагностическое оборудование, термометры, расходные материалы и принадлежности")</f>
        <v/>
      </c>
      <c r="M269" s="1">
        <f>IFERROR(__xludf.DUMMYFUNCTION("AI(Prompt!$B$21,A311)"),"Топмед")</f>
        <v/>
      </c>
      <c r="N269" s="1" t="inlineStr">
        <is>
          <t>Здравоохранение-2025</t>
        </is>
      </c>
      <c r="O269" s="9" t="inlineStr">
        <is>
          <t>https://icatalog.expocentr.ru/ru/exhibitions/de590dc5-417d-11ee-80ce-a0d3c1fab97f</t>
        </is>
      </c>
    </row>
    <row r="270" ht="16" customHeight="1">
      <c r="A270" s="1" t="inlineStr">
        <is>
          <t>НЕФРОН, НПО, ООО</t>
        </is>
      </c>
      <c r="B270" s="1" t="inlineStr">
        <is>
          <t>6C115</t>
        </is>
      </c>
      <c r="C270" s="1" t="inlineStr">
        <is>
          <t>Россия</t>
        </is>
      </c>
      <c r="D270" s="1" t="inlineStr">
        <is>
          <t>Санкт-Петербург</t>
        </is>
      </c>
      <c r="E270" s="1" t="inlineStr">
        <is>
          <t>Россия, 198095, г. Санкт-Петербург, ул. Маршала Говорова, д. 52, литера А, пом. 36-Н, БЦ «Алкотел-Инвест»</t>
        </is>
      </c>
      <c r="F270" s="10" t="inlineStr">
        <is>
          <t>http://www.nephron.ru</t>
        </is>
      </c>
      <c r="G270" s="1" t="inlineStr">
        <is>
          <t>orishack@nephron.ru</t>
        </is>
      </c>
      <c r="H270" s="1" t="inlineStr">
        <is>
          <t>Старейший отечественный производитель расходных материалов для гемодиализа. Собственное производство. Полный спектр расходных материалов для гемодиализа. Официальный дистрибьютор SWS Medical group.</t>
        </is>
      </c>
      <c r="I270" s="1" t="inlineStr">
        <is>
          <t>Средства химической дезинфекции и стерилизации; Дезинфицирующие средства и материалы; Одноразовые медицинские изделия прочие; Расходные материалы для медицинского оборудования; Оборудование и расходные материалы для проведения гемосорбции, гемодиализа и плазмофереза</t>
        </is>
      </c>
      <c r="J270" s="1">
        <f>IFERROR(__xludf.DUMMYFUNCTION("AI(Prompt!$B$6, H312:I312)"),"Производитель")</f>
        <v/>
      </c>
      <c r="K270" s="1">
        <f>IFERROR(__xludf.DUMMYFUNCTION("AI(Prompt!$B$12, H312:J312)"),"OK")</f>
        <v/>
      </c>
      <c r="L270" s="1">
        <f>IFERROR(__xludf.DUMMYFUNCTION("AI(Prompt!$B$17, H312:I312)"),"расходные материалы, дезинфицирующие средства и медицинские изделия")</f>
        <v/>
      </c>
      <c r="M270" s="1">
        <f>IFERROR(__xludf.DUMMYFUNCTION("AI(Prompt!$B$21,A312)"),"НЕФРОН, НПО")</f>
        <v/>
      </c>
      <c r="N270" s="1" t="inlineStr">
        <is>
          <t>Здравоохранение-2025</t>
        </is>
      </c>
      <c r="O270" s="9" t="inlineStr">
        <is>
          <t>https://icatalog.expocentr.ru/ru/exhibitions/de590dc5-417d-11ee-80ce-a0d3c1fab97f</t>
        </is>
      </c>
    </row>
    <row r="271" ht="16" customHeight="1">
      <c r="A271" s="1" t="inlineStr">
        <is>
          <t>АРМАЛАЙН, ООО</t>
        </is>
      </c>
      <c r="B271" s="11" t="n">
        <v>6e+70</v>
      </c>
      <c r="C271" s="1" t="inlineStr">
        <is>
          <t>Россия</t>
        </is>
      </c>
      <c r="D271" s="1" t="inlineStr">
        <is>
          <t>Краснодар</t>
        </is>
      </c>
      <c r="E271" s="1" t="inlineStr">
        <is>
          <t>Россия, 350910, г. Краснодар, Пашковский жилой массив, пр-д им. Крупской, д. 11, оф. 1</t>
        </is>
      </c>
      <c r="F271" s="10" t="inlineStr">
        <is>
          <t>http://www.armaline.ru</t>
        </is>
      </c>
      <c r="G271" s="1" t="inlineStr">
        <is>
          <t>info@armaline.ru</t>
        </is>
      </c>
      <c r="H271" s="1" t="inlineStr">
        <is>
          <t>«Армалайн» — российское предприятие по производству хирургического шовного материала для любых отраслей медицины от общей хирургии до офтальмологии.</t>
        </is>
      </c>
      <c r="I271" s="1" t="inlineStr">
        <is>
          <t>Материалы и инструменты для костной пластики и челюстно-лицевой хирургии; Производство медицинских изделий; Шовный материал</t>
        </is>
      </c>
      <c r="J271" s="1">
        <f>IFERROR(__xludf.DUMMYFUNCTION("AI(Prompt!$B$6, H313:I313)"),"Производитель")</f>
        <v/>
      </c>
      <c r="K271" s="1">
        <f>IFERROR(__xludf.DUMMYFUNCTION("AI(Prompt!$B$12, H313:J313)"),"OK")</f>
        <v/>
      </c>
      <c r="L271" s="1">
        <f>IFERROR(__xludf.DUMMYFUNCTION("AI(Prompt!$B$17, H313:I313)"),"шовный материал, материалы и инструменты")</f>
        <v/>
      </c>
      <c r="M271" s="1">
        <f>IFERROR(__xludf.DUMMYFUNCTION("AI(Prompt!$B$21,A313)"),"Армалайн")</f>
        <v/>
      </c>
      <c r="N271" s="1" t="inlineStr">
        <is>
          <t>Здравоохранение-2025</t>
        </is>
      </c>
      <c r="O271" s="9" t="inlineStr">
        <is>
          <t>https://icatalog.expocentr.ru/ru/exhibitions/de590dc5-417d-11ee-80ce-a0d3c1fab97f</t>
        </is>
      </c>
    </row>
    <row r="272" ht="16" customHeight="1">
      <c r="A272" s="1" t="inlineStr">
        <is>
          <t>ВИТ МЕДИКАЛ, ООО</t>
        </is>
      </c>
      <c r="B272" s="1" t="inlineStr">
        <is>
          <t>6A025</t>
        </is>
      </c>
      <c r="C272" s="1" t="inlineStr">
        <is>
          <t>Россия</t>
        </is>
      </c>
      <c r="D272" s="1" t="inlineStr">
        <is>
          <t>Москва</t>
        </is>
      </c>
      <c r="E272" s="1" t="inlineStr">
        <is>
          <t>Россия, 123458, г. Москва, ул. Твардовского, д. 8, стр. 1, пом. 1, комн. 3, этаж 3</t>
        </is>
      </c>
      <c r="F272" s="10" t="inlineStr">
        <is>
          <t>http://vit-medical.com</t>
        </is>
      </c>
      <c r="G272" s="1" t="inlineStr">
        <is>
          <t>info@vit-medical.com</t>
        </is>
      </c>
      <c r="H272" s="1" t="inlineStr">
        <is>
          <t>Компания ООО «ВИТ Медикал» занимается разработкой и производством отечественных аппаратов для вакуумной и вакуум-инстилляционной терапии ран с широким спектром расходных материалов.</t>
        </is>
      </c>
      <c r="I272" s="1" t="inlineStr">
        <is>
          <t>Хирургическое оборудование; Вакуумные экстракторы, аспираторы</t>
        </is>
      </c>
      <c r="J272" s="1">
        <f>IFERROR(__xludf.DUMMYFUNCTION("AI(Prompt!$B$6, H314:I314)"),"Производитель")</f>
        <v/>
      </c>
      <c r="K272" s="1">
        <f>IFERROR(__xludf.DUMMYFUNCTION("AI(Prompt!$B$12, H314:J314)"),"OK")</f>
        <v/>
      </c>
      <c r="L272" s="1">
        <f>IFERROR(__xludf.DUMMYFUNCTION("AI(Prompt!$B$17, H314:I314)"),"аппараты, расходные материалы, экстракторы и аспираторы")</f>
        <v/>
      </c>
      <c r="M272" s="1">
        <f>IFERROR(__xludf.DUMMYFUNCTION("AI(Prompt!$B$21,A314)"),"Вит Медикал")</f>
        <v/>
      </c>
      <c r="N272" s="1" t="inlineStr">
        <is>
          <t>Здравоохранение-2025</t>
        </is>
      </c>
      <c r="O272" s="9" t="inlineStr">
        <is>
          <t>https://icatalog.expocentr.ru/ru/exhibitions/de590dc5-417d-11ee-80ce-a0d3c1fab97f</t>
        </is>
      </c>
    </row>
    <row r="273" ht="16" customHeight="1">
      <c r="A273" s="1" t="inlineStr">
        <is>
          <t>МОСРЕГИСТРАТОР</t>
        </is>
      </c>
      <c r="B273" s="1" t="inlineStr">
        <is>
          <t>6D005</t>
        </is>
      </c>
      <c r="C273" s="1" t="inlineStr">
        <is>
          <t>Россия</t>
        </is>
      </c>
      <c r="D273" s="1" t="inlineStr">
        <is>
          <t>Москва</t>
        </is>
      </c>
      <c r="E273" s="1" t="inlineStr">
        <is>
          <t>Россия, 115432, г. Москва, 4062-й Проектируемый пр-д, д. 6, стр. 16, этаж 3, оф. 26</t>
        </is>
      </c>
      <c r="F273" s="10" t="inlineStr">
        <is>
          <t>https://bigpravo.ru</t>
        </is>
      </c>
      <c r="G273" s="1" t="inlineStr">
        <is>
          <t>info@mos-registrator.com</t>
        </is>
      </c>
      <c r="H273" s="1" t="inlineStr">
        <is>
          <t>Лицензирование медицинских клиник, регистрация медицинских изделий по национальной системе и ЕАЭС, регистрация и защита интеллектуальной собственности, юридическое сопровождение деятельности клиник.</t>
        </is>
      </c>
      <c r="I273" s="1" t="inlineStr">
        <is>
          <t>Инструменты гинекологические; Приборы и аппараты для офтальмодиагностики; Системы и инструменты для дентальной имплантации; Производство медицинских изделий; Лабораторное оборудование; Хирургические инструменты</t>
        </is>
      </c>
      <c r="J273" s="1">
        <f>IFERROR(__xludf.DUMMYFUNCTION("AI(Prompt!$B$6, H315:I315)"),"Производитель")</f>
        <v/>
      </c>
      <c r="K273" s="1">
        <f>IFERROR(__xludf.DUMMYFUNCTION("AI(Prompt!$B$12, H315:J315)"),"OK")</f>
        <v/>
      </c>
      <c r="L273" s="1">
        <f>IFERROR(__xludf.DUMMYFUNCTION("AI(Prompt!$B$17, H315:I315)"),"инструменты гинекологические, приборы и аппараты, системы и инструменты, оборудование лабораторное")</f>
        <v/>
      </c>
      <c r="M273" s="1">
        <f>IFERROR(__xludf.DUMMYFUNCTION("AI(Prompt!$B$21,A315)"),"Мосрегистратор")</f>
        <v/>
      </c>
      <c r="N273" s="1" t="inlineStr">
        <is>
          <t>Здравоохранение-2025</t>
        </is>
      </c>
      <c r="O273" s="9" t="inlineStr">
        <is>
          <t>https://icatalog.expocentr.ru/ru/exhibitions/de590dc5-417d-11ee-80ce-a0d3c1fab97f</t>
        </is>
      </c>
    </row>
    <row r="274" ht="16" customHeight="1">
      <c r="A274" s="1" t="inlineStr">
        <is>
          <t>АПЕКС ГРУППА, ООО</t>
        </is>
      </c>
      <c r="B274" s="1" t="inlineStr">
        <is>
          <t>6F065</t>
        </is>
      </c>
      <c r="C274" s="1" t="inlineStr">
        <is>
          <t>Россия</t>
        </is>
      </c>
      <c r="D274" s="1" t="inlineStr">
        <is>
          <t>Москва</t>
        </is>
      </c>
      <c r="E274" s="1" t="inlineStr">
        <is>
          <t>Россия, 109518, г. Москва, ул. Грайвороновская, д. 13, стр. 1</t>
        </is>
      </c>
      <c r="F274" s="10" t="inlineStr">
        <is>
          <t>http://www.apexlab.ru</t>
        </is>
      </c>
      <c r="G274" s="1" t="inlineStr">
        <is>
          <t>ydm@apexlab.ru</t>
        </is>
      </c>
      <c r="H274" s="1" t="inlineStr">
        <is>
          <t>С 1998 года предлагаем решения под любые потребности клинико-диагностических, бактериологических, иммунобиологических и промышленных лабораторий и предоставляем выгодные условия сотрудничества от прямого поставщика лабораторного оборудования, посуды и расходных материалов.</t>
        </is>
      </c>
      <c r="I274" s="1" t="inlineStr">
        <is>
          <t>Центрифуги; Пипетки и пипеточные устройства; Генетика и молекулярная генетика; Гематология; Биохимия; Клиническая химия; ПЦР-диагностика; Расходные материалы для службы крови</t>
        </is>
      </c>
      <c r="J274" s="1">
        <f>IFERROR(__xludf.DUMMYFUNCTION("AI(Prompt!$B$6, H316:I316)"),"Дилер")</f>
        <v/>
      </c>
      <c r="K274" s="1">
        <f>IFERROR(__xludf.DUMMYFUNCTION("AI(Prompt!$B$12, H316:J316)"),"OK")</f>
        <v/>
      </c>
      <c r="L274" s="1">
        <f>IFERROR(__xludf.DUMMYFUNCTION("AI(Prompt!$B$17, H316:I316)"),"лабораторное оборудование, посуда и расходные материалы")</f>
        <v/>
      </c>
      <c r="M274" s="1">
        <f>IFERROR(__xludf.DUMMYFUNCTION("AI(Prompt!$B$21,A316)"),"Апекс Группа")</f>
        <v/>
      </c>
      <c r="N274" s="1" t="inlineStr">
        <is>
          <t>Здравоохранение-2025</t>
        </is>
      </c>
      <c r="O274" s="9" t="inlineStr">
        <is>
          <t>https://icatalog.expocentr.ru/ru/exhibitions/de590dc5-417d-11ee-80ce-a0d3c1fab97f</t>
        </is>
      </c>
    </row>
    <row r="275" ht="16" customHeight="1">
      <c r="A275" s="1" t="inlineStr">
        <is>
          <t>ТДЛ ТЕКСТИЛЬ, ООО</t>
        </is>
      </c>
      <c r="B275" s="1" t="inlineStr">
        <is>
          <t>6C070</t>
        </is>
      </c>
      <c r="C275" s="1" t="inlineStr">
        <is>
          <t>Россия</t>
        </is>
      </c>
      <c r="D275" s="1" t="inlineStr">
        <is>
          <t>Иваново</t>
        </is>
      </c>
      <c r="E275" s="1" t="inlineStr">
        <is>
          <t>Россия, 153027, г. Иваново, ул. Павла Большевикова, д. 27, стр. 9</t>
        </is>
      </c>
      <c r="F275" s="10" t="inlineStr">
        <is>
          <t>http://www.tdl-textile.ru</t>
        </is>
      </c>
      <c r="G275" s="1" t="inlineStr">
        <is>
          <t>vladimir_pot@atdl.ru</t>
        </is>
      </c>
      <c r="H275" s="1" t="inlineStr">
        <is>
          <t>Производственная компания «ТДЛ Текстиль», основанная в 1995 году, является крупнейшим производителем медицинских изделий и абсолютным лидером на российском рынке марли и перевязочных материалов.</t>
        </is>
      </c>
      <c r="I275" s="1" t="inlineStr">
        <is>
          <t>Перевязочные средства</t>
        </is>
      </c>
      <c r="J275" s="1">
        <f>IFERROR(__xludf.DUMMYFUNCTION("AI(Prompt!$B$6, H317:I317)"),"Производитель")</f>
        <v/>
      </c>
      <c r="K275" s="1">
        <f>IFERROR(__xludf.DUMMYFUNCTION("AI(Prompt!$B$12, H317:J317)"),"OK")</f>
        <v/>
      </c>
      <c r="L275" s="1">
        <f>IFERROR(__xludf.DUMMYFUNCTION("AI(Prompt!$B$17, H317:I317)"),"медицинские изделия, марля и перевязочные материалы")</f>
        <v/>
      </c>
      <c r="M275" s="1">
        <f>IFERROR(__xludf.DUMMYFUNCTION("AI(Prompt!$B$21,A317)"),"Тдл Текстиль")</f>
        <v/>
      </c>
      <c r="N275" s="1" t="inlineStr">
        <is>
          <t>Здравоохранение-2025</t>
        </is>
      </c>
      <c r="O275" s="9" t="inlineStr">
        <is>
          <t>https://icatalog.expocentr.ru/ru/exhibitions/de590dc5-417d-11ee-80ce-a0d3c1fab97f</t>
        </is>
      </c>
    </row>
    <row r="276" ht="16" customHeight="1">
      <c r="A276" s="1" t="inlineStr">
        <is>
          <t>ЗДРАВМЕДТЕХ-Н, ООО</t>
        </is>
      </c>
      <c r="B276" s="1" t="inlineStr">
        <is>
          <t>6D080</t>
        </is>
      </c>
      <c r="C276" s="1" t="inlineStr">
        <is>
          <t>Россия</t>
        </is>
      </c>
      <c r="D276" s="1" t="inlineStr">
        <is>
          <t>Новосибирск</t>
        </is>
      </c>
      <c r="E276" s="1" t="inlineStr">
        <is>
          <t>Россия, 630091, г. Новосибирск, ул. Советская, д. 64/1-603</t>
        </is>
      </c>
      <c r="F276" s="10" t="inlineStr">
        <is>
          <t>http://www.zmtn.ru</t>
        </is>
      </c>
      <c r="G276" s="1" t="inlineStr">
        <is>
          <t>marketing@zmt-nsk.ru</t>
        </is>
      </c>
      <c r="H276" s="1" t="inlineStr">
        <is>
          <t>Предприятие «Здравмедтех-Новосибирск» специализируется на производстве одноразовой медицинской одежды и хирургических комплектов, используемых при оказании различных видов медицинской помощи.</t>
        </is>
      </c>
      <c r="I276" s="1" t="inlineStr">
        <is>
          <t>Одноразовые медицинские изделия прочие</t>
        </is>
      </c>
      <c r="J276" s="1">
        <f>IFERROR(__xludf.DUMMYFUNCTION("AI(Prompt!$B$6, H318:I318)"),"Производитель")</f>
        <v/>
      </c>
      <c r="K276" s="1">
        <f>IFERROR(__xludf.DUMMYFUNCTION("AI(Prompt!$B$12, H318:J318)"),"OK")</f>
        <v/>
      </c>
      <c r="L276" s="1">
        <f>IFERROR(__xludf.DUMMYFUNCTION("AI(Prompt!$B$17, H318:I318)"),"медицинская одежда и хирургические комплекты")</f>
        <v/>
      </c>
      <c r="M276" s="1">
        <f>IFERROR(__xludf.DUMMYFUNCTION("AI(Prompt!$B$21,A318)"),"Здравмедтех-Н")</f>
        <v/>
      </c>
      <c r="N276" s="1" t="inlineStr">
        <is>
          <t>Здравоохранение-2025</t>
        </is>
      </c>
      <c r="O276" s="9" t="inlineStr">
        <is>
          <t>https://icatalog.expocentr.ru/ru/exhibitions/de590dc5-417d-11ee-80ce-a0d3c1fab97f</t>
        </is>
      </c>
    </row>
    <row r="277" ht="16" customHeight="1">
      <c r="A277" s="1" t="inlineStr">
        <is>
          <t>ПЕРВЫЙ ТЕРМОМЕТРОВЫЙ ЗАВОД, ООО</t>
        </is>
      </c>
      <c r="B277" s="11" t="n">
        <v>6e+116</v>
      </c>
      <c r="C277" s="1" t="inlineStr">
        <is>
          <t>Россия</t>
        </is>
      </c>
      <c r="D277" s="1" t="inlineStr">
        <is>
          <t>Москва</t>
        </is>
      </c>
      <c r="E277" s="1" t="inlineStr">
        <is>
          <t>Россия, 121471, г. Москва, ул. Рябиновая, д. 69, стр. 1</t>
        </is>
      </c>
      <c r="F277" s="10" t="inlineStr">
        <is>
          <t>http://www.1thermometer.ru</t>
        </is>
      </c>
      <c r="G277" s="1" t="inlineStr">
        <is>
          <t>optmanager@1thermometer.ru</t>
        </is>
      </c>
      <c r="H277" s="1" t="inlineStr">
        <is>
          <t>ООО «Первый термометровый завод» является производителем средств измерения и термометров бытового назначения на территории Российской Федерации.</t>
        </is>
      </c>
      <c r="I277" s="1" t="inlineStr">
        <is>
          <t>Производство медицинских изделий</t>
        </is>
      </c>
      <c r="J277" s="1">
        <f>IFERROR(__xludf.DUMMYFUNCTION("AI(Prompt!$B$6, H319:I319)"),"Производитель")</f>
        <v/>
      </c>
      <c r="K277" s="1">
        <f>IFERROR(__xludf.DUMMYFUNCTION("AI(Prompt!$B$12, H319:J319)"),"OK")</f>
        <v/>
      </c>
      <c r="L277" s="1">
        <f>IFERROR(__xludf.DUMMYFUNCTION("AI(Prompt!$B$17, H319:I319)"),"средства измерения и термометры")</f>
        <v/>
      </c>
      <c r="M277" s="1">
        <f>IFERROR(__xludf.DUMMYFUNCTION("AI(Prompt!$B$21,A319)"),"Первый Термометровый Завод")</f>
        <v/>
      </c>
      <c r="N277" s="1" t="inlineStr">
        <is>
          <t>Здравоохранение-2025</t>
        </is>
      </c>
      <c r="O277" s="9" t="inlineStr">
        <is>
          <t>https://icatalog.expocentr.ru/ru/exhibitions/de590dc5-417d-11ee-80ce-a0d3c1fab97f</t>
        </is>
      </c>
    </row>
    <row r="278" ht="16" customHeight="1">
      <c r="A278" s="1" t="inlineStr">
        <is>
          <t>МЕДМИЛ, ПП, ООО</t>
        </is>
      </c>
      <c r="B278" s="11" t="n">
        <v>6e+110</v>
      </c>
      <c r="C278" s="1" t="inlineStr">
        <is>
          <t>Россия</t>
        </is>
      </c>
      <c r="D278" s="1" t="inlineStr">
        <is>
          <t>Катайск</t>
        </is>
      </c>
      <c r="E278" s="1" t="inlineStr">
        <is>
          <t>Россия, 641703, Курганская обл., г. Катайск, ул. Голикова, зд. 102, оф. 21</t>
        </is>
      </c>
      <c r="F278" s="10" t="inlineStr">
        <is>
          <t>http://www.medmill.ru</t>
        </is>
      </c>
      <c r="G278" s="1" t="inlineStr">
        <is>
          <t>medmill@medmill.ru</t>
        </is>
      </c>
      <c r="H278" s="1" t="inlineStr">
        <is>
          <t>«МЕДМИЛ» — российский производитель одноразовых впитывающих пеленок, женских гигиенических прокладок, а также одноразового медицинского белья.</t>
        </is>
      </c>
      <c r="I278" s="1" t="inlineStr">
        <is>
          <t>Гигиенические изделия для больниц; Одноразовые медицинские изделия прочие; Производство медицинских изделий</t>
        </is>
      </c>
      <c r="J278" s="1">
        <f>IFERROR(__xludf.DUMMYFUNCTION("AI(Prompt!$B$6, H320:I320)"),"Производитель")</f>
        <v/>
      </c>
      <c r="K278" s="1">
        <f>IFERROR(__xludf.DUMMYFUNCTION("AI(Prompt!$B$12, H320:J320)"),"OK")</f>
        <v/>
      </c>
      <c r="L278" s="1">
        <f>IFERROR(__xludf.DUMMYFUNCTION("AI(Prompt!$B$17, H320:I320)"),"пеленки, прокладки и белье")</f>
        <v/>
      </c>
      <c r="M278" s="1">
        <f>IFERROR(__xludf.DUMMYFUNCTION("AI(Prompt!$B$21,A320)"),"Медмил")</f>
        <v/>
      </c>
      <c r="N278" s="1" t="inlineStr">
        <is>
          <t>Здравоохранение-2025</t>
        </is>
      </c>
      <c r="O278" s="9" t="inlineStr">
        <is>
          <t>https://icatalog.expocentr.ru/ru/exhibitions/de590dc5-417d-11ee-80ce-a0d3c1fab97f</t>
        </is>
      </c>
    </row>
    <row r="279" ht="16" customHeight="1">
      <c r="A279" s="1" t="inlineStr">
        <is>
          <t>МЕДАППАРАТУРА КПО, ООО</t>
        </is>
      </c>
      <c r="B279" s="11" t="n">
        <v>6e+112</v>
      </c>
      <c r="C279" s="1" t="inlineStr">
        <is>
          <t>Россия</t>
        </is>
      </c>
      <c r="D279" s="1" t="inlineStr">
        <is>
          <t>Москва</t>
        </is>
      </c>
      <c r="E279" s="1" t="inlineStr">
        <is>
          <t>Россия, г. Москва, вн. тер. г. м. о. Измайлово, Измайловское ш., д. 71, корп. 3В, стр. 1</t>
        </is>
      </c>
      <c r="F279" s="10" t="inlineStr">
        <is>
          <t>http://www.medapparatura.ru</t>
        </is>
      </c>
      <c r="G279" s="1" t="inlineStr">
        <is>
          <t>medapparatura@mail.ru</t>
        </is>
      </c>
      <c r="H279" s="1" t="inlineStr">
        <is>
          <t>Поставки инструментов и расходных материалов для проведения процедур ЭКО и ИКСИ. Официальный представитель MINVITRO. Сотрудничество с клиниками в области репродуктивных технологий.</t>
        </is>
      </c>
      <c r="I279" s="1" t="inlineStr">
        <is>
          <t>Инструменты гинекологические; Диагностическое оборудование для гинекологии; Одноразовые медицинские изделия прочие; Расходные материалы для медицинского оборудования; Пипетки и пипеточные устройства</t>
        </is>
      </c>
      <c r="J279" s="1">
        <f>IFERROR(__xludf.DUMMYFUNCTION("AI(Prompt!$B$6, H321:I321)"),"Дилер")</f>
        <v/>
      </c>
      <c r="K279" s="1">
        <f>IFERROR(__xludf.DUMMYFUNCTION("AI(Prompt!$B$12, H321:J321)"),"OK")</f>
        <v/>
      </c>
      <c r="L279" s="1">
        <f>IFERROR(__xludf.DUMMYFUNCTION("AI(Prompt!$B$17, H321:I321)"),"инструменты, расходные материалы, пипетки и оборудование")</f>
        <v/>
      </c>
      <c r="M279" s="1">
        <f>IFERROR(__xludf.DUMMYFUNCTION("AI(Prompt!$B$21,A321)"),"Медаппаратура КПО")</f>
        <v/>
      </c>
      <c r="N279" s="1" t="inlineStr">
        <is>
          <t>Здравоохранение-2025</t>
        </is>
      </c>
      <c r="O279" s="9" t="inlineStr">
        <is>
          <t>https://icatalog.expocentr.ru/ru/exhibitions/de590dc5-417d-11ee-80ce-a0d3c1fab97f</t>
        </is>
      </c>
    </row>
    <row r="280" hidden="1" ht="16" customHeight="1">
      <c r="A280" s="1" t="inlineStr">
        <is>
          <t>АССОМЕДИКА, ООО</t>
        </is>
      </c>
      <c r="B280" s="1" t="inlineStr">
        <is>
          <t>6B080</t>
        </is>
      </c>
      <c r="C280" s="1" t="inlineStr">
        <is>
          <t>Республика Беларусь</t>
        </is>
      </c>
      <c r="E280" s="1" t="inlineStr">
        <is>
          <t>Республика Беларусь, 222210, Минская обл., Смолевичский р-н, Китайско-Белорусский индустриальный парк «Великий камень», ул. Сапфировая, д. 22</t>
        </is>
      </c>
      <c r="F280" s="10" t="inlineStr">
        <is>
          <t>http://www.asomedica.by</t>
        </is>
      </c>
      <c r="G280" s="1" t="inlineStr">
        <is>
          <t>office@asomedica.by</t>
        </is>
      </c>
      <c r="H280" s="1" t="inlineStr">
        <is>
          <t>Ведущий производитель медицинских расходных материалов для анестезии и реанимации из Беларуси. «Ассомедика» предлагает решения для медицинских учреждений и профессионалов в области здравоохранения.</t>
        </is>
      </c>
      <c r="I280" s="1" t="inlineStr">
        <is>
          <t>Расходные материалы для медицинского оборудования; Средства для оказания экстренной медицинской помощи; Принадлежности и расходные материалы для реанимации и экстренной помощи</t>
        </is>
      </c>
      <c r="J280" s="1">
        <f>IFERROR(__xludf.DUMMYFUNCTION("AI(Prompt!$B$6, H322:I322)"),"Производитель")</f>
        <v/>
      </c>
      <c r="K280" s="1">
        <f>IFERROR(__xludf.DUMMYFUNCTION("AI(Prompt!$B$12, H322:J322)"),"OK")</f>
        <v/>
      </c>
      <c r="L280" s="1">
        <f>IFERROR(__xludf.DUMMYFUNCTION("AI(Prompt!$B$17, H322:I322)"),"расходные материалы и средства")</f>
        <v/>
      </c>
      <c r="M280" s="1">
        <f>IFERROR(__xludf.DUMMYFUNCTION("AI(Prompt!$B$21,A322)"),"Ассомедика")</f>
        <v/>
      </c>
      <c r="N280" s="1" t="inlineStr">
        <is>
          <t>Здравоохранение-2025</t>
        </is>
      </c>
      <c r="O280" s="9" t="inlineStr">
        <is>
          <t>https://icatalog.expocentr.ru/ru/exhibitions/de590dc5-417d-11ee-80ce-a0d3c1fab97f</t>
        </is>
      </c>
    </row>
    <row r="281" ht="16" customHeight="1">
      <c r="A281" s="1" t="inlineStr">
        <is>
          <t>МЕДПРОЕКТ, ООО</t>
        </is>
      </c>
      <c r="B281" s="1" t="inlineStr">
        <is>
          <t>6F040</t>
        </is>
      </c>
      <c r="C281" s="1" t="inlineStr">
        <is>
          <t>Россия</t>
        </is>
      </c>
      <c r="D281" s="1" t="inlineStr">
        <is>
          <t>Москва</t>
        </is>
      </c>
      <c r="E281" s="1" t="inlineStr">
        <is>
          <t>Россия, 129626, г. Москва, просп. Мира, д. 102, стр. 34, комн. 14</t>
        </is>
      </c>
      <c r="F281" s="10" t="inlineStr">
        <is>
          <t>https://medproekt.msk.ru</t>
        </is>
      </c>
      <c r="G281" s="1" t="inlineStr">
        <is>
          <t>info@medproekt.msk.ru</t>
        </is>
      </c>
      <c r="H281" s="1" t="inlineStr">
        <is>
          <t>ООО «Медпроект» — официальный поставщик Kernel в РФ. Более 25 лет поставляем высокотехнологичное медоборудование (видеокольпоскопы, УФ-лампы, ФДТ) для репродуктивного здоровья.</t>
        </is>
      </c>
      <c r="I281" s="1" t="inlineStr">
        <is>
          <t>Оборудование для мониторинга функций сердечно-сосудистой системы; Диагностическое оборудование для гинекологии; Дерматология; Оборудование для фототерапии; Оборудование для лазерной терапии</t>
        </is>
      </c>
      <c r="J281" s="1">
        <f>IFERROR(__xludf.DUMMYFUNCTION("AI(Prompt!$B$6, H323:I323)"),"Дилер")</f>
        <v/>
      </c>
      <c r="K281" s="1">
        <f>IFERROR(__xludf.DUMMYFUNCTION("AI(Prompt!$B$12, H323:J323)"),"OK")</f>
        <v/>
      </c>
      <c r="L281" s="1">
        <f>IFERROR(__xludf.DUMMYFUNCTION("AI(Prompt!$B$17, H323:I323)"),"медоборудование, кольпоскопы и лампы")</f>
        <v/>
      </c>
      <c r="M281" s="1">
        <f>IFERROR(__xludf.DUMMYFUNCTION("AI(Prompt!$B$21,A323)"),"Медпроект")</f>
        <v/>
      </c>
      <c r="N281" s="1" t="inlineStr">
        <is>
          <t>Здравоохранение-2025</t>
        </is>
      </c>
      <c r="O281" s="9" t="inlineStr">
        <is>
          <t>https://icatalog.expocentr.ru/ru/exhibitions/de590dc5-417d-11ee-80ce-a0d3c1fab97f</t>
        </is>
      </c>
    </row>
    <row r="282" ht="16" customHeight="1">
      <c r="A282" s="1" t="inlineStr">
        <is>
          <t>БАЗИС МЕДИКАЛ, ООО</t>
        </is>
      </c>
      <c r="B282" s="1" t="inlineStr">
        <is>
          <t>6B010</t>
        </is>
      </c>
      <c r="C282" s="1" t="inlineStr">
        <is>
          <t>Россия</t>
        </is>
      </c>
      <c r="D282" s="1" t="inlineStr">
        <is>
          <t>Санкт-Петербург</t>
        </is>
      </c>
      <c r="E282" s="1" t="inlineStr">
        <is>
          <t>Россия, 198216, г. Санкт-Петербург, просп. Народного Ополчения, д. 22, стр. 4, пом. 18-Н</t>
        </is>
      </c>
      <c r="F282" s="10" t="inlineStr">
        <is>
          <t>http://www.basismed.ru</t>
        </is>
      </c>
      <c r="G282" s="1" t="inlineStr">
        <is>
          <t>basis@basismed.ru</t>
        </is>
      </c>
      <c r="H282" s="1" t="inlineStr">
        <is>
          <t>Оптовые поставки оборудования и одноразовых расходных материалов для анестезиологии, реанимации, онкологии, хирургии, урологии. Эксклюзивный представитель компании MEDAX (Италия), VIGEO (Италия), CURATIA (Китай), WESTMED (США). Официальный представитель компании BALTON (Польша), KAWE (Германия).</t>
        </is>
      </c>
      <c r="I282" s="1" t="inlineStr">
        <is>
          <t>Инструменты урологические; Одноразовые медицинские изделия прочие; Отоскопы и лор-инструменты; Принадлежности и расходные материалы для реанимации и экстренной помощи</t>
        </is>
      </c>
      <c r="J282" s="1">
        <f>IFERROR(__xludf.DUMMYFUNCTION("AI(Prompt!$B$6, H324:I324)"),"Дилер")</f>
        <v/>
      </c>
      <c r="K282" s="1">
        <f>IFERROR(__xludf.DUMMYFUNCTION("AI(Prompt!$B$12, H324:J324)"),"OK")</f>
        <v/>
      </c>
      <c r="L282" s="1">
        <f>IFERROR(__xludf.DUMMYFUNCTION("AI(Prompt!$B$17, H324:I324)"),"оборудование, одноразовые изделия и инструменты")</f>
        <v/>
      </c>
      <c r="M282" s="1">
        <f>IFERROR(__xludf.DUMMYFUNCTION("AI(Prompt!$B$21,A324)"),"Базис Медикал")</f>
        <v/>
      </c>
      <c r="N282" s="1" t="inlineStr">
        <is>
          <t>Здравоохранение-2025</t>
        </is>
      </c>
      <c r="O282" s="9" t="inlineStr">
        <is>
          <t>https://icatalog.expocentr.ru/ru/exhibitions/de590dc5-417d-11ee-80ce-a0d3c1fab97f</t>
        </is>
      </c>
    </row>
    <row r="283" ht="16" customHeight="1">
      <c r="A283" s="1" t="inlineStr">
        <is>
          <t>НЕВСКИЕ ТЕХНОЛОГИИ, ООО</t>
        </is>
      </c>
      <c r="B283" s="1" t="inlineStr">
        <is>
          <t>6G040</t>
        </is>
      </c>
      <c r="C283" s="1" t="inlineStr">
        <is>
          <t>Россия</t>
        </is>
      </c>
      <c r="D283" s="1" t="inlineStr">
        <is>
          <t>Санкт-Петербург</t>
        </is>
      </c>
      <c r="E283" s="1" t="inlineStr">
        <is>
          <t>Россия, 194156, г. Санкт-Петербург, просп. Энгельса, д. 16, корп. 2, пом. 15Н</t>
        </is>
      </c>
      <c r="F283" s="10" t="inlineStr">
        <is>
          <t>http://www.endo-nt.ru</t>
        </is>
      </c>
      <c r="G283" s="1" t="inlineStr">
        <is>
          <t>sales@endo-nt.ru</t>
        </is>
      </c>
      <c r="H283" s="1" t="inlineStr">
        <is>
          <t>Компания «Невские Технологии» с 1998 года поставляет эндоскопы, МРТ, КТ, рентгены и другое медицинское оборудование клиникам, в т. ч. ветеринарным, ремонтирует и обслуживает его, гарантируя качество и сервис.</t>
        </is>
      </c>
      <c r="I283" s="1" t="inlineStr">
        <is>
          <t>Эндоскопы жесткие; Эндоскопы гибкие; Эндоскопические комплексы и системы; Аппараты для искусственной вентиляции легких; Мониторы пациента; Наркозно-дыхательные аппараты</t>
        </is>
      </c>
      <c r="J283" s="1">
        <f>IFERROR(__xludf.DUMMYFUNCTION("AI(Prompt!$B$6, H325:I325)"),"Дилер")</f>
        <v/>
      </c>
      <c r="K283" s="1">
        <f>IFERROR(__xludf.DUMMYFUNCTION("AI(Prompt!$B$12, H325:J325)"),"OK")</f>
        <v/>
      </c>
      <c r="L283" s="1">
        <f>IFERROR(__xludf.DUMMYFUNCTION("AI(Prompt!$B$17, H325:I325)"),"эндоскопы, МРТ, КТ, рентгены и мониторы пациента")</f>
        <v/>
      </c>
      <c r="M283" s="1">
        <f>IFERROR(__xludf.DUMMYFUNCTION("AI(Prompt!$B$21,A325)"),"Невские Технологии")</f>
        <v/>
      </c>
      <c r="N283" s="1" t="inlineStr">
        <is>
          <t>Здравоохранение-2025</t>
        </is>
      </c>
      <c r="O283" s="9" t="inlineStr">
        <is>
          <t>https://icatalog.expocentr.ru/ru/exhibitions/de590dc5-417d-11ee-80ce-a0d3c1fab97f</t>
        </is>
      </c>
    </row>
    <row r="284" ht="16" customHeight="1">
      <c r="A284" s="1" t="inlineStr">
        <is>
          <t>УНИКХЕЛЗ, ООО</t>
        </is>
      </c>
      <c r="B284" s="1" t="inlineStr">
        <is>
          <t>6G075</t>
        </is>
      </c>
      <c r="C284" s="1" t="inlineStr">
        <is>
          <t>Россия</t>
        </is>
      </c>
      <c r="D284" s="1" t="inlineStr">
        <is>
          <t>Москва</t>
        </is>
      </c>
      <c r="E284" s="1" t="inlineStr">
        <is>
          <t>Россия, 115419, г. Москва, 2-й Рощинский пр-д, д. 8, пом. XIII, комн. 52</t>
        </is>
      </c>
      <c r="F284" s="10" t="inlineStr">
        <is>
          <t>https://unikhelz.su</t>
        </is>
      </c>
      <c r="G284" s="1" t="inlineStr">
        <is>
          <t>info@unikhelz.su</t>
        </is>
      </c>
      <c r="H284" s="1" t="inlineStr">
        <is>
          <t>ООО «УникХелз» является производителем медицинского оборудования, а также занимается розничной и оптовой продажей медицинского оборудования, инструментов и расходных материалов c 2012 года.</t>
        </is>
      </c>
      <c r="I284" s="1" t="inlineStr">
        <is>
          <t>Диагностическое оборудование для гинекологии; Фетальные мониторы; Медицинская мебель; Производство медицинских изделий; Анализаторы; ПЦР-диагностика</t>
        </is>
      </c>
      <c r="J284" s="1">
        <f>IFERROR(__xludf.DUMMYFUNCTION("AI(Prompt!$B$6, H326:I326)"),"Производитель")</f>
        <v/>
      </c>
      <c r="K284" s="1">
        <f>IFERROR(__xludf.DUMMYFUNCTION("AI(Prompt!$B$12, H326:J326)"),"OK")</f>
        <v/>
      </c>
      <c r="L284" s="1">
        <f>IFERROR(__xludf.DUMMYFUNCTION("AI(Prompt!$B$17, H326:I326)"),"медицинское оборудование, инструменты, расходные материалы, медицинская мебель и анализаторы")</f>
        <v/>
      </c>
      <c r="M284" s="1">
        <f>IFERROR(__xludf.DUMMYFUNCTION("AI(Prompt!$B$21,A326)"),"Уникхелз")</f>
        <v/>
      </c>
      <c r="N284" s="1" t="inlineStr">
        <is>
          <t>Здравоохранение-2025</t>
        </is>
      </c>
      <c r="O284" s="9" t="inlineStr">
        <is>
          <t>https://icatalog.expocentr.ru/ru/exhibitions/de590dc5-417d-11ee-80ce-a0d3c1fab97f</t>
        </is>
      </c>
    </row>
    <row r="285" ht="16" customHeight="1">
      <c r="A285" s="1" t="inlineStr">
        <is>
          <t>ПАРАМЕД ДИСТРИБЬЮШН, ООО</t>
        </is>
      </c>
      <c r="B285" s="11" t="n">
        <v>6e+75</v>
      </c>
      <c r="C285" s="1" t="inlineStr">
        <is>
          <t>Россия</t>
        </is>
      </c>
      <c r="D285" s="1" t="inlineStr">
        <is>
          <t>Екатеринбург</t>
        </is>
      </c>
      <c r="E285" s="1" t="inlineStr">
        <is>
          <t>Россия, 620144, г. Екатеринбург, ул. Московская, д. 249</t>
        </is>
      </c>
      <c r="F285" s="10" t="inlineStr">
        <is>
          <t>https://parmd.ru</t>
        </is>
      </c>
      <c r="G285" s="1" t="inlineStr">
        <is>
          <t>info@parmd.ru</t>
        </is>
      </c>
      <c r="H285" s="1" t="inlineStr">
        <is>
          <t>Официальное представительство заводов-изготовителей товаров повседневного спроса медицинского назначения. Работа со складов в России и КНР. Сопровождение сделок. Уникальные изделия и стандартные спецификации.</t>
        </is>
      </c>
      <c r="I285" s="1" t="inlineStr">
        <is>
          <t>Инструменты гинекологические; Средства химической дезинфекции и стерилизации; Инструменты и принадлежности для инъекций  и взятия крови; Одноразовые медицинские изделия прочие; Расходные материалы для службы крови; Оборудование для длительных вливаний крови и растворов</t>
        </is>
      </c>
      <c r="J285" s="1">
        <f>IFERROR(__xludf.DUMMYFUNCTION("AI(Prompt!$B$6, H327:I327)"),"Дилер")</f>
        <v/>
      </c>
      <c r="K285" s="1">
        <f>IFERROR(__xludf.DUMMYFUNCTION("AI(Prompt!$B$12, H327:J327)"),"OK")</f>
        <v/>
      </c>
      <c r="L285" s="1">
        <f>IFERROR(__xludf.DUMMYFUNCTION("AI(Prompt!$B$17, H327:I327)"),"инструменты, средства дезинфекции, медицинские изделия, расходные материалы и оборудование")</f>
        <v/>
      </c>
      <c r="M285" s="1">
        <f>IFERROR(__xludf.DUMMYFUNCTION("AI(Prompt!$B$21,A327)"),"Парамед Дистрибьюшн")</f>
        <v/>
      </c>
      <c r="N285" s="1" t="inlineStr">
        <is>
          <t>Здравоохранение-2025</t>
        </is>
      </c>
      <c r="O285" s="9" t="inlineStr">
        <is>
          <t>https://icatalog.expocentr.ru/ru/exhibitions/de590dc5-417d-11ee-80ce-a0d3c1fab97f</t>
        </is>
      </c>
    </row>
    <row r="286" ht="16" customHeight="1">
      <c r="A286" s="1" t="inlineStr">
        <is>
          <t>МедЛайн, OOO</t>
        </is>
      </c>
      <c r="B286" s="11" t="n">
        <v>6e+125</v>
      </c>
      <c r="C286" s="1" t="inlineStr">
        <is>
          <t>Россия</t>
        </is>
      </c>
      <c r="D286" s="1" t="inlineStr">
        <is>
          <t>Омск</t>
        </is>
      </c>
      <c r="E286" s="1" t="inlineStr">
        <is>
          <t>Россия, 644018, г. Омск, ул. 1-я Индустриальная, д. 4, корп. 3, оф. 305</t>
        </is>
      </c>
      <c r="F286" s="10" t="inlineStr">
        <is>
          <t>http://www.medx-ray.ru</t>
        </is>
      </c>
      <c r="G286" s="1" t="inlineStr">
        <is>
          <t>info@medline-rus.ru</t>
        </is>
      </c>
      <c r="H286" s="1" t="inlineStr">
        <is>
          <t>Основной поставщик расходных материалов для рентгенологии и УЗИ. Под собственным брендом ТМ LINESTA мы производим медицинскую одежду и антибактериальные шторы с регистрационным удостоверением.</t>
        </is>
      </c>
      <c r="I286" s="1" t="inlineStr">
        <is>
          <t>Одежда и белье для пациентов и медицинского персонала; Оборудование и средства борьбы с внутрибольничной инфекцией; Ультразвуковые сканеры и диагностические системы</t>
        </is>
      </c>
      <c r="J286" s="1">
        <f>IFERROR(__xludf.DUMMYFUNCTION("AI(Prompt!$B$6, H328:I328)"),"Производитель")</f>
        <v/>
      </c>
      <c r="K286" s="1">
        <f>IFERROR(__xludf.DUMMYFUNCTION("AI(Prompt!$B$12, H328:J328)"),"OK")</f>
        <v/>
      </c>
      <c r="L286" s="1">
        <f>IFERROR(__xludf.DUMMYFUNCTION("AI(Prompt!$B$17, H328:I328)"),"расходные материалы, медицинская одежда, антибактериальные шторы и ультразвуковые сканеры")</f>
        <v/>
      </c>
      <c r="M286" s="1">
        <f>IFERROR(__xludf.DUMMYFUNCTION("AI(Prompt!$B$21,A328)"),"МедЛайн")</f>
        <v/>
      </c>
      <c r="N286" s="1" t="inlineStr">
        <is>
          <t>Здравоохранение-2025</t>
        </is>
      </c>
      <c r="O286" s="9" t="inlineStr">
        <is>
          <t>https://icatalog.expocentr.ru/ru/exhibitions/de590dc5-417d-11ee-80ce-a0d3c1fab97f</t>
        </is>
      </c>
    </row>
    <row r="287" ht="16" customHeight="1">
      <c r="A287" s="1" t="inlineStr">
        <is>
          <t>МАРИЯ, МЕДИЦИНСКАЯ КОМПАНИЯ, ООО</t>
        </is>
      </c>
      <c r="B287" s="1" t="inlineStr">
        <is>
          <t>6D095</t>
        </is>
      </c>
      <c r="C287" s="1" t="inlineStr">
        <is>
          <t>Россия</t>
        </is>
      </c>
      <c r="D287" s="1" t="inlineStr">
        <is>
          <t>Нижний Новгород</t>
        </is>
      </c>
      <c r="E287" s="1" t="inlineStr">
        <is>
          <t>Россия, 603032, г. Нижний Новгород, ул. Усиевича, д. 4a</t>
        </is>
      </c>
      <c r="F287" s="1" t="inlineStr">
        <is>
          <t>http://www.мкмария.рф</t>
        </is>
      </c>
      <c r="G287" s="1" t="inlineStr">
        <is>
          <t>mknika@yandex.ru</t>
        </is>
      </c>
      <c r="H287" s="1" t="inlineStr">
        <is>
          <t>Комплексное обеспечение медицинских организаций медицинским инструментом, мебелью и оборудованием.</t>
        </is>
      </c>
      <c r="I287" s="1" t="inlineStr">
        <is>
          <t>Инструменты гинекологические; Стоматологическое оборудование и инструменты; Медицинская мебель; Кушетки медицинские; Оборудование для стерилизации; Инструменты общехирургические</t>
        </is>
      </c>
      <c r="J287" s="1">
        <f>IFERROR(__xludf.DUMMYFUNCTION("AI(Prompt!$B$6, H329:I329)"),"Дилер")</f>
        <v/>
      </c>
      <c r="K287" s="1">
        <f>IFERROR(__xludf.DUMMYFUNCTION("AI(Prompt!$B$12, H329:J329)"),"OK")</f>
        <v/>
      </c>
      <c r="L287" s="1">
        <f>IFERROR(__xludf.DUMMYFUNCTION("AI(Prompt!$B$17, H329:I329)"),"инструменты, мебель и оборудование")</f>
        <v/>
      </c>
      <c r="M287" s="1">
        <f>IFERROR(__xludf.DUMMYFUNCTION("AI(Prompt!$B$21,A329)"),"Мария")</f>
        <v/>
      </c>
      <c r="N287" s="1" t="inlineStr">
        <is>
          <t>Здравоохранение-2025</t>
        </is>
      </c>
      <c r="O287" s="9" t="inlineStr">
        <is>
          <t>https://icatalog.expocentr.ru/ru/exhibitions/de590dc5-417d-11ee-80ce-a0d3c1fab97f</t>
        </is>
      </c>
    </row>
    <row r="288" ht="16" customHeight="1">
      <c r="A288" s="1" t="inlineStr">
        <is>
          <t>БИОТЕКФАРМ, ООО</t>
        </is>
      </c>
      <c r="B288" s="1" t="inlineStr">
        <is>
          <t>6A020</t>
        </is>
      </c>
      <c r="C288" s="1" t="inlineStr">
        <is>
          <t>Россия</t>
        </is>
      </c>
      <c r="D288" s="1" t="inlineStr">
        <is>
          <t>Москва</t>
        </is>
      </c>
      <c r="E288" s="1" t="inlineStr">
        <is>
          <t>Россия, 123458, г. Москва, ул. Твардовского, д. 8</t>
        </is>
      </c>
      <c r="F288" s="10" t="inlineStr">
        <is>
          <t>http://www.voscopran.ru</t>
        </is>
      </c>
      <c r="G288" s="1" t="inlineStr">
        <is>
          <t>Info@voscopran.ru</t>
        </is>
      </c>
      <c r="H288" s="1" t="inlineStr">
        <is>
          <t>Разработчик и производитель современных лечебных перевязочных средств «Всё заживёт». Выпускаются серии повязок «Воскопран», «Парапран», «Гелепран», «Полипран», «Гемосорб», лейкопластыри «Докапласт» и «Ролепласт».</t>
        </is>
      </c>
      <c r="I288" s="1" t="inlineStr">
        <is>
          <t>Перевязочные средства; Производство медицинских изделий; Одноразовые медицинские изделия; Средства для оказания экстренной медицинской помощи</t>
        </is>
      </c>
      <c r="J288" s="1">
        <f>IFERROR(__xludf.DUMMYFUNCTION("AI(Prompt!$B$6, H330:I330)"),"Производитель")</f>
        <v/>
      </c>
      <c r="K288" s="1">
        <f>IFERROR(__xludf.DUMMYFUNCTION("AI(Prompt!$B$12, H330:J330)"),"OK")</f>
        <v/>
      </c>
      <c r="L288" s="1">
        <f>IFERROR(__xludf.DUMMYFUNCTION("AI(Prompt!$B$17, H330:I330)"),"перевязочные средства и лейкопластыри")</f>
        <v/>
      </c>
      <c r="M288" s="1">
        <f>IFERROR(__xludf.DUMMYFUNCTION("AI(Prompt!$B$21,A330)"),"Биотекфарм")</f>
        <v/>
      </c>
      <c r="N288" s="1" t="inlineStr">
        <is>
          <t>Здравоохранение-2025</t>
        </is>
      </c>
      <c r="O288" s="9" t="inlineStr">
        <is>
          <t>https://icatalog.expocentr.ru/ru/exhibitions/de590dc5-417d-11ee-80ce-a0d3c1fab97f</t>
        </is>
      </c>
    </row>
    <row r="289" ht="16" customHeight="1">
      <c r="A289" s="1" t="inlineStr">
        <is>
          <t>АРХИМЕД, ООО</t>
        </is>
      </c>
      <c r="B289" s="1" t="inlineStr">
        <is>
          <t>6B095</t>
        </is>
      </c>
      <c r="C289" s="1" t="inlineStr">
        <is>
          <t>Россия</t>
        </is>
      </c>
      <c r="D289" s="1" t="inlineStr">
        <is>
          <t>Лобня</t>
        </is>
      </c>
      <c r="E289" s="1" t="inlineStr">
        <is>
          <t>Россия, 141730, Московская обл., г. Лобня, ул. Окружная, д. 13, пом. 0027</t>
        </is>
      </c>
      <c r="F289" s="10" t="inlineStr">
        <is>
          <t>http://www.arxmed.ru</t>
        </is>
      </c>
      <c r="G289" s="1" t="inlineStr">
        <is>
          <t>zakaz@arxmed.ru</t>
        </is>
      </c>
      <c r="H289" s="1" t="inlineStr">
        <is>
          <t>Компания «АРХИМЕД» — эксклюзивный представитель Katsan Surgical Sutures, ведущего разработчика и производителя хирургических шовных материалов. Зарегистрирован в РФ, РУ № РЗН 2023/20082 от 14.04.2023.</t>
        </is>
      </c>
      <c r="I289" s="1" t="inlineStr">
        <is>
          <t>Шовный материал</t>
        </is>
      </c>
      <c r="J289" s="1">
        <f>IFERROR(__xludf.DUMMYFUNCTION("AI(Prompt!$B$6, H331:I331)"),"Дилер")</f>
        <v/>
      </c>
      <c r="K289" s="1">
        <f>IFERROR(__xludf.DUMMYFUNCTION("AI(Prompt!$B$12, H331:J331)"),"OK")</f>
        <v/>
      </c>
      <c r="L289" s="1">
        <f>IFERROR(__xludf.DUMMYFUNCTION("AI(Prompt!$B$17, H331:I331)"),"шовные материалы")</f>
        <v/>
      </c>
      <c r="M289" s="1">
        <f>IFERROR(__xludf.DUMMYFUNCTION("AI(Prompt!$B$21,A331)"),"Архимед")</f>
        <v/>
      </c>
      <c r="N289" s="1" t="inlineStr">
        <is>
          <t>Здравоохранение-2025</t>
        </is>
      </c>
      <c r="O289" s="9" t="inlineStr">
        <is>
          <t>https://icatalog.expocentr.ru/ru/exhibitions/de590dc5-417d-11ee-80ce-a0d3c1fab97f</t>
        </is>
      </c>
    </row>
    <row r="290" ht="16" customHeight="1">
      <c r="A290" s="1" t="inlineStr">
        <is>
          <t>СТК, ГРУППА, ООО</t>
        </is>
      </c>
      <c r="B290" s="1" t="inlineStr">
        <is>
          <t>6C080</t>
        </is>
      </c>
      <c r="C290" s="1" t="inlineStr">
        <is>
          <t>Россия</t>
        </is>
      </c>
      <c r="D290" s="1" t="inlineStr">
        <is>
          <t>Самара</t>
        </is>
      </c>
      <c r="E290" s="1" t="inlineStr">
        <is>
          <t>Россия, 443022, г. Самара, Гаражный пр-д, д. 3</t>
        </is>
      </c>
      <c r="F290" s="10" t="inlineStr">
        <is>
          <t>https://gruppastk.ru</t>
        </is>
      </c>
      <c r="G290" s="1" t="inlineStr">
        <is>
          <t>saikova-e@mail.ru</t>
        </is>
      </c>
      <c r="H290" s="1" t="inlineStr">
        <is>
          <t>Производство медицинских одноразовых шприцов.</t>
        </is>
      </c>
      <c r="I290" s="1" t="inlineStr">
        <is>
          <t>Оборудование для стерилизации; Одноразовые медицинские изделия прочие; Производство медицинских изделий; Хирургические инструменты; Инструменты общехирургические; Специализированные медицинские инструменты</t>
        </is>
      </c>
      <c r="J290" s="1">
        <f>IFERROR(__xludf.DUMMYFUNCTION("AI(Prompt!$B$6, H332:I332)"),"Производитель")</f>
        <v/>
      </c>
      <c r="K290" s="1">
        <f>IFERROR(__xludf.DUMMYFUNCTION("AI(Prompt!$B$12, H332:J332)"),"OK")</f>
        <v/>
      </c>
      <c r="L290" s="1">
        <f>IFERROR(__xludf.DUMMYFUNCTION("AI(Prompt!$B$17, H332:I332)"),"шприцы, медицинские изделия и хирургические инструменты")</f>
        <v/>
      </c>
      <c r="M290" s="1">
        <f>IFERROR(__xludf.DUMMYFUNCTION("AI(Prompt!$B$21,A332)"),"СТК, Группа")</f>
        <v/>
      </c>
      <c r="N290" s="1" t="inlineStr">
        <is>
          <t>Здравоохранение-2025</t>
        </is>
      </c>
      <c r="O290" s="9" t="inlineStr">
        <is>
          <t>https://icatalog.expocentr.ru/ru/exhibitions/de590dc5-417d-11ee-80ce-a0d3c1fab97f</t>
        </is>
      </c>
    </row>
    <row r="291" ht="16" customHeight="1">
      <c r="A291" s="1" t="inlineStr">
        <is>
          <t>МЕДФАРМСЕРВИС, ИВФ, ООО</t>
        </is>
      </c>
      <c r="B291" s="1" t="inlineStr">
        <is>
          <t>6G020</t>
        </is>
      </c>
      <c r="C291" s="1" t="inlineStr">
        <is>
          <t>Россия</t>
        </is>
      </c>
      <c r="D291" s="1" t="inlineStr">
        <is>
          <t>Казань</t>
        </is>
      </c>
      <c r="E291" s="1" t="inlineStr">
        <is>
          <t>Россия, 420127, Республика Татарстан, г. Казань, ул. Побежимова, д. 36, пом. 1012</t>
        </is>
      </c>
      <c r="F291" s="10" t="inlineStr">
        <is>
          <t>http://www.mfsendo.com</t>
        </is>
      </c>
      <c r="G291" s="1" t="inlineStr">
        <is>
          <t>mfservice@mail.ru</t>
        </is>
      </c>
      <c r="H291" s="1" t="inlineStr">
        <is>
          <t>Разработка, производство и поставка медицинского оборудования и инструментов, предназначенных для специализированных отраслей медицины, включая артроскопию, гибкую эндоскопию, гинекологию, лапароскопию, риноскопию, урологию, электрохирургию.</t>
        </is>
      </c>
      <c r="I291" s="1" t="inlineStr">
        <is>
          <t>Инструменты гинекологические; Инструменты урологические; Производство медицинских изделий; Эндоскопы жесткие; Оборудование и средства для лапароскопии; Инструменты и принадлежности для эндоскопии</t>
        </is>
      </c>
      <c r="J291" s="1">
        <f>IFERROR(__xludf.DUMMYFUNCTION("AI(Prompt!$B$6, H333:I333)"),"Производитель")</f>
        <v/>
      </c>
      <c r="K291" s="1">
        <f>IFERROR(__xludf.DUMMYFUNCTION("AI(Prompt!$B$12, H333:J333)"),"OK")</f>
        <v/>
      </c>
      <c r="L291" s="1">
        <f>IFERROR(__xludf.DUMMYFUNCTION("AI(Prompt!$B$17, H333:I333)"),"медицинское оборудование, инструменты, эндоскопы")</f>
        <v/>
      </c>
      <c r="M291" s="1">
        <f>IFERROR(__xludf.DUMMYFUNCTION("AI(Prompt!$B$21,A333)"),"Медфармсервис, ИВФ")</f>
        <v/>
      </c>
      <c r="N291" s="1" t="inlineStr">
        <is>
          <t>Здравоохранение-2025</t>
        </is>
      </c>
      <c r="O291" s="9" t="inlineStr">
        <is>
          <t>https://icatalog.expocentr.ru/ru/exhibitions/de590dc5-417d-11ee-80ce-a0d3c1fab97f</t>
        </is>
      </c>
    </row>
    <row r="292" hidden="1" ht="16" customHeight="1">
      <c r="A292" s="1" t="inlineStr">
        <is>
          <t>ГАЛТЕЯФАРМ, ООО</t>
        </is>
      </c>
      <c r="B292" s="1" t="inlineStr">
        <is>
          <t>6F015</t>
        </is>
      </c>
      <c r="C292" s="1" t="inlineStr">
        <is>
          <t>Республика Беларусь</t>
        </is>
      </c>
      <c r="D292" s="1" t="inlineStr">
        <is>
          <t>Витебск</t>
        </is>
      </c>
      <c r="E292" s="1" t="inlineStr">
        <is>
          <t>Республика Беларусь, 210040, г. Витебск, ул. Журжевская, д. 11</t>
        </is>
      </c>
      <c r="F292" s="10" t="inlineStr">
        <is>
          <t>http://www.galteyapharm.by</t>
        </is>
      </c>
      <c r="G292" s="1" t="inlineStr">
        <is>
          <t>sales1@galteyapharm.by</t>
        </is>
      </c>
      <c r="H292" s="1" t="inlineStr">
        <is>
          <t>Предприятие «ГАЛТЕЯФАРМ» более 20 лет выпускает изделия медицинского назначения. Наша миссия – улучшение жизни людей благодаря абсолютному качеству нашей продукции, отвечающего мировым стандартам.</t>
        </is>
      </c>
      <c r="I292" s="1" t="inlineStr">
        <is>
          <t>Перевязочные средства</t>
        </is>
      </c>
      <c r="J292" s="1">
        <f>IFERROR(__xludf.DUMMYFUNCTION("AI(Prompt!$B$6, H334:I334)"),"Производитель")</f>
        <v/>
      </c>
      <c r="K292" s="1">
        <f>IFERROR(__xludf.DUMMYFUNCTION("AI(Prompt!$B$12, H334:J334)"),"OK")</f>
        <v/>
      </c>
      <c r="L292" s="1">
        <f>IFERROR(__xludf.DUMMYFUNCTION("AI(Prompt!$B$17, H334:I334)"),"изделия медицинского назначения и перевязочные средства")</f>
        <v/>
      </c>
      <c r="M292" s="1">
        <f>IFERROR(__xludf.DUMMYFUNCTION("AI(Prompt!$B$21,A334)"),"Галтеяфарм")</f>
        <v/>
      </c>
      <c r="N292" s="1" t="inlineStr">
        <is>
          <t>Здравоохранение-2025</t>
        </is>
      </c>
      <c r="O292" s="9" t="inlineStr">
        <is>
          <t>https://icatalog.expocentr.ru/ru/exhibitions/de590dc5-417d-11ee-80ce-a0d3c1fab97f</t>
        </is>
      </c>
    </row>
    <row r="293" ht="16" customHeight="1">
      <c r="A293" s="1" t="inlineStr">
        <is>
          <t>АЛЬФАХИМ, ООО</t>
        </is>
      </c>
      <c r="B293" s="1" t="inlineStr">
        <is>
          <t>6G060</t>
        </is>
      </c>
      <c r="C293" s="1" t="inlineStr">
        <is>
          <t>Россия</t>
        </is>
      </c>
      <c r="D293" s="1" t="inlineStr">
        <is>
          <t>Красноярск</t>
        </is>
      </c>
      <c r="E293" s="1" t="inlineStr">
        <is>
          <t>Россия, 660135, г. Красноярск, ул. Молокова, д. 68, кв. 263</t>
        </is>
      </c>
      <c r="F293" s="10" t="inlineStr">
        <is>
          <t>http://www.alfachem.su</t>
        </is>
      </c>
      <c r="G293" s="1" t="inlineStr">
        <is>
          <t>info@alfachem.su</t>
        </is>
      </c>
      <c r="H293" s="1" t="inlineStr">
        <is>
          <t>Производство медицинских изделий для травматологии и хирургии, в том числе бинтов ортопедических полимерных ALFACAST, ALFACAST SOFT, полимерных лонгет ALFASPLINT и инцизной пленки ALFAINCISE.</t>
        </is>
      </c>
      <c r="I293" s="1" t="inlineStr">
        <is>
          <t>Перевязочные средства; Производство медицинских изделий; Средства для оказания экстренной медицинской помощи; Инструменты общехирургические; Ортезы</t>
        </is>
      </c>
      <c r="J293" s="1">
        <f>IFERROR(__xludf.DUMMYFUNCTION("AI(Prompt!$B$6, H335:I335)"),"Производитель")</f>
        <v/>
      </c>
      <c r="K293" s="1">
        <f>IFERROR(__xludf.DUMMYFUNCTION("AI(Prompt!$B$12, H335:J335)"),"OK")</f>
        <v/>
      </c>
      <c r="L293" s="1">
        <f>IFERROR(__xludf.DUMMYFUNCTION("AI(Prompt!$B$17, H335:I335)"),"перевязочные средства, ортезы, медицинские изделия и хирургические инструменты")</f>
        <v/>
      </c>
      <c r="M293" s="1">
        <f>IFERROR(__xludf.DUMMYFUNCTION("AI(Prompt!$B$21,A335)"),"Альфахим")</f>
        <v/>
      </c>
      <c r="N293" s="1" t="inlineStr">
        <is>
          <t>Здравоохранение-2025</t>
        </is>
      </c>
      <c r="O293" s="9" t="inlineStr">
        <is>
          <t>https://icatalog.expocentr.ru/ru/exhibitions/de590dc5-417d-11ee-80ce-a0d3c1fab97f</t>
        </is>
      </c>
    </row>
    <row r="294" ht="16" customHeight="1">
      <c r="A294" s="1" t="inlineStr">
        <is>
          <t>ПЕРСПЕКТИВА-М, ООО</t>
        </is>
      </c>
      <c r="B294" s="1" t="inlineStr">
        <is>
          <t>6F100</t>
        </is>
      </c>
      <c r="C294" s="1" t="inlineStr">
        <is>
          <t>Россия</t>
        </is>
      </c>
      <c r="D294" s="1" t="inlineStr">
        <is>
          <t>Нижний Новгород</t>
        </is>
      </c>
      <c r="E294" s="1" t="inlineStr">
        <is>
          <t>Россия, 603106, г. Нижний Новгород, ул. Бориса Корнилова, д. 3, корп. 2, кв. 50</t>
        </is>
      </c>
      <c r="F294" s="10" t="inlineStr">
        <is>
          <t>https://perspectiva-m.ru</t>
        </is>
      </c>
      <c r="G294" s="1" t="inlineStr">
        <is>
          <t>pers-med2.0@yandex.ru</t>
        </is>
      </c>
      <c r="H294" s="1" t="inlineStr">
        <is>
          <t>Поставка аппаратов искусственной почки, расходных материалов для гемодиализа, запасных частей к аппаратам.</t>
        </is>
      </c>
      <c r="I294" s="1" t="inlineStr">
        <is>
          <t>Оборудование и расходные материалы для проведения гемосорбции, гемодиализа и плазмофереза</t>
        </is>
      </c>
      <c r="J294" s="1">
        <f>IFERROR(__xludf.DUMMYFUNCTION("AI(Prompt!$B$6, H336:I336)"),"Дилер")</f>
        <v/>
      </c>
      <c r="K294" s="1">
        <f>IFERROR(__xludf.DUMMYFUNCTION("AI(Prompt!$B$12, H336:J336)"),"OK")</f>
        <v/>
      </c>
      <c r="L294" s="1">
        <f>IFERROR(__xludf.DUMMYFUNCTION("AI(Prompt!$B$17, H336:I336)"),"аппараты, расходные материалы и запасные части")</f>
        <v/>
      </c>
      <c r="M294" s="1">
        <f>IFERROR(__xludf.DUMMYFUNCTION("AI(Prompt!$B$21,A336)"),"Перспектива-М")</f>
        <v/>
      </c>
      <c r="N294" s="1" t="inlineStr">
        <is>
          <t>Здравоохранение-2025</t>
        </is>
      </c>
      <c r="O294" s="9" t="inlineStr">
        <is>
          <t>https://icatalog.expocentr.ru/ru/exhibitions/de590dc5-417d-11ee-80ce-a0d3c1fab97f</t>
        </is>
      </c>
    </row>
    <row r="295" hidden="1" ht="16" customHeight="1">
      <c r="A295" s="1" t="inlineStr">
        <is>
          <t>ЭРГОН ЭСТ, СООО</t>
        </is>
      </c>
      <c r="B295" s="1" t="inlineStr">
        <is>
          <t>6C120</t>
        </is>
      </c>
      <c r="C295" s="1" t="inlineStr">
        <is>
          <t>Республика Беларусь</t>
        </is>
      </c>
      <c r="D295" s="1" t="inlineStr">
        <is>
          <t>Минск</t>
        </is>
      </c>
      <c r="E295" s="1" t="inlineStr">
        <is>
          <t>Республика Беларусь, г. Минск, ул. Кальварийская, д. 21</t>
        </is>
      </c>
      <c r="F295" s="10" t="inlineStr">
        <is>
          <t>http://www.ergonest.com</t>
        </is>
      </c>
      <c r="G295" s="1" t="inlineStr">
        <is>
          <t>info@ergonest.com</t>
        </is>
      </c>
      <c r="H295" s="1" t="inlineStr">
        <is>
          <t>«Эргон Эст» — производитель премиальных хирургических шовных материалов, сетчатых имплантатов и гемостатиков, объединяющий итальянское качество и белорусскую надежность.</t>
        </is>
      </c>
      <c r="I295" s="1" t="inlineStr">
        <is>
          <t>Одноразовые медицинские изделия прочие; Производство медицинских изделий; Шовный материал</t>
        </is>
      </c>
      <c r="J295" s="1">
        <f>IFERROR(__xludf.DUMMYFUNCTION("AI(Prompt!$B$6, H337:I337)"),"Производитель")</f>
        <v/>
      </c>
      <c r="K295" s="1">
        <f>IFERROR(__xludf.DUMMYFUNCTION("AI(Prompt!$B$12, H337:J337)"),"OK")</f>
        <v/>
      </c>
      <c r="L295" s="1">
        <f>IFERROR(__xludf.DUMMYFUNCTION("AI(Prompt!$B$17, H337:I337)"),"шовные материалы, сетчатые имплантаты и гемостатики")</f>
        <v/>
      </c>
      <c r="M295" s="1">
        <f>IFERROR(__xludf.DUMMYFUNCTION("AI(Prompt!$B$21,A337)"),"Эргон Эст")</f>
        <v/>
      </c>
      <c r="N295" s="1" t="inlineStr">
        <is>
          <t>Здравоохранение-2025</t>
        </is>
      </c>
      <c r="O295" s="9" t="inlineStr">
        <is>
          <t>https://icatalog.expocentr.ru/ru/exhibitions/de590dc5-417d-11ee-80ce-a0d3c1fab97f</t>
        </is>
      </c>
    </row>
    <row r="296" ht="16" customHeight="1">
      <c r="A296" s="1" t="inlineStr">
        <is>
          <t>ЭКОЛАТ</t>
        </is>
      </c>
      <c r="B296" s="1" t="inlineStr">
        <is>
          <t>6D085</t>
        </is>
      </c>
      <c r="C296" s="1" t="inlineStr">
        <is>
          <t>Россия</t>
        </is>
      </c>
      <c r="D296" s="1" t="inlineStr">
        <is>
          <t>Обнинск</t>
        </is>
      </c>
      <c r="E296" s="1" t="inlineStr">
        <is>
          <t>Россия, 249039, Калужская обл., г. Обнинск, ул. Калужская, д. 4, оф. 3/1-70</t>
        </is>
      </c>
      <c r="F296" s="10" t="inlineStr">
        <is>
          <t>http://ecolat.shop</t>
        </is>
      </c>
      <c r="G296" s="1" t="inlineStr">
        <is>
          <t>info@ecolat.ru</t>
        </is>
      </c>
      <c r="H296" s="1" t="inlineStr">
        <is>
          <t>Компания «Оптические Диски» более 12 лет занимается импортом и производством латексных нитриловых перчаток. Качество материалов и надежность являются основополагающим в работе компании.</t>
        </is>
      </c>
      <c r="I296" s="1" t="inlineStr">
        <is>
          <t>Одноразовые медицинские изделия прочие; Производство медицинских изделий</t>
        </is>
      </c>
      <c r="J296" s="1">
        <f>IFERROR(__xludf.DUMMYFUNCTION("AI(Prompt!$B$6, H338:I338)"),"Производитель")</f>
        <v/>
      </c>
      <c r="K296" s="1">
        <f>IFERROR(__xludf.DUMMYFUNCTION("AI(Prompt!$B$12, H338:J338)"),"OK")</f>
        <v/>
      </c>
      <c r="L296" s="1">
        <f>IFERROR(__xludf.DUMMYFUNCTION("AI(Prompt!$B$17, H338:I338)"),"перчатки")</f>
        <v/>
      </c>
      <c r="M296" s="1">
        <f>IFERROR(__xludf.DUMMYFUNCTION("AI(Prompt!$B$21,A338)"),"Эколат")</f>
        <v/>
      </c>
      <c r="N296" s="1" t="inlineStr">
        <is>
          <t>Здравоохранение-2025</t>
        </is>
      </c>
      <c r="O296" s="9" t="inlineStr">
        <is>
          <t>https://icatalog.expocentr.ru/ru/exhibitions/de590dc5-417d-11ee-80ce-a0d3c1fab97f</t>
        </is>
      </c>
    </row>
    <row r="297" ht="16" customHeight="1">
      <c r="A297" s="1" t="inlineStr">
        <is>
          <t>МИМ, ООО</t>
        </is>
      </c>
      <c r="B297" s="11" t="n">
        <v>6e+64</v>
      </c>
      <c r="C297" s="1" t="inlineStr">
        <is>
          <t>Россия</t>
        </is>
      </c>
      <c r="E297" s="1" t="inlineStr">
        <is>
          <t>Россия, 625517, Тюменская обл., Тюменский р-н, с. Мальково, Мирный пр-д, д. 30, стр. 1</t>
        </is>
      </c>
      <c r="F297" s="10" t="inlineStr">
        <is>
          <t>http://www.ooo-mim.ru</t>
        </is>
      </c>
      <c r="G297" s="1" t="inlineStr">
        <is>
          <t>komm@ooo-mim.ru</t>
        </is>
      </c>
      <c r="H297" s="1" t="inlineStr">
        <is>
          <t>Производство одноразовых медицинских изделий: индефляторов, шприцев для шприцевых насосов, инфузионных линий, наборов для дренирования плевральной полости, устройств для активного дренирования ран, аспирационных наконечников Янкауэра, кружек Эсмарха и наконечников для кружек Эсмарха, наборов ректальных, устройств для ирригоскопии, зеркал и наборов гинекологических, шпателей языковых и олив для промывания носа.</t>
        </is>
      </c>
      <c r="I297" s="1" t="inlineStr">
        <is>
          <t>Инструменты гинекологические; Инструменты и принадлежности для инъекций  и взятия крови; Одноразовые медицинские изделия прочие; Производство медицинских изделий; Инструменты общехирургические; Аппараты и материалы для сердечно-сосудистой хирургии</t>
        </is>
      </c>
      <c r="J297" s="1">
        <f>IFERROR(__xludf.DUMMYFUNCTION("AI(Prompt!$B$6, H339:I339)"),"Производитель")</f>
        <v/>
      </c>
      <c r="K297" s="1">
        <f>IFERROR(__xludf.DUMMYFUNCTION("AI(Prompt!$B$12, H339:J339)"),"OK")</f>
        <v/>
      </c>
      <c r="L297" s="1">
        <f>IFERROR(__xludf.DUMMYFUNCTION("AI(Prompt!$B$17, H339:I339)"),"медицинские изделия, гинекологические инструменты и принадлежности для инъекций")</f>
        <v/>
      </c>
      <c r="M297" s="1">
        <f>IFERROR(__xludf.DUMMYFUNCTION("AI(Prompt!$B$21,A339)"),"МИМ")</f>
        <v/>
      </c>
      <c r="N297" s="1" t="inlineStr">
        <is>
          <t>Здравоохранение-2025</t>
        </is>
      </c>
      <c r="O297" s="9" t="inlineStr">
        <is>
          <t>https://icatalog.expocentr.ru/ru/exhibitions/de590dc5-417d-11ee-80ce-a0d3c1fab97f</t>
        </is>
      </c>
    </row>
    <row r="298" ht="16" customHeight="1">
      <c r="A298" s="1" t="inlineStr">
        <is>
          <t>ЗДРАВМЕДТЕХ-М, ООО</t>
        </is>
      </c>
      <c r="B298" s="1" t="inlineStr">
        <is>
          <t>6B040</t>
        </is>
      </c>
      <c r="C298" s="1" t="inlineStr">
        <is>
          <t>Россия</t>
        </is>
      </c>
      <c r="D298" s="1" t="inlineStr">
        <is>
          <t>Москва</t>
        </is>
      </c>
      <c r="E298" s="1" t="inlineStr">
        <is>
          <t>Россия, 111024, г. Москва, ул. 2-я Кабельная, д. 2, стр. 5</t>
        </is>
      </c>
      <c r="F298" s="10" t="inlineStr">
        <is>
          <t>http://zmt-moscow.ru</t>
        </is>
      </c>
      <c r="G298" s="1" t="inlineStr">
        <is>
          <t>info@zmt-m.ru</t>
        </is>
      </c>
      <c r="H298" s="1" t="inlineStr">
        <is>
          <t>Производитель одноразовой одежды и белья.</t>
        </is>
      </c>
      <c r="I298" s="1" t="inlineStr">
        <is>
          <t>Одежда и белье для пациентов и медицинского персонала; Гигиенические изделия для больниц; Одноразовые медицинские изделия прочие; Расходные материалы для медицинского оборудования</t>
        </is>
      </c>
      <c r="J298" s="1">
        <f>IFERROR(__xludf.DUMMYFUNCTION("AI(Prompt!$B$6, H340:I340)"),"Производитель")</f>
        <v/>
      </c>
      <c r="K298" s="1">
        <f>IFERROR(__xludf.DUMMYFUNCTION("AI(Prompt!$B$12, H340:J340)"),"OK")</f>
        <v/>
      </c>
      <c r="L298" s="1">
        <f>IFERROR(__xludf.DUMMYFUNCTION("AI(Prompt!$B$17, H340:I340)"),"одежда, белье, гигиенические изделия и расходные материалы")</f>
        <v/>
      </c>
      <c r="M298" s="1">
        <f>IFERROR(__xludf.DUMMYFUNCTION("AI(Prompt!$B$21,A340)"),"Здравмедтех-М")</f>
        <v/>
      </c>
      <c r="N298" s="1" t="inlineStr">
        <is>
          <t>Здравоохранение-2025</t>
        </is>
      </c>
      <c r="O298" s="9" t="inlineStr">
        <is>
          <t>https://icatalog.expocentr.ru/ru/exhibitions/de590dc5-417d-11ee-80ce-a0d3c1fab97f</t>
        </is>
      </c>
    </row>
    <row r="299" ht="16" customHeight="1">
      <c r="A299" s="1" t="inlineStr">
        <is>
          <t>АЛЬФАТОРИЯ, ООО</t>
        </is>
      </c>
      <c r="B299" s="1" t="inlineStr">
        <is>
          <t>6G036</t>
        </is>
      </c>
      <c r="C299" s="1" t="inlineStr">
        <is>
          <t>Россия</t>
        </is>
      </c>
      <c r="D299" s="1" t="inlineStr">
        <is>
          <t>Воронеж</t>
        </is>
      </c>
      <c r="E299" s="1" t="inlineStr">
        <is>
          <t>Россия, 394028, г. Воронеж, ул. Димитрова, д. 124И, оф. 1</t>
        </is>
      </c>
      <c r="F299" s="10" t="inlineStr">
        <is>
          <t>http://www.alfatory.ru</t>
        </is>
      </c>
      <c r="G299" s="1" t="inlineStr">
        <is>
          <t>mail@alfatory.ru</t>
        </is>
      </c>
      <c r="H299" s="1" t="inlineStr">
        <is>
          <t>ООО «Альфатория» — партнер ведущих мировых производителей медицинских расходных материалов. Мы представляем широкий ассортимент медицинских товаров импортного и отечественного производства.</t>
        </is>
      </c>
      <c r="I299" s="1" t="inlineStr">
        <is>
          <t>Перевязочные средства; Расходные материалы для медицинских приборов; Инструменты и принадлежности для инъекций  и взятия крови; Гигиенические изделия для больниц; Одноразовые медицинские изделия прочие; Расходные материалы для медицинского оборудования</t>
        </is>
      </c>
      <c r="J299" s="1">
        <f>IFERROR(__xludf.DUMMYFUNCTION("AI(Prompt!$B$6, H341:I341)"),"Дилер")</f>
        <v/>
      </c>
      <c r="K299" s="1">
        <f>IFERROR(__xludf.DUMMYFUNCTION("AI(Prompt!$B$12, H341:J341)"),"OK")</f>
        <v/>
      </c>
      <c r="L299" s="1">
        <f>IFERROR(__xludf.DUMMYFUNCTION("AI(Prompt!$B$17, H341:I341)"),"расходные материалы, перевязочные средства и гигиенические изделия")</f>
        <v/>
      </c>
      <c r="M299" s="1">
        <f>IFERROR(__xludf.DUMMYFUNCTION("AI(Prompt!$B$21,A341)"),"Альфатория")</f>
        <v/>
      </c>
      <c r="N299" s="1" t="inlineStr">
        <is>
          <t>Здравоохранение-2025</t>
        </is>
      </c>
      <c r="O299" s="9" t="inlineStr">
        <is>
          <t>https://icatalog.expocentr.ru/ru/exhibitions/de590dc5-417d-11ee-80ce-a0d3c1fab97f</t>
        </is>
      </c>
    </row>
    <row r="300" ht="16" customHeight="1">
      <c r="A300" s="1" t="inlineStr">
        <is>
          <t>СИБУР ХОЛДИНГ, ПАО</t>
        </is>
      </c>
      <c r="B300" s="1" t="inlineStr">
        <is>
          <t>6C090</t>
        </is>
      </c>
      <c r="C300" s="1" t="inlineStr">
        <is>
          <t>Россия</t>
        </is>
      </c>
      <c r="D300" s="1" t="inlineStr">
        <is>
          <t>Тобольск</t>
        </is>
      </c>
      <c r="E300" s="1" t="inlineStr">
        <is>
          <t>Россия, 626150, Тюменская обл., г. Тобольск, тер. Восточный промышленный район, квартал 1, д. 6, стр. 30</t>
        </is>
      </c>
      <c r="F300" s="10" t="inlineStr">
        <is>
          <t>http://www.sibur.ru</t>
        </is>
      </c>
      <c r="G300" s="1" t="inlineStr">
        <is>
          <t>info@sibur.ru</t>
        </is>
      </c>
      <c r="H300" s="1" t="inlineStr">
        <is>
          <t>Российский лидер по производству полимеров и каучуков. Наша продукция применяется в строительстве, пищевой промышленности, медицине и фармацевтике, сельском хозяйстве, автомобилестроении и других отраслях.</t>
        </is>
      </c>
      <c r="I300" s="1" t="inlineStr">
        <is>
          <t>Инструменты и принадлежности для инъекций  и взятия крови; Одноразовые медицинские изделия прочие; Расходные материалы для медицинского оборудования; Комплектующие для производства медицинских изделий</t>
        </is>
      </c>
      <c r="J300" s="1">
        <f>IFERROR(__xludf.DUMMYFUNCTION("AI(Prompt!$B$6, H342:I342)"),"Производитель")</f>
        <v/>
      </c>
      <c r="K300" s="1">
        <f>IFERROR(__xludf.DUMMYFUNCTION("AI(Prompt!$B$12, H342:J342)"),"OK")</f>
        <v/>
      </c>
      <c r="L300" s="1">
        <f>IFERROR(__xludf.DUMMYFUNCTION("AI(Prompt!$B$17, H342:I342)"),"полимеры, каучуки, медицинские изделия и комплектующие")</f>
        <v/>
      </c>
      <c r="M300" s="1">
        <f>IFERROR(__xludf.DUMMYFUNCTION("AI(Prompt!$B$21,A342)"),"Сибур Холдинг")</f>
        <v/>
      </c>
      <c r="N300" s="1" t="inlineStr">
        <is>
          <t>Здравоохранение-2025</t>
        </is>
      </c>
      <c r="O300" s="9" t="inlineStr">
        <is>
          <t>https://icatalog.expocentr.ru/ru/exhibitions/de590dc5-417d-11ee-80ce-a0d3c1fab97f</t>
        </is>
      </c>
    </row>
    <row r="301" ht="16" customHeight="1">
      <c r="A301" s="1" t="inlineStr">
        <is>
          <t>ЮНИКОРНМЕД, ООО</t>
        </is>
      </c>
      <c r="B301" s="1" t="inlineStr">
        <is>
          <t>6D050</t>
        </is>
      </c>
      <c r="C301" s="1" t="inlineStr">
        <is>
          <t>Россия</t>
        </is>
      </c>
      <c r="D301" s="1" t="inlineStr">
        <is>
          <t>Санкт-Петербург</t>
        </is>
      </c>
      <c r="E301" s="1" t="inlineStr">
        <is>
          <t>Россия, 192019, г. Санкт-Петербург, ул. Мельничная, д. 18, литера А</t>
        </is>
      </c>
      <c r="F301" s="10" t="inlineStr">
        <is>
          <t>http://www.unicmed.ru</t>
        </is>
      </c>
      <c r="G301" s="1" t="inlineStr">
        <is>
          <t>info@unicmed.ru</t>
        </is>
      </c>
      <c r="H301" s="1" t="inlineStr">
        <is>
          <t>Поставка одноразовых медицинских расходных материалов от производителя: зондов, зеркал и наборов гинекологических, спиртовых салфеток, катетеров, мочеприемников, лор-инструментов.</t>
        </is>
      </c>
      <c r="I301" s="1" t="inlineStr">
        <is>
          <t>Инструменты гинекологические; Расходные материалы для медицинских приборов; Инструменты и принадлежности для инъекций  и взятия крови; Одноразовые медицинские изделия прочие; Расходные материалы для медицинского оборудования; Производство медицинских изделий; Отоскопы и лор-инструменты; Прочие изделия для лабораторий; Реагенты и расходные материалы для лабораторной диагностики</t>
        </is>
      </c>
      <c r="J301" s="1">
        <f>IFERROR(__xludf.DUMMYFUNCTION("AI(Prompt!$B$6, H343:I343)"),"Производитель")</f>
        <v/>
      </c>
      <c r="K301" s="1">
        <f>IFERROR(__xludf.DUMMYFUNCTION("AI(Prompt!$B$12, H343:J343)"),"OK")</f>
        <v/>
      </c>
      <c r="L301" s="1">
        <f>IFERROR(__xludf.DUMMYFUNCTION("AI(Prompt!$B$17, H343:I343)"),"медицинские изделия, зонды, катетеры и салфетки")</f>
        <v/>
      </c>
      <c r="M301" s="1">
        <f>IFERROR(__xludf.DUMMYFUNCTION("AI(Prompt!$B$21,A343)"),"Юникорнмед")</f>
        <v/>
      </c>
      <c r="N301" s="1" t="inlineStr">
        <is>
          <t>Здравоохранение-2025</t>
        </is>
      </c>
      <c r="O301" s="9" t="inlineStr">
        <is>
          <t>https://icatalog.expocentr.ru/ru/exhibitions/de590dc5-417d-11ee-80ce-a0d3c1fab97f</t>
        </is>
      </c>
    </row>
    <row r="302" ht="16" customHeight="1">
      <c r="A302" s="1" t="inlineStr">
        <is>
          <t>НАТАНА ГРУПП, ООО</t>
        </is>
      </c>
      <c r="B302" s="1" t="inlineStr">
        <is>
          <t>6F090</t>
        </is>
      </c>
      <c r="C302" s="1" t="inlineStr">
        <is>
          <t>Россия</t>
        </is>
      </c>
      <c r="D302" s="1" t="inlineStr">
        <is>
          <t>Москва</t>
        </is>
      </c>
      <c r="E302" s="1" t="inlineStr">
        <is>
          <t>Россия, 107031, г. Москва, ул. Кузнецкий Мост, д. 21/5, этаж 4, пом. II, комн. 21</t>
        </is>
      </c>
      <c r="F302" s="10" t="inlineStr">
        <is>
          <t>http://www.natana-group.ru</t>
        </is>
      </c>
      <c r="G302" s="1" t="inlineStr">
        <is>
          <t>info@natana-group.ru</t>
        </is>
      </c>
      <c r="H302" s="1" t="inlineStr">
        <is>
          <t>С 2007 года осуществляем поставку на медицинский рынок России расходных материалов для онкологии, анестезиологии и реанимации.</t>
        </is>
      </c>
      <c r="I302" s="1" t="inlineStr">
        <is>
          <t>Одноразовые медицинские изделия прочие; Оборудование для длительных вливаний крови и растворов</t>
        </is>
      </c>
      <c r="J302" s="1">
        <f>IFERROR(__xludf.DUMMYFUNCTION("AI(Prompt!$B$6, H344:I344)"),"Дилер")</f>
        <v/>
      </c>
      <c r="K302" s="1">
        <f>IFERROR(__xludf.DUMMYFUNCTION("AI(Prompt!$B$12, H344:J344)"),"OK")</f>
        <v/>
      </c>
      <c r="L302" s="1">
        <f>IFERROR(__xludf.DUMMYFUNCTION("AI(Prompt!$B$17, H344:I344)"),"расходные материалы, одноразовые медицинские изделия и оборудование")</f>
        <v/>
      </c>
      <c r="M302" s="1">
        <f>IFERROR(__xludf.DUMMYFUNCTION("AI(Prompt!$B$21,A344)"),"Натана Групп")</f>
        <v/>
      </c>
      <c r="N302" s="1" t="inlineStr">
        <is>
          <t>Здравоохранение-2025</t>
        </is>
      </c>
      <c r="O302" s="9" t="inlineStr">
        <is>
          <t>https://icatalog.expocentr.ru/ru/exhibitions/de590dc5-417d-11ee-80ce-a0d3c1fab97f</t>
        </is>
      </c>
    </row>
    <row r="303" ht="16" customHeight="1">
      <c r="A303" s="1" t="inlineStr">
        <is>
          <t>МЕДИНТОРГ</t>
        </is>
      </c>
      <c r="B303" s="1" t="inlineStr">
        <is>
          <t>6F055</t>
        </is>
      </c>
      <c r="C303" s="1" t="inlineStr">
        <is>
          <t>Россия</t>
        </is>
      </c>
      <c r="D303" s="1" t="inlineStr">
        <is>
          <t>Москва</t>
        </is>
      </c>
      <c r="E303" s="1" t="inlineStr">
        <is>
          <t>Россия, 123103, г. Москва, просп. Маршала Жукова, д. 74, корп. 2</t>
        </is>
      </c>
      <c r="F303" s="10" t="inlineStr">
        <is>
          <t>http://www.medintorg.ru</t>
        </is>
      </c>
      <c r="G303" s="1" t="inlineStr">
        <is>
          <t>pr@medintorg.ru</t>
        </is>
      </c>
      <c r="H303" s="1" t="inlineStr">
        <is>
          <t>АО «Мединторг» с 1994 года осуществляет полный комплекс услуг по регистрации и дистрибьюции фармацевтической продукции, иммунобиологических препаратов, медицинского оборудования и расходных материалов.</t>
        </is>
      </c>
      <c r="I303" s="1" t="inlineStr">
        <is>
          <t>Перевязочные средства; Одноразовые медицинские изделия прочие; Анализаторы; Иммунология; Оборудование и расходные материалы для проведения гемосорбции, гемодиализа и плазмофереза</t>
        </is>
      </c>
      <c r="J303" s="1">
        <f>IFERROR(__xludf.DUMMYFUNCTION("AI(Prompt!$B$6, H345:I345)"),"Дилер")</f>
        <v/>
      </c>
      <c r="K303" s="1">
        <f>IFERROR(__xludf.DUMMYFUNCTION("AI(Prompt!$B$12, H345:J345)"),"OK")</f>
        <v/>
      </c>
      <c r="L303" s="1">
        <f>IFERROR(__xludf.DUMMYFUNCTION("AI(Prompt!$B$17, H345:I345)"),"фармацевтическая продукция, препараты, медицинское оборудование и расходные материалы")</f>
        <v/>
      </c>
      <c r="M303" s="1">
        <f>IFERROR(__xludf.DUMMYFUNCTION("AI(Prompt!$B$21,A345)"),"Мединторг")</f>
        <v/>
      </c>
      <c r="N303" s="1" t="inlineStr">
        <is>
          <t>Здравоохранение-2025</t>
        </is>
      </c>
      <c r="O303" s="9" t="inlineStr">
        <is>
          <t>https://icatalog.expocentr.ru/ru/exhibitions/de590dc5-417d-11ee-80ce-a0d3c1fab97f</t>
        </is>
      </c>
    </row>
    <row r="304" ht="16" customHeight="1">
      <c r="A304" s="1" t="inlineStr">
        <is>
          <t>ЯРВАРД ЭЛЕКТРОНИКС, ООО</t>
        </is>
      </c>
      <c r="B304" s="11" t="n">
        <v>60</v>
      </c>
      <c r="C304" s="1" t="inlineStr">
        <is>
          <t>Россия</t>
        </is>
      </c>
      <c r="D304" s="1" t="inlineStr">
        <is>
          <t>Одинцово</t>
        </is>
      </c>
      <c r="E304" s="1" t="inlineStr">
        <is>
          <t>Россия, 143007, Московская обл., г. Одинцово, ул. Молодежная, д. 46, этаж 3, оф. 331</t>
        </is>
      </c>
      <c r="F304" s="10" t="inlineStr">
        <is>
          <t>http://www.yarward.com.ru</t>
        </is>
      </c>
      <c r="G304" s="1" t="inlineStr">
        <is>
          <t>Info@yarward.com.ru</t>
        </is>
      </c>
      <c r="H304" s="1" t="inlineStr">
        <is>
          <t>Yarward Electronics — разработчик систем связи для медучреждений. Решаем задачи мониторинга, автоматизации и снижения нагрузки на медперсонал. Цифровые решения повышают эффективность ухода.</t>
        </is>
      </c>
      <c r="I304" s="1" t="inlineStr">
        <is>
          <t>Прочее общебольничное оборудование; Проектирование, производство, монтаж, валидация чистых операционных и реанимационных; Информационные системы администрирования / программное обеспечение; Медицинские информационные системы / программные решения; Коммуникационные системы</t>
        </is>
      </c>
      <c r="J304" s="1">
        <f>IFERROR(__xludf.DUMMYFUNCTION("AI(Prompt!$B$6, H346:I346)"),"Производитель")</f>
        <v/>
      </c>
      <c r="K304" s="1">
        <f>IFERROR(__xludf.DUMMYFUNCTION("AI(Prompt!$B$12, H346:J346)"),"OK")</f>
        <v/>
      </c>
      <c r="L304" s="1">
        <f>IFERROR(__xludf.DUMMYFUNCTION("AI(Prompt!$B$17, H346:I346)"),"системы связи и оборудование")</f>
        <v/>
      </c>
      <c r="M304" s="1">
        <f>IFERROR(__xludf.DUMMYFUNCTION("AI(Prompt!$B$21,A346)"),"Ярвард Электроникс")</f>
        <v/>
      </c>
      <c r="N304" s="1" t="inlineStr">
        <is>
          <t>Здравоохранение-2025</t>
        </is>
      </c>
      <c r="O304" s="9" t="inlineStr">
        <is>
          <t>https://icatalog.expocentr.ru/ru/exhibitions/de590dc5-417d-11ee-80ce-a0d3c1fab97f</t>
        </is>
      </c>
    </row>
    <row r="305" ht="16" customHeight="1">
      <c r="A305" s="1" t="inlineStr">
        <is>
          <t>ПАСКАЛЬ МЕДИКАЛ, ООО</t>
        </is>
      </c>
      <c r="B305" s="1" t="inlineStr">
        <is>
          <t>6D060</t>
        </is>
      </c>
      <c r="C305" s="1" t="inlineStr">
        <is>
          <t>Россия</t>
        </is>
      </c>
      <c r="D305" s="1" t="inlineStr">
        <is>
          <t>Дубна</t>
        </is>
      </c>
      <c r="E305" s="1" t="inlineStr">
        <is>
          <t>Россия, 141981, Московская обл., г. Дубна, ул. Электронная, д. 8, корп. 1</t>
        </is>
      </c>
      <c r="F305" s="10" t="inlineStr">
        <is>
          <t>http://www.pascal-med.ru</t>
        </is>
      </c>
      <c r="G305" s="1" t="inlineStr">
        <is>
          <t>info@pascal-med.ru</t>
        </is>
      </c>
      <c r="H305" s="1" t="inlineStr">
        <is>
          <t>Российский высокотехнологичный производственный комплекс по выпуску медицинских изделий. Производство и реализация под брендом PASCAL' полного ассортимента одноразовых шприцев, инфузионных систем.</t>
        </is>
      </c>
      <c r="I305" s="1" t="inlineStr">
        <is>
          <t>Перевязочные средства; Инструменты и принадлежности для инъекций  и взятия крови; Одноразовые медицинские изделия прочие</t>
        </is>
      </c>
      <c r="J305" s="1">
        <f>IFERROR(__xludf.DUMMYFUNCTION("AI(Prompt!$B$6, H347:I347)"),"Производитель")</f>
        <v/>
      </c>
      <c r="K305" s="1">
        <f>IFERROR(__xludf.DUMMYFUNCTION("AI(Prompt!$B$12, H347:J347)"),"OK")</f>
        <v/>
      </c>
      <c r="L305" s="1">
        <f>IFERROR(__xludf.DUMMYFUNCTION("AI(Prompt!$B$17, H347:I347)"),"шприцы, инфузионные системы и перевязочные средства")</f>
        <v/>
      </c>
      <c r="M305" s="1">
        <f>IFERROR(__xludf.DUMMYFUNCTION("AI(Prompt!$B$21,A347)"),"Паскаль Медикал")</f>
        <v/>
      </c>
      <c r="N305" s="1" t="inlineStr">
        <is>
          <t>Здравоохранение-2025</t>
        </is>
      </c>
      <c r="O305" s="9" t="inlineStr">
        <is>
          <t>https://icatalog.expocentr.ru/ru/exhibitions/de590dc5-417d-11ee-80ce-a0d3c1fab97f</t>
        </is>
      </c>
    </row>
    <row r="306" hidden="1" ht="16" customHeight="1">
      <c r="A306" s="1" t="inlineStr">
        <is>
          <t>БЕЛЭМСА, ООО</t>
        </is>
      </c>
      <c r="B306" s="11" t="n">
        <v>6e+30</v>
      </c>
      <c r="C306" s="1" t="inlineStr">
        <is>
          <t>Республика Беларусь</t>
        </is>
      </c>
      <c r="E306" s="1" t="inlineStr">
        <is>
          <t>Республика Беларусь, Могилёвская обл., Могилёвский р-н, Полыковичский сельсовет, д. 9</t>
        </is>
      </c>
      <c r="F306" s="10" t="inlineStr">
        <is>
          <t>https://belemsa.com</t>
        </is>
      </c>
      <c r="G306" s="1" t="inlineStr">
        <is>
          <t>anna.kor@belemsa.com</t>
        </is>
      </c>
      <c r="H306" s="1" t="inlineStr">
        <is>
          <t>Производство и реализация продукции санитарно-гигиенического назначения: подгузников и подгузников-трусиков для детей и взрослых, влажных салфеток, влажной туалетной бумаги, впитывающих пеленок.</t>
        </is>
      </c>
      <c r="I306" s="1" t="inlineStr">
        <is>
          <t>Одноразовые медицинские изделия прочие; Производство медицинских изделий; Одноразовые медицинские изделия</t>
        </is>
      </c>
      <c r="J306" s="1">
        <f>IFERROR(__xludf.DUMMYFUNCTION("AI(Prompt!$B$6, H348:I348)"),"Производитель")</f>
        <v/>
      </c>
      <c r="K306" s="1">
        <f>IFERROR(__xludf.DUMMYFUNCTION("AI(Prompt!$B$12, H348:J348)"),"OK")</f>
        <v/>
      </c>
      <c r="L306" s="1">
        <f>IFERROR(__xludf.DUMMYFUNCTION("AI(Prompt!$B$17, H348:I348)"),"подгузники, салфетки и пеленки")</f>
        <v/>
      </c>
      <c r="M306" s="1">
        <f>IFERROR(__xludf.DUMMYFUNCTION("AI(Prompt!$B$21,A348)"),"Белэмса")</f>
        <v/>
      </c>
      <c r="N306" s="1" t="inlineStr">
        <is>
          <t>Здравоохранение-2025</t>
        </is>
      </c>
      <c r="O306" s="9" t="inlineStr">
        <is>
          <t>https://icatalog.expocentr.ru/ru/exhibitions/de590dc5-417d-11ee-80ce-a0d3c1fab97f</t>
        </is>
      </c>
    </row>
    <row r="307" ht="16" customHeight="1">
      <c r="A307" s="1" t="inlineStr">
        <is>
          <t>ГРУППА СИЭЙЧЭМ, ООО</t>
        </is>
      </c>
      <c r="B307" s="11" t="n">
        <v>6e+120</v>
      </c>
      <c r="C307" s="1" t="inlineStr">
        <is>
          <t>Россия</t>
        </is>
      </c>
      <c r="D307" s="1" t="inlineStr">
        <is>
          <t>Пенза</t>
        </is>
      </c>
      <c r="E307" s="1" t="inlineStr">
        <is>
          <t>Россия, 440052, г. Пенза, ул. Чкалова, стр. 32а, оф. 212</t>
        </is>
      </c>
      <c r="F307" s="10" t="inlineStr">
        <is>
          <t>https://wegorus.ru</t>
        </is>
      </c>
      <c r="G307" s="1" t="inlineStr">
        <is>
          <t>chmgroup@yandex.ru</t>
        </is>
      </c>
      <c r="H307" s="1" t="inlineStr">
        <is>
          <t>Поставка на территории России шовного материала WEGO премиум-класса.</t>
        </is>
      </c>
      <c r="I307" s="1" t="inlineStr">
        <is>
          <t>Шовный материал</t>
        </is>
      </c>
      <c r="J307" s="1">
        <f>IFERROR(__xludf.DUMMYFUNCTION("AI(Prompt!$B$6, H349:I349)"),"Дилер")</f>
        <v/>
      </c>
      <c r="K307" s="1">
        <f>IFERROR(__xludf.DUMMYFUNCTION("AI(Prompt!$B$12, H349:J349)"),"OK")</f>
        <v/>
      </c>
      <c r="L307" s="1">
        <f>IFERROR(__xludf.DUMMYFUNCTION("AI(Prompt!$B$17, H349:I349)"),"шовный материал")</f>
        <v/>
      </c>
      <c r="M307" s="1">
        <f>IFERROR(__xludf.DUMMYFUNCTION("AI(Prompt!$B$21,A349)"),"Группа СИЭЙЧЭМ")</f>
        <v/>
      </c>
      <c r="N307" s="1" t="inlineStr">
        <is>
          <t>Здравоохранение-2025</t>
        </is>
      </c>
      <c r="O307" s="9" t="inlineStr">
        <is>
          <t>https://icatalog.expocentr.ru/ru/exhibitions/de590dc5-417d-11ee-80ce-a0d3c1fab97f</t>
        </is>
      </c>
    </row>
    <row r="308" ht="16" customHeight="1">
      <c r="A308" s="1" t="inlineStr">
        <is>
          <t>БУРР ИФМ, ФИЛИАЛ</t>
        </is>
      </c>
      <c r="B308" s="11" t="n">
        <v>6e+82</v>
      </c>
      <c r="C308" s="1" t="inlineStr">
        <is>
          <t>Россия</t>
        </is>
      </c>
      <c r="D308" s="1" t="inlineStr">
        <is>
          <t>Химки</t>
        </is>
      </c>
      <c r="E308" s="1" t="inlineStr">
        <is>
          <t>Россия, 141401, Московская обл., г. Химки, ул. Юннатов, д. 10, кв. 119</t>
        </is>
      </c>
      <c r="G308" s="1" t="inlineStr">
        <is>
          <t>jason_xia@intelfacility.com</t>
        </is>
      </c>
      <c r="H308" s="1" t="inlineStr">
        <is>
          <t>«Бурр ИФМ» поставляет полный спектр оборудования для производства и обработки шовных рассасывающихся нитей: линии экструзии, нанесения покрытия, запрессовки нити, сушения гранул, оборудования для намотки шпули и упаковки.</t>
        </is>
      </c>
      <c r="I308" s="1" t="inlineStr">
        <is>
          <t>Поставка медицинского оборудования и расходных материалов; Производство медицинских изделий; Эстетическая медицина и косметология; Хирургическое оборудование; Хирургические инструменты; Шовный материал</t>
        </is>
      </c>
      <c r="J308" s="1">
        <f>IFERROR(__xludf.DUMMYFUNCTION("AI(Prompt!$B$6, H350:I350)"),"Производитель")</f>
        <v/>
      </c>
      <c r="K308" s="1">
        <f>IFERROR(__xludf.DUMMYFUNCTION("AI(Prompt!$B$12, H350:J350)"),"OK")</f>
        <v/>
      </c>
      <c r="L308" s="1">
        <f>IFERROR(__xludf.DUMMYFUNCTION("AI(Prompt!$B$17, H350:I350)"),"медицинское оборудование, расходные материалы, хирургические инструменты и шовный материал")</f>
        <v/>
      </c>
      <c r="M308" s="1">
        <f>IFERROR(__xludf.DUMMYFUNCTION("AI(Prompt!$B$21,A350)"),"БуРР ИФМ")</f>
        <v/>
      </c>
      <c r="N308" s="1" t="inlineStr">
        <is>
          <t>Здравоохранение-2025</t>
        </is>
      </c>
      <c r="O308" s="9" t="inlineStr">
        <is>
          <t>https://icatalog.expocentr.ru/ru/exhibitions/de590dc5-417d-11ee-80ce-a0d3c1fab97f</t>
        </is>
      </c>
    </row>
    <row r="309" ht="16" customHeight="1">
      <c r="A309" s="1" t="inlineStr">
        <is>
          <t>ЦТМТ ГИПЕРМЕД, ООО</t>
        </is>
      </c>
      <c r="B309" s="1" t="inlineStr">
        <is>
          <t>6C010</t>
        </is>
      </c>
      <c r="C309" s="1" t="inlineStr">
        <is>
          <t>Россия</t>
        </is>
      </c>
      <c r="D309" s="1" t="inlineStr">
        <is>
          <t>Москва</t>
        </is>
      </c>
      <c r="E309" s="1" t="inlineStr">
        <is>
          <t>Россия, 107113, г. Москва, ул. Лобачика, д. 17</t>
        </is>
      </c>
      <c r="F309" s="10" t="inlineStr">
        <is>
          <t>http://ctmt.ru</t>
        </is>
      </c>
      <c r="G309" s="1" t="inlineStr">
        <is>
          <t>ctmt@ctmt.ru</t>
        </is>
      </c>
      <c r="H309" s="1" t="inlineStr">
        <is>
          <t>Центр Торговли Медицинскими Товарами (ООО «ЦТМТ Гипермед») — ведущий российский поставщик федерального масштаба, специализирующийся на оптовой реализации продукции медицинского назначения.</t>
        </is>
      </c>
      <c r="I309" s="1" t="inlineStr">
        <is>
          <t>Инструменты урологические; Одноразовые медицинские изделия прочие; Расходные материалы для медицинского оборудования; Ларингоскопы; Принадлежности и расходные материалы для реанимации и экстренной помощи; Принадлежности для хирургических аппаратов</t>
        </is>
      </c>
      <c r="J309" s="1">
        <f>IFERROR(__xludf.DUMMYFUNCTION("AI(Prompt!$B$6, H351:I351)"),"Дилер")</f>
        <v/>
      </c>
      <c r="K309" s="1">
        <f>IFERROR(__xludf.DUMMYFUNCTION("AI(Prompt!$B$12, H351:J351)"),"OK")</f>
        <v/>
      </c>
      <c r="L309" s="1">
        <f>IFERROR(__xludf.DUMMYFUNCTION("AI(Prompt!$B$17, H351:I351)"),"медицинские изделия, ларингоскопы и инструменты")</f>
        <v/>
      </c>
      <c r="M309" s="1">
        <f>IFERROR(__xludf.DUMMYFUNCTION("AI(Prompt!$B$21,A351)"),"Цтмт Гипермед")</f>
        <v/>
      </c>
      <c r="N309" s="1" t="inlineStr">
        <is>
          <t>Здравоохранение-2025</t>
        </is>
      </c>
      <c r="O309" s="9" t="inlineStr">
        <is>
          <t>https://icatalog.expocentr.ru/ru/exhibitions/de590dc5-417d-11ee-80ce-a0d3c1fab97f</t>
        </is>
      </c>
    </row>
    <row r="310" ht="16" customHeight="1">
      <c r="A310" s="1" t="inlineStr">
        <is>
          <t>ГЕОМЕД ПЛЮС, ООО</t>
        </is>
      </c>
      <c r="B310" s="11" t="n">
        <v>6000000000000000</v>
      </c>
      <c r="C310" s="1" t="inlineStr">
        <is>
          <t>Россия</t>
        </is>
      </c>
      <c r="D310" s="1" t="inlineStr">
        <is>
          <t>Нальчик</t>
        </is>
      </c>
      <c r="E310" s="1" t="inlineStr">
        <is>
          <t>Россия, 360000, Кабардино-Балкарская Республика, г. Нальчик, просп. Ленина, д. 57, оф. 24</t>
        </is>
      </c>
      <c r="F310" s="10" t="inlineStr">
        <is>
          <t>http://www.geomedplus.ru</t>
        </is>
      </c>
      <c r="G310" s="1" t="inlineStr">
        <is>
          <t>geomedplus@mail.ru</t>
        </is>
      </c>
      <c r="H310" s="1" t="inlineStr">
        <is>
          <t>Специализация в области оборудования для дыхания. Увлажнители воздуха, дыхательные контуры, фильтры, принадлежности кислородной терапии и продукция для оказания неотложной помощи производства VADI Medical Technology Co. Ltd. Продукция сертифицирована на соответствие стандартам GMP, FDA, ISO 13485 и СЕ, EAC (РУ № ФСЗ 2010/08292 от 11.03.2020).</t>
        </is>
      </c>
      <c r="I310" s="1" t="inlineStr">
        <is>
          <t>Одноразовые медицинские изделия прочие; Расходные материалы для медицинского оборудования; Аппараты для искусственной вентиляции легких; Наркозно-дыхательные аппараты; Комплекты реанимационного оборудования; Принадлежности и расходные материалы для реанимации и экстренной помощи</t>
        </is>
      </c>
      <c r="J310" s="1">
        <f>IFERROR(__xludf.DUMMYFUNCTION("AI(Prompt!$B$6, H352:I352)"),"Производитель")</f>
        <v/>
      </c>
      <c r="K310" s="1">
        <f>IFERROR(__xludf.DUMMYFUNCTION("AI(Prompt!$B$12, H352:J352)"),"OK")</f>
        <v/>
      </c>
      <c r="L310" s="1">
        <f>IFERROR(__xludf.DUMMYFUNCTION("AI(Prompt!$B$17, H352:I352)"),"увлажнители воздуха, дыхательные контуры, фильтры, принадлежности и расходные материалы")</f>
        <v/>
      </c>
      <c r="M310" s="1">
        <f>IFERROR(__xludf.DUMMYFUNCTION("AI(Prompt!$B$21,A352)"),"Геомед Плюс")</f>
        <v/>
      </c>
      <c r="N310" s="1" t="inlineStr">
        <is>
          <t>Здравоохранение-2025</t>
        </is>
      </c>
      <c r="O310" s="9" t="inlineStr">
        <is>
          <t>https://icatalog.expocentr.ru/ru/exhibitions/de590dc5-417d-11ee-80ce-a0d3c1fab97f</t>
        </is>
      </c>
    </row>
    <row r="311" ht="16" customHeight="1">
      <c r="A311" s="1" t="inlineStr">
        <is>
          <t>СИБИРСКИЙ ЦЕНТР ИНВЕСТИЦИОННЫХ ТЕХНОЛОГИЙ, АО</t>
        </is>
      </c>
      <c r="B311" s="11" t="n">
        <v>6e+80</v>
      </c>
      <c r="C311" s="1" t="inlineStr">
        <is>
          <t>Россия</t>
        </is>
      </c>
      <c r="D311" s="1" t="inlineStr">
        <is>
          <t>Новосибирск</t>
        </is>
      </c>
      <c r="E311" s="1" t="inlineStr">
        <is>
          <t>Россия, 630001, г. Новосибирск, ул. Гипсовая, зд. 3, корп. 1, оф. 9</t>
        </is>
      </c>
      <c r="F311" s="10" t="inlineStr">
        <is>
          <t>https://optimelle.org</t>
        </is>
      </c>
      <c r="G311" s="1" t="inlineStr">
        <is>
          <t>info@optimelle.org</t>
        </is>
      </c>
      <c r="H311" s="1" t="inlineStr">
        <is>
          <t>АО «СЦИТ» — это разработчик, производитель и дистрибьютор современных перевязочных средств Optimelle, применяющихся для лечения острых и хронических ран в стадиях воспаления, регенерации и эпителизации.</t>
        </is>
      </c>
      <c r="I311" s="1" t="inlineStr">
        <is>
          <t>Перевязочные средства</t>
        </is>
      </c>
      <c r="J311" s="1">
        <f>IFERROR(__xludf.DUMMYFUNCTION("AI(Prompt!$B$6, H353:I353)"),"Производитель")</f>
        <v/>
      </c>
      <c r="K311" s="1">
        <f>IFERROR(__xludf.DUMMYFUNCTION("AI(Prompt!$B$12, H353:J353)"),"OK")</f>
        <v/>
      </c>
      <c r="L311" s="1">
        <f>IFERROR(__xludf.DUMMYFUNCTION("AI(Prompt!$B$17, H353:I353)"),"перевязочные средства")</f>
        <v/>
      </c>
      <c r="M311" s="1">
        <f>IFERROR(__xludf.DUMMYFUNCTION("AI(Prompt!$B$21,A353)"),"Сибирский Центр Инвестиционных Технологий")</f>
        <v/>
      </c>
      <c r="N311" s="1" t="inlineStr">
        <is>
          <t>Здравоохранение-2025</t>
        </is>
      </c>
      <c r="O311" s="9" t="inlineStr">
        <is>
          <t>https://icatalog.expocentr.ru/ru/exhibitions/de590dc5-417d-11ee-80ce-a0d3c1fab97f</t>
        </is>
      </c>
    </row>
    <row r="312" ht="16" customHeight="1">
      <c r="A312" s="1" t="inlineStr">
        <is>
          <t>ВАЙТ МЕДИКАЛ, ООО</t>
        </is>
      </c>
      <c r="B312" s="1" t="inlineStr">
        <is>
          <t>6C060</t>
        </is>
      </c>
      <c r="C312" s="1" t="inlineStr">
        <is>
          <t>Россия</t>
        </is>
      </c>
      <c r="D312" s="1" t="inlineStr">
        <is>
          <t>Москва</t>
        </is>
      </c>
      <c r="E312" s="1" t="inlineStr">
        <is>
          <t>Россия, 119048, г. Москва, ул. Усачёва, д. 29, корп. 1, пом. III, комн. 1, оф. 7, этаж подвал</t>
        </is>
      </c>
      <c r="F312" s="10" t="inlineStr">
        <is>
          <t>http://www.vait-medical.ru</t>
        </is>
      </c>
      <c r="G312" s="1" t="inlineStr">
        <is>
          <t>info@vait-medical.ru</t>
        </is>
      </c>
      <c r="H312" s="1" t="inlineStr">
        <is>
          <t>«ВАЙТ Медикал» – официальный российский производитель медицинских изделий под собственной торговой маркой для реанимации и интенсивной терапии. VAIT®, RUBY®, Double Diamond®; все права защищены.</t>
        </is>
      </c>
      <c r="I312" s="1" t="inlineStr">
        <is>
          <t>Принадлежности и расходные материалы для реанимации и экстренной помощи</t>
        </is>
      </c>
      <c r="J312" s="1">
        <f>IFERROR(__xludf.DUMMYFUNCTION("AI(Prompt!$B$6, H354:I354)"),"Производитель")</f>
        <v/>
      </c>
      <c r="K312" s="1">
        <f>IFERROR(__xludf.DUMMYFUNCTION("AI(Prompt!$B$12, H354:J354)"),"OK")</f>
        <v/>
      </c>
      <c r="L312" s="1">
        <f>IFERROR(__xludf.DUMMYFUNCTION("AI(Prompt!$B$17, H354:I354)"),"медицинские изделия, принадлежности и расходные материалы")</f>
        <v/>
      </c>
      <c r="M312" s="1">
        <f>IFERROR(__xludf.DUMMYFUNCTION("AI(Prompt!$B$21,A354)"),"Вайт Медикал")</f>
        <v/>
      </c>
      <c r="N312" s="1" t="inlineStr">
        <is>
          <t>Здравоохранение-2025</t>
        </is>
      </c>
      <c r="O312" s="9" t="inlineStr">
        <is>
          <t>https://icatalog.expocentr.ru/ru/exhibitions/de590dc5-417d-11ee-80ce-a0d3c1fab97f</t>
        </is>
      </c>
    </row>
    <row r="313" ht="16" customHeight="1">
      <c r="A313" s="1" t="inlineStr">
        <is>
          <t>ТАТХИМФАРМПРЕПАРАТЫ, АО</t>
        </is>
      </c>
      <c r="B313" s="11" t="n">
        <v>6e+118</v>
      </c>
      <c r="C313" s="1" t="inlineStr">
        <is>
          <t>Россия</t>
        </is>
      </c>
      <c r="D313" s="1" t="inlineStr">
        <is>
          <t>Казань</t>
        </is>
      </c>
      <c r="E313" s="1" t="inlineStr">
        <is>
          <t>Россия, 420091, Республика Татарстан, г. Казань, ул. Беломорская, д. 260</t>
        </is>
      </c>
      <c r="F313" s="10" t="inlineStr">
        <is>
          <t>http://www.tatpharm.ru</t>
        </is>
      </c>
      <c r="G313" s="1" t="inlineStr">
        <is>
          <t>marketing@tatpharm.ru</t>
        </is>
      </c>
      <c r="H313" s="1" t="inlineStr">
        <is>
          <t>Производство и реализация готовых лекарственных средств и шовного хирургического материала.</t>
        </is>
      </c>
      <c r="I313" s="1" t="inlineStr">
        <is>
          <t>Лекарственные средства; Шовный материал</t>
        </is>
      </c>
      <c r="J313" s="1">
        <f>IFERROR(__xludf.DUMMYFUNCTION("AI(Prompt!$B$6, H355:I355)"),"Производитель")</f>
        <v/>
      </c>
      <c r="K313" s="1">
        <f>IFERROR(__xludf.DUMMYFUNCTION("AI(Prompt!$B$12, H355:J355)"),"OK")</f>
        <v/>
      </c>
      <c r="L313" s="1">
        <f>IFERROR(__xludf.DUMMYFUNCTION("AI(Prompt!$B$17, H355:I355)"),"лекарственные средства и шовный материал")</f>
        <v/>
      </c>
      <c r="M313" s="1">
        <f>IFERROR(__xludf.DUMMYFUNCTION("AI(Prompt!$B$21,A355)"),"Татхимфармпрепараты")</f>
        <v/>
      </c>
      <c r="N313" s="1" t="inlineStr">
        <is>
          <t>Здравоохранение-2025</t>
        </is>
      </c>
      <c r="O313" s="9" t="inlineStr">
        <is>
          <t>https://icatalog.expocentr.ru/ru/exhibitions/de590dc5-417d-11ee-80ce-a0d3c1fab97f</t>
        </is>
      </c>
    </row>
    <row r="314" ht="16" customHeight="1">
      <c r="A314" s="1" t="inlineStr">
        <is>
          <t>МЕДСИЛ, АО</t>
        </is>
      </c>
      <c r="B314" s="1" t="inlineStr">
        <is>
          <t>6A010</t>
        </is>
      </c>
      <c r="C314" s="1" t="inlineStr">
        <is>
          <t>Россия</t>
        </is>
      </c>
      <c r="D314" s="1" t="inlineStr">
        <is>
          <t>Мытищи</t>
        </is>
      </c>
      <c r="E314" s="1" t="inlineStr">
        <is>
          <t>Россия, 141018, Московская обл., г. Мытищи, Новомытищинский просп., д. 41а, пом. II/I</t>
        </is>
      </c>
      <c r="F314" s="10" t="inlineStr">
        <is>
          <t>http://www.medsil.ru</t>
        </is>
      </c>
      <c r="G314" s="1" t="inlineStr">
        <is>
          <t>info@medsil.ru</t>
        </is>
      </c>
      <c r="H314" s="1" t="inlineStr">
        <is>
          <t>Разработка и производство высококачественных медицинских изделий из силиконовой резины и других полимерных материалов.</t>
        </is>
      </c>
      <c r="I314" s="1" t="inlineStr">
        <is>
          <t>Одноразовые медицинские изделия прочие; Расходные материалы для медицинского оборудования; Производство медицинских изделий; Комплектующие для производства медицинских изделий; Средства для оказания экстренной медицинской помощи; Принадлежности и расходные материалы для реанимации и экстренной помощи</t>
        </is>
      </c>
      <c r="J314" s="1">
        <f>IFERROR(__xludf.DUMMYFUNCTION("AI(Prompt!$B$6, H356:I356)"),"Производитель")</f>
        <v/>
      </c>
      <c r="K314" s="1">
        <f>IFERROR(__xludf.DUMMYFUNCTION("AI(Prompt!$B$12, H356:J356)"),"OK")</f>
        <v/>
      </c>
      <c r="L314" s="1">
        <f>IFERROR(__xludf.DUMMYFUNCTION("AI(Prompt!$B$17, H356:I356)"),"медицинские изделия, комплектующие и расходные материалы")</f>
        <v/>
      </c>
      <c r="M314" s="1">
        <f>IFERROR(__xludf.DUMMYFUNCTION("AI(Prompt!$B$21,A356)"),"Медсил")</f>
        <v/>
      </c>
      <c r="N314" s="1" t="inlineStr">
        <is>
          <t>Здравоохранение-2025</t>
        </is>
      </c>
      <c r="O314" s="9" t="inlineStr">
        <is>
          <t>https://icatalog.expocentr.ru/ru/exhibitions/de590dc5-417d-11ee-80ce-a0d3c1fab97f</t>
        </is>
      </c>
    </row>
    <row r="315" ht="16" customHeight="1">
      <c r="A315" s="1" t="inlineStr">
        <is>
          <t>ЕЛЕЦ, МЕДИКО-ПРОИЗВОДСТВЕННАЯ КОМПАНИЯ, ООО</t>
        </is>
      </c>
      <c r="B315" s="1" t="inlineStr">
        <is>
          <t>6C045</t>
        </is>
      </c>
      <c r="C315" s="1" t="inlineStr">
        <is>
          <t>Россия</t>
        </is>
      </c>
      <c r="D315" s="1" t="inlineStr">
        <is>
          <t>Елец</t>
        </is>
      </c>
      <c r="E315" s="1" t="inlineStr">
        <is>
          <t>Россия, 399774, Липецкая обл., г. Елец, Кирпичный пер., зд. 27</t>
        </is>
      </c>
      <c r="F315" s="10" t="inlineStr">
        <is>
          <t>http://mpk-elec.ru</t>
        </is>
      </c>
      <c r="G315" s="1" t="inlineStr">
        <is>
          <t>mpk-marketing@mail.ru</t>
        </is>
      </c>
      <c r="H315" s="1" t="inlineStr">
        <is>
          <t>Ведущий производитель шприцев однократного применения с иглами, устройств для вливания инфузионных растворов и устройств для переливания крови, а также игл стерильных и нестерильных.</t>
        </is>
      </c>
      <c r="I315" s="1" t="inlineStr">
        <is>
          <t>Инструменты и принадлежности для инъекций  и взятия крови; Одноразовые медицинские изделия прочие; Производство медицинских изделий</t>
        </is>
      </c>
      <c r="J315" s="1">
        <f>IFERROR(__xludf.DUMMYFUNCTION("AI(Prompt!$B$6, H357:I357)"),"Производитель")</f>
        <v/>
      </c>
      <c r="K315" s="1">
        <f>IFERROR(__xludf.DUMMYFUNCTION("AI(Prompt!$B$12, H357:J357)"),"OK")</f>
        <v/>
      </c>
      <c r="L315" s="1">
        <f>IFERROR(__xludf.DUMMYFUNCTION("AI(Prompt!$B$17, H357:I357)"),"шприцы, иглы, устройства для вливания и переливания крови")</f>
        <v/>
      </c>
      <c r="M315" s="1">
        <f>IFERROR(__xludf.DUMMYFUNCTION("AI(Prompt!$B$21,A357)"),"Елец")</f>
        <v/>
      </c>
      <c r="N315" s="1" t="inlineStr">
        <is>
          <t>Здравоохранение-2025</t>
        </is>
      </c>
      <c r="O315" s="9" t="inlineStr">
        <is>
          <t>https://icatalog.expocentr.ru/ru/exhibitions/de590dc5-417d-11ee-80ce-a0d3c1fab97f</t>
        </is>
      </c>
    </row>
    <row r="316" ht="16" customHeight="1">
      <c r="A316" s="1" t="inlineStr">
        <is>
          <t>ЗДОРОВЬЕ</t>
        </is>
      </c>
      <c r="B316" s="1" t="inlineStr">
        <is>
          <t>6D001</t>
        </is>
      </c>
      <c r="C316" s="1" t="inlineStr">
        <is>
          <t>Россия</t>
        </is>
      </c>
      <c r="D316" s="1" t="inlineStr">
        <is>
          <t>Москва</t>
        </is>
      </c>
      <c r="E316" s="1" t="inlineStr">
        <is>
          <t>Россия, 115054, г. Москва, ул. Дубининская, д. 57, стр. 2, комн. 10</t>
        </is>
      </c>
      <c r="F316" s="10" t="inlineStr">
        <is>
          <t>http://www.gkzdorovie.ru</t>
        </is>
      </c>
      <c r="G316" s="1" t="inlineStr">
        <is>
          <t>sales@trauma-msk.ru</t>
        </is>
      </c>
      <c r="H316" s="1" t="inlineStr">
        <is>
          <t>Производитель и дистрибьютор. Поставки оборудования, инструментов, расходныхматериалов для таких направлений медицины, кактравматология, эндопротезирование, артроскопия,спинальная и общая хирургия, урология, онкология.</t>
        </is>
      </c>
      <c r="I316" s="1" t="inlineStr">
        <is>
          <t>Инструменты урологические; Электрохирургические аппараты</t>
        </is>
      </c>
      <c r="J316" s="1">
        <f>IFERROR(__xludf.DUMMYFUNCTION("AI(Prompt!$B$6, H358:I358)"),"Производитель")</f>
        <v/>
      </c>
      <c r="K316" s="1">
        <f>IFERROR(__xludf.DUMMYFUNCTION("AI(Prompt!$B$12, H358:J358)"),"OK")</f>
        <v/>
      </c>
      <c r="L316" s="1">
        <f>IFERROR(__xludf.DUMMYFUNCTION("AI(Prompt!$B$17, H358:I358)"),"оборудование, инструменты, расходные материалы и аппараты")</f>
        <v/>
      </c>
      <c r="M316" s="1">
        <f>IFERROR(__xludf.DUMMYFUNCTION("AI(Prompt!$B$21,A358)"),"Здоровье")</f>
        <v/>
      </c>
      <c r="N316" s="1" t="inlineStr">
        <is>
          <t>Здравоохранение-2025</t>
        </is>
      </c>
      <c r="O316" s="9" t="inlineStr">
        <is>
          <t>https://icatalog.expocentr.ru/ru/exhibitions/de590dc5-417d-11ee-80ce-a0d3c1fab97f</t>
        </is>
      </c>
    </row>
    <row r="317" hidden="1" ht="16" customHeight="1">
      <c r="A317" s="1" t="inlineStr">
        <is>
          <t>ФИАТОС, УП</t>
        </is>
      </c>
      <c r="B317" s="1" t="inlineStr">
        <is>
          <t>6A040</t>
        </is>
      </c>
      <c r="C317" s="1" t="inlineStr">
        <is>
          <t>Республика Беларусь</t>
        </is>
      </c>
      <c r="D317" s="1" t="inlineStr">
        <is>
          <t>Минск</t>
        </is>
      </c>
      <c r="E317" s="1" t="inlineStr">
        <is>
          <t>Республика Беларусь, 220033, г. Минск, ул. Фабричная, д. 26, пом. 4Н</t>
        </is>
      </c>
      <c r="F317" s="10" t="inlineStr">
        <is>
          <t>http://www.fiatos.com</t>
        </is>
      </c>
      <c r="G317" s="1" t="inlineStr">
        <is>
          <t>fiatos_s@mail.ru</t>
        </is>
      </c>
      <c r="H317" s="1" t="inlineStr">
        <is>
          <t>УП «ФИАТОС» — белорусский производитель стерильного рассасывающегося и нерассасывающегося хирургического шовного материала и сеток хирургических. Широкий ассортимент игл из стали различных марок.</t>
        </is>
      </c>
      <c r="I317" s="1" t="inlineStr">
        <is>
          <t>Материалы и инструменты для костной пластики и челюстно-лицевой хирургии; Одноразовые медицинские изделия прочие; Поставка медицинского оборудования и расходных материалов; Производство медицинских изделий; Принадлежности и расходные материалы для реанимации и экстренной помощи; Шовный материал</t>
        </is>
      </c>
      <c r="J317" s="1">
        <f>IFERROR(__xludf.DUMMYFUNCTION("AI(Prompt!$B$6, H359:I359)"),"Производитель")</f>
        <v/>
      </c>
      <c r="K317" s="1">
        <f>IFERROR(__xludf.DUMMYFUNCTION("AI(Prompt!$B$12, H359:J359)"),"OK")</f>
        <v/>
      </c>
      <c r="L317" s="1">
        <f>IFERROR(__xludf.DUMMYFUNCTION("AI(Prompt!$B$17, H359:I359)"),"шовный материал, хирургические сетки и иглы")</f>
        <v/>
      </c>
      <c r="M317" s="1">
        <f>IFERROR(__xludf.DUMMYFUNCTION("AI(Prompt!$B$21,A359)"),"Фиатос")</f>
        <v/>
      </c>
      <c r="N317" s="1" t="inlineStr">
        <is>
          <t>Здравоохранение-2025</t>
        </is>
      </c>
      <c r="O317" s="9" t="inlineStr">
        <is>
          <t>https://icatalog.expocentr.ru/ru/exhibitions/de590dc5-417d-11ee-80ce-a0d3c1fab97f</t>
        </is>
      </c>
    </row>
    <row r="318" ht="16" customHeight="1">
      <c r="A318" s="1" t="inlineStr">
        <is>
          <t>ФАРМЛИК, ООО</t>
        </is>
      </c>
      <c r="B318" s="1" t="inlineStr">
        <is>
          <t>6G080</t>
        </is>
      </c>
      <c r="C318" s="1" t="inlineStr">
        <is>
          <t>Россия</t>
        </is>
      </c>
      <c r="D318" s="1" t="inlineStr">
        <is>
          <t>Москва</t>
        </is>
      </c>
      <c r="E318" s="1" t="inlineStr">
        <is>
          <t>Россия, 117218, г. Москва, ул. Кедрова, д. 14, корп. 1, пом. 1</t>
        </is>
      </c>
      <c r="F318" s="10" t="inlineStr">
        <is>
          <t>https://farmlik.ru</t>
        </is>
      </c>
      <c r="G318" s="1" t="inlineStr">
        <is>
          <t>info@farmlik.ru</t>
        </is>
      </c>
      <c r="H318" s="1" t="inlineStr">
        <is>
          <t>Эксклюзивный дистрибьютор FRANKENMAN в РФ, производителя сшивающих аппаратов и высокотехнологичного хирургического оборудования FRANKENMAN. Прямой дистрибьютор KLS Martin, KARL STORZ и других производителей.</t>
        </is>
      </c>
      <c r="I318" s="1" t="inlineStr">
        <is>
          <t>Проктология; Хирургическое оборудование; Принадлежности для хирургических аппаратов; Электрохирургические аппараты; Ультразвуковые хирургические аппараты; Хирургические инструменты</t>
        </is>
      </c>
      <c r="J318" s="1">
        <f>IFERROR(__xludf.DUMMYFUNCTION("AI(Prompt!$B$6, H360:I360)"),"Дилер")</f>
        <v/>
      </c>
      <c r="K318" s="1">
        <f>IFERROR(__xludf.DUMMYFUNCTION("AI(Prompt!$B$12, H360:J360)"),"OK")</f>
        <v/>
      </c>
      <c r="L318" s="1">
        <f>IFERROR(__xludf.DUMMYFUNCTION("AI(Prompt!$B$17, H360:I360)"),"сшивающие аппараты, хирургическое оборудование и инструменты")</f>
        <v/>
      </c>
      <c r="M318" s="1">
        <f>IFERROR(__xludf.DUMMYFUNCTION("AI(Prompt!$B$21,A360)"),"Фармлик")</f>
        <v/>
      </c>
      <c r="N318" s="1" t="inlineStr">
        <is>
          <t>Здравоохранение-2025</t>
        </is>
      </c>
      <c r="O318" s="9" t="inlineStr">
        <is>
          <t>https://icatalog.expocentr.ru/ru/exhibitions/de590dc5-417d-11ee-80ce-a0d3c1fab97f</t>
        </is>
      </c>
    </row>
    <row r="319" ht="16" customHeight="1">
      <c r="A319" s="1" t="inlineStr">
        <is>
          <t>МАРОМАКС</t>
        </is>
      </c>
      <c r="B319" s="11" t="n">
        <v>6e+128</v>
      </c>
      <c r="C319" s="1" t="inlineStr">
        <is>
          <t>Россия</t>
        </is>
      </c>
      <c r="D319" s="1" t="inlineStr">
        <is>
          <t>Санкт-Петербург</t>
        </is>
      </c>
      <c r="E319" s="1" t="inlineStr">
        <is>
          <t>Россия, 195213, г. Санкт-Петербург, ул. Латышских Стрелков, д. 31, оф. 129</t>
        </is>
      </c>
      <c r="F319" s="10" t="inlineStr">
        <is>
          <t>http://www.maromax.ru</t>
        </is>
      </c>
      <c r="G319" s="1" t="inlineStr">
        <is>
          <t>info@maromax.ru</t>
        </is>
      </c>
      <c r="H319" s="1" t="inlineStr">
        <is>
          <t>Производитель и поставщик медизделий. Уход за трахеостомой. Анестезиология. Урология. Гастроэнтерология. Гинекология. Медицинские сумки. Оптом и в розницу. 15 лет на рынке, качество и надежность.</t>
        </is>
      </c>
      <c r="I319" s="1" t="inlineStr">
        <is>
          <t>Одноразовые медицинские изделия; Средства для оказания экстренной медицинской помощи; Аппараты для искусственной вентиляции легких; Наркозно-дыхательные аппараты; Устройства для энтерального питания; Принадлежности и расходные материалы для реанимации и экстренной помощи</t>
        </is>
      </c>
      <c r="J319" s="1">
        <f>IFERROR(__xludf.DUMMYFUNCTION("AI(Prompt!$B$6, H361:I361)"),"Производитель")</f>
        <v/>
      </c>
      <c r="K319" s="1">
        <f>IFERROR(__xludf.DUMMYFUNCTION("AI(Prompt!$B$12, H361:J361)"),"OK")</f>
        <v/>
      </c>
      <c r="L319" s="1">
        <f>IFERROR(__xludf.DUMMYFUNCTION("AI(Prompt!$B$17, H361:I361)"),"медицинские изделия, аппараты ИВЛ и сумки")</f>
        <v/>
      </c>
      <c r="M319" s="1">
        <f>IFERROR(__xludf.DUMMYFUNCTION("AI(Prompt!$B$21,A361)"),"Маромакс")</f>
        <v/>
      </c>
      <c r="N319" s="1" t="inlineStr">
        <is>
          <t>Здравоохранение-2025</t>
        </is>
      </c>
      <c r="O319" s="9" t="inlineStr">
        <is>
          <t>https://icatalog.expocentr.ru/ru/exhibitions/de590dc5-417d-11ee-80ce-a0d3c1fab97f</t>
        </is>
      </c>
    </row>
    <row r="320" ht="16" customHeight="1">
      <c r="A320" s="1" t="inlineStr">
        <is>
          <t>ФАБРИКА ДИАГРАММНЫХ БУМАГ, ЗАО</t>
        </is>
      </c>
      <c r="B320" s="1" t="inlineStr">
        <is>
          <t>6F077</t>
        </is>
      </c>
      <c r="C320" s="1" t="inlineStr">
        <is>
          <t>Россия</t>
        </is>
      </c>
      <c r="D320" s="1" t="inlineStr">
        <is>
          <t>Белгород</t>
        </is>
      </c>
      <c r="E320" s="1" t="inlineStr">
        <is>
          <t>Россия, 308017, г. Белгород, ул. Константина Заслонова, д. 161г</t>
        </is>
      </c>
      <c r="F320" s="10" t="inlineStr">
        <is>
          <t>http://www.chartpaperexpert.com</t>
        </is>
      </c>
      <c r="G320" s="1" t="inlineStr">
        <is>
          <t>info@bfdb.ru</t>
        </is>
      </c>
      <c r="H320" s="1" t="inlineStr">
        <is>
          <t>Производство лент диаграммных рулонных и складывающихся для медицинских регистрирующих приборов, термобумаги для УЗ-принтеров, а также одноразовых ЭКГ-электродов, универсальных гелей для ЭКГ и УЗИ.</t>
        </is>
      </c>
      <c r="I320" s="1" t="inlineStr">
        <is>
          <t>Приборы и принадлежности для кардиографических исследований; Расходные материалы для медицинских приборов; Одноразовые медицинские изделия прочие; Расходные материалы для медицинского оборудования; Производство медицинских изделий</t>
        </is>
      </c>
      <c r="J320" s="1">
        <f>IFERROR(__xludf.DUMMYFUNCTION("AI(Prompt!$B$6, H362:I362)"),"Производитель")</f>
        <v/>
      </c>
      <c r="K320" s="1">
        <f>IFERROR(__xludf.DUMMYFUNCTION("AI(Prompt!$B$12, H362:J362)"),"OK")</f>
        <v/>
      </c>
      <c r="L320" s="1">
        <f>IFERROR(__xludf.DUMMYFUNCTION("AI(Prompt!$B$17, H362:I362)"),"ленты, термобумага, электроды и гели")</f>
        <v/>
      </c>
      <c r="M320" s="1">
        <f>IFERROR(__xludf.DUMMYFUNCTION("AI(Prompt!$B$21,A362)"),"Фабрика Диаграммных Бумаг")</f>
        <v/>
      </c>
      <c r="N320" s="1" t="inlineStr">
        <is>
          <t>Здравоохранение-2025</t>
        </is>
      </c>
      <c r="O320" s="9" t="inlineStr">
        <is>
          <t>https://icatalog.expocentr.ru/ru/exhibitions/de590dc5-417d-11ee-80ce-a0d3c1fab97f</t>
        </is>
      </c>
    </row>
    <row r="321" ht="16" customHeight="1">
      <c r="A321" s="1" t="inlineStr">
        <is>
          <t>МЕРКУРИЙ-ВОЛГА Интер-Лаб</t>
        </is>
      </c>
      <c r="B321" s="1" t="inlineStr">
        <is>
          <t>6F106</t>
        </is>
      </c>
      <c r="C321" s="1" t="inlineStr">
        <is>
          <t>Россия</t>
        </is>
      </c>
      <c r="D321" s="1" t="inlineStr">
        <is>
          <t>Нижний Новгород</t>
        </is>
      </c>
      <c r="E321" s="1" t="inlineStr">
        <is>
          <t>Россия, 603006, г. Нижний Новгород, пер. Могилевича, д. 5, оф. 1</t>
        </is>
      </c>
      <c r="F321" s="10" t="inlineStr">
        <is>
          <t>http://www.medfason.ru</t>
        </is>
      </c>
      <c r="G321" s="1" t="inlineStr">
        <is>
          <t>tkv@mil-nn.ru</t>
        </is>
      </c>
      <c r="H321" s="1" t="inlineStr">
        <is>
          <t>Производим медицинскую одежду — от эскиза до готового изделия — на протяжении 25 лет. Собственное вышивальное и DTF-оборудование. Заключение МПТ, РУ МЗ РФ на каждое изделие. Шьем всю линейку медицинской одежды для проекта «СЛУЖБА ЗДОРОВЬЯ».</t>
        </is>
      </c>
      <c r="I321" s="1" t="inlineStr">
        <is>
          <t>Медицинская мебель; Одежда и белье для пациентов и медицинского персонала; Производство медицинских изделий; Лабораторное оборудование; Реагенты и расходные материалы для лабораторной диагностики</t>
        </is>
      </c>
      <c r="J321" s="1">
        <f>IFERROR(__xludf.DUMMYFUNCTION("AI(Prompt!$B$6, H363:I363)"),"Производитель")</f>
        <v/>
      </c>
      <c r="K321" s="1">
        <f>IFERROR(__xludf.DUMMYFUNCTION("AI(Prompt!$B$12, H363:J363)"),"OK")</f>
        <v/>
      </c>
      <c r="L321" s="1">
        <f>IFERROR(__xludf.DUMMYFUNCTION("AI(Prompt!$B$17, H363:I363)"),"медицинская одежда, медицинская мебель, лабораторное оборудование и реагенты")</f>
        <v/>
      </c>
      <c r="M321" s="1">
        <f>IFERROR(__xludf.DUMMYFUNCTION("AI(Prompt!$B$21,A363)"),"Меркурий-Волга Интер-Лаб")</f>
        <v/>
      </c>
      <c r="N321" s="1" t="inlineStr">
        <is>
          <t>Здравоохранение-2025</t>
        </is>
      </c>
      <c r="O321" s="9" t="inlineStr">
        <is>
          <t>https://icatalog.expocentr.ru/ru/exhibitions/de590dc5-417d-11ee-80ce-a0d3c1fab97f</t>
        </is>
      </c>
    </row>
    <row r="322" ht="16" customHeight="1">
      <c r="A322" s="1" t="inlineStr">
        <is>
          <t>МЕДИРАМА, ООО</t>
        </is>
      </c>
      <c r="B322" s="1" t="inlineStr">
        <is>
          <t>6B070</t>
        </is>
      </c>
      <c r="C322" s="1" t="inlineStr">
        <is>
          <t>Россия</t>
        </is>
      </c>
      <c r="D322" s="1" t="inlineStr">
        <is>
          <t>Санкт-Петербург</t>
        </is>
      </c>
      <c r="E322" s="1" t="inlineStr">
        <is>
          <t>Россия, 195248, г. Санкт-Петербург, ул. Дегтярёва, д. 4, литера А, пом. 107</t>
        </is>
      </c>
      <c r="F322" s="10" t="inlineStr">
        <is>
          <t>http://www.medirama.ru</t>
        </is>
      </c>
      <c r="G322" s="1" t="inlineStr">
        <is>
          <t>medirama@mail.ru</t>
        </is>
      </c>
      <c r="H322" s="1" t="inlineStr">
        <is>
          <t>Импортер одноразовых медицинских расходных материалов CERTUS: скальпелей, лезвий, урологических катетеров Фолея, Нелатона, перчаток.</t>
        </is>
      </c>
      <c r="I322" s="1" t="inlineStr">
        <is>
          <t>Инструменты урологические; Стоматологическое оборудование и инструменты; Одноразовые медицинские изделия прочие; Принадлежности и расходные материалы для реанимации и экстренной помощи; Хирургические инструменты</t>
        </is>
      </c>
      <c r="J322" s="1">
        <f>IFERROR(__xludf.DUMMYFUNCTION("AI(Prompt!$B$6, H364:I364)"),"Дилер")</f>
        <v/>
      </c>
      <c r="K322" s="1">
        <f>IFERROR(__xludf.DUMMYFUNCTION("AI(Prompt!$B$12, H364:J364)"),"OK")</f>
        <v/>
      </c>
      <c r="L322" s="1">
        <f>IFERROR(__xludf.DUMMYFUNCTION("AI(Prompt!$B$17, H364:I364)"),"медицинские расходные материалы, скальпели, катетеры, перчатки и хирургические инструменты")</f>
        <v/>
      </c>
      <c r="M322" s="1">
        <f>IFERROR(__xludf.DUMMYFUNCTION("AI(Prompt!$B$21,A364)"),"Медирама")</f>
        <v/>
      </c>
      <c r="N322" s="1" t="inlineStr">
        <is>
          <t>Здравоохранение-2025</t>
        </is>
      </c>
      <c r="O322" s="9" t="inlineStr">
        <is>
          <t>https://icatalog.expocentr.ru/ru/exhibitions/de590dc5-417d-11ee-80ce-a0d3c1fab97f</t>
        </is>
      </c>
    </row>
    <row r="323" ht="16" customHeight="1">
      <c r="A323" s="1" t="inlineStr">
        <is>
          <t>НОВАЯ МЕДИЦИНСКАЯ КОМПАНИЯ, ООО</t>
        </is>
      </c>
      <c r="B323" s="1" t="inlineStr">
        <is>
          <t>6B030</t>
        </is>
      </c>
      <c r="C323" s="1" t="inlineStr">
        <is>
          <t>Россия</t>
        </is>
      </c>
      <c r="D323" s="1" t="inlineStr">
        <is>
          <t>Москва</t>
        </is>
      </c>
      <c r="E323" s="1" t="inlineStr">
        <is>
          <t>Россия, 121354, г. Москва, вн. тер. г. м. о. Можайский, ул. Дорогобужская, д. 14</t>
        </is>
      </c>
      <c r="F323" s="10" t="inlineStr">
        <is>
          <t>http://www.nmcport.com</t>
        </is>
      </c>
      <c r="G323" s="1" t="inlineStr">
        <is>
          <t>v.ivzan@nmedcom.ru</t>
        </is>
      </c>
      <c r="H323" s="1" t="inlineStr">
        <is>
          <t>«Новая Медицинская Компания» (НМК) — надежный партнер медицинского сообщества, поставщик современных высококачественных медицинских изделий и самых актуальных решений для здравоохранения.</t>
        </is>
      </c>
      <c r="I323" s="1" t="inlineStr">
        <is>
          <t>Перевязочные средства; Небулайзеры (ингаляторы); Принадлежности и расходные материалы для реанимации и экстренной помощи</t>
        </is>
      </c>
      <c r="J323" s="1">
        <f>IFERROR(__xludf.DUMMYFUNCTION("AI(Prompt!$B$6, H365:I365)"),"Дилер")</f>
        <v/>
      </c>
      <c r="K323" s="1">
        <f>IFERROR(__xludf.DUMMYFUNCTION("AI(Prompt!$B$12, H365:J365)"),"OK")</f>
        <v/>
      </c>
      <c r="L323" s="1">
        <f>IFERROR(__xludf.DUMMYFUNCTION("AI(Prompt!$B$17, H365:I365)"),"перевязочные средства, небулайзеры и расходные материалы")</f>
        <v/>
      </c>
      <c r="M323" s="1">
        <f>IFERROR(__xludf.DUMMYFUNCTION("AI(Prompt!$B$21,A365)"),"Новая Медицинская Компания")</f>
        <v/>
      </c>
      <c r="N323" s="1" t="inlineStr">
        <is>
          <t>Здравоохранение-2025</t>
        </is>
      </c>
      <c r="O323" s="9" t="inlineStr">
        <is>
          <t>https://icatalog.expocentr.ru/ru/exhibitions/de590dc5-417d-11ee-80ce-a0d3c1fab97f</t>
        </is>
      </c>
    </row>
    <row r="324" ht="16" customHeight="1">
      <c r="A324" s="1" t="inlineStr">
        <is>
          <t>БЕРИМЕД, ООО</t>
        </is>
      </c>
      <c r="B324" s="1" t="inlineStr">
        <is>
          <t>6C075</t>
        </is>
      </c>
      <c r="C324" s="1" t="inlineStr">
        <is>
          <t>Россия</t>
        </is>
      </c>
      <c r="D324" s="1" t="inlineStr">
        <is>
          <t>Москва</t>
        </is>
      </c>
      <c r="E324" s="1" t="inlineStr">
        <is>
          <t>Россия, 129329, г. Москва, ул. Ивовая, д. 1, корп. 1, этаж 1, комн. 101/1</t>
        </is>
      </c>
      <c r="F324" s="10" t="inlineStr">
        <is>
          <t>http://berimed.ru</t>
        </is>
      </c>
      <c r="G324" s="1" t="inlineStr">
        <is>
          <t>info@berimed.ru</t>
        </is>
      </c>
      <c r="H324" s="1" t="inlineStr">
        <is>
          <t>Производство медицинских изделий: вакуумных пробирок, двухсторонних игл, держателей, многоразовых жгутов, контейнеров, гинекологических зеркал, зондов и др. Импорт одноразовых жгутов, луер-адаптеров.</t>
        </is>
      </c>
      <c r="I324" s="1" t="inlineStr">
        <is>
          <t>Производство медицинских изделий</t>
        </is>
      </c>
      <c r="J324" s="1">
        <f>IFERROR(__xludf.DUMMYFUNCTION("AI(Prompt!$B$6, H366:I366)"),"Производитель")</f>
        <v/>
      </c>
      <c r="K324" s="1">
        <f>IFERROR(__xludf.DUMMYFUNCTION("AI(Prompt!$B$12, H366:J366)"),"OK")</f>
        <v/>
      </c>
      <c r="L324" s="1">
        <f>IFERROR(__xludf.DUMMYFUNCTION("AI(Prompt!$B$17, H366:I366)"),"медицинские изделия, пробирки, иглы, жгуты и контейнеры")</f>
        <v/>
      </c>
      <c r="M324" s="1">
        <f>IFERROR(__xludf.DUMMYFUNCTION("AI(Prompt!$B$21,A366)"),"Беримед")</f>
        <v/>
      </c>
      <c r="N324" s="1" t="inlineStr">
        <is>
          <t>Здравоохранение-2025</t>
        </is>
      </c>
      <c r="O324" s="9" t="inlineStr">
        <is>
          <t>https://icatalog.expocentr.ru/ru/exhibitions/de590dc5-417d-11ee-80ce-a0d3c1fab97f</t>
        </is>
      </c>
    </row>
    <row r="325" ht="16" customHeight="1">
      <c r="A325" s="1" t="inlineStr">
        <is>
          <t>МЕДИЦИНА-ПЛЮС, OOO</t>
        </is>
      </c>
      <c r="B325" s="1" t="inlineStr">
        <is>
          <t>6C020</t>
        </is>
      </c>
      <c r="C325" s="1" t="inlineStr">
        <is>
          <t>Россия</t>
        </is>
      </c>
      <c r="D325" s="1" t="inlineStr">
        <is>
          <t>Москва</t>
        </is>
      </c>
      <c r="E325" s="1" t="inlineStr">
        <is>
          <t>Россия, 117105, г. Москва, Варшавское ш., д. 28а, стр. 1, оф. 13</t>
        </is>
      </c>
      <c r="G325" s="1" t="inlineStr">
        <is>
          <t>info@medicina-plus.com</t>
        </is>
      </c>
      <c r="H325" s="1" t="inlineStr">
        <is>
          <t>Официальный дистрибьютор ООО «ТД АгатМед» — отечественного производителя одноразовых медицинских изделий из нетканых материалов.</t>
        </is>
      </c>
      <c r="I325" s="1" t="inlineStr">
        <is>
          <t>Одежда и белье для пациентов и медицинского персонала; Оборудование и средства борьбы с внутрибольничной инфекцией; Одноразовые медицинские изделия прочие</t>
        </is>
      </c>
      <c r="J325" s="1">
        <f>IFERROR(__xludf.DUMMYFUNCTION("AI(Prompt!$B$6, H367:I367)"),"Дилер")</f>
        <v/>
      </c>
      <c r="K325" s="1">
        <f>IFERROR(__xludf.DUMMYFUNCTION("AI(Prompt!$B$12, H367:J367)"),"OK")</f>
        <v/>
      </c>
      <c r="L325" s="1">
        <f>IFERROR(__xludf.DUMMYFUNCTION("AI(Prompt!$B$17, H367:I367)"),"одноразовые изделия, одежда, белье и оборудование")</f>
        <v/>
      </c>
      <c r="M325" s="1">
        <f>IFERROR(__xludf.DUMMYFUNCTION("AI(Prompt!$B$21,A367)"),"Медицина-Плюс")</f>
        <v/>
      </c>
      <c r="N325" s="1" t="inlineStr">
        <is>
          <t>Здравоохранение-2025</t>
        </is>
      </c>
      <c r="O325" s="9" t="inlineStr">
        <is>
          <t>https://icatalog.expocentr.ru/ru/exhibitions/de590dc5-417d-11ee-80ce-a0d3c1fab97f</t>
        </is>
      </c>
    </row>
    <row r="326" ht="16" customHeight="1">
      <c r="A326" s="1" t="inlineStr">
        <is>
          <t>ТВОЙ ОПТ, OOO</t>
        </is>
      </c>
      <c r="B326" s="1" t="inlineStr">
        <is>
          <t>6F094</t>
        </is>
      </c>
      <c r="C326" s="1" t="inlineStr">
        <is>
          <t>Россия</t>
        </is>
      </c>
      <c r="D326" s="1" t="inlineStr">
        <is>
          <t>Москва</t>
        </is>
      </c>
      <c r="E326" s="1" t="inlineStr">
        <is>
          <t>Россия, 125040, г. Москва, ул. Нижняя Масловка, д. 9, пом. 3/2</t>
        </is>
      </c>
      <c r="F326" s="10" t="inlineStr">
        <is>
          <t>http://www.medmedical.ru</t>
        </is>
      </c>
      <c r="G326" s="1" t="inlineStr">
        <is>
          <t>info@medmedical.ru</t>
        </is>
      </c>
      <c r="H326" s="1" t="inlineStr">
        <is>
          <t>ООО «Твой ОПТ» (ГК «ГлавМед») — оптовый медицинский склад, производитель и импортер общегоспитальных медицинских расходных материалов. Медицинские товары в наличии по лучшей цене.</t>
        </is>
      </c>
      <c r="I326" s="1" t="inlineStr">
        <is>
          <t>Прочие диагностические устройства; Перевязочные средства; Инструменты и принадлежности для инъекций  и взятия крови; Гигиенические изделия для больниц; Одноразовые медицинские изделия прочие</t>
        </is>
      </c>
      <c r="J326" s="1">
        <f>IFERROR(__xludf.DUMMYFUNCTION("AI(Prompt!$B$6, H368:I368)"),"Производитель")</f>
        <v/>
      </c>
      <c r="K326" s="1">
        <f>IFERROR(__xludf.DUMMYFUNCTION("AI(Prompt!$B$12, H368:J368)"),"OK")</f>
        <v/>
      </c>
      <c r="L326" s="1">
        <f>IFERROR(__xludf.DUMMYFUNCTION("AI(Prompt!$B$17, H368:I368)"),"расходные материалы, диагностические устройства, перевязочные средства и гигиенические изделия")</f>
        <v/>
      </c>
      <c r="M326" s="1">
        <f>IFERROR(__xludf.DUMMYFUNCTION("AI(Prompt!$B$21,A368)"),"Твой Опт")</f>
        <v/>
      </c>
      <c r="N326" s="1" t="inlineStr">
        <is>
          <t>Здравоохранение-2025</t>
        </is>
      </c>
      <c r="O326" s="9" t="inlineStr">
        <is>
          <t>https://icatalog.expocentr.ru/ru/exhibitions/de590dc5-417d-11ee-80ce-a0d3c1fab97f</t>
        </is>
      </c>
    </row>
    <row r="327" ht="16" customHeight="1">
      <c r="A327" s="1" t="inlineStr">
        <is>
          <t>ИМЭКС, АО</t>
        </is>
      </c>
      <c r="B327" s="1" t="inlineStr">
        <is>
          <t>6D077</t>
        </is>
      </c>
      <c r="C327" s="1" t="inlineStr">
        <is>
          <t>Россия</t>
        </is>
      </c>
      <c r="D327" s="1" t="inlineStr">
        <is>
          <t>Санкт-Петербург</t>
        </is>
      </c>
      <c r="E327" s="1" t="inlineStr">
        <is>
          <t>Россия, 191119, г. Санкт-Петербург, ул. Звенигородская, д. 8-10, литера Б, пом. 22</t>
        </is>
      </c>
      <c r="F327" s="10" t="inlineStr">
        <is>
          <t>http://imex-company.ru</t>
        </is>
      </c>
      <c r="G327" s="1" t="inlineStr">
        <is>
          <t>leshchenko@exten.ru</t>
        </is>
      </c>
      <c r="H327" s="1" t="inlineStr">
        <is>
          <t>Компания «ИМЭКС» обладает собственным производством, поставляет медицинское оборудование, расходные материалы, изделия медицинского назначения, перевязочные материалы для оказания медицинской помощи.</t>
        </is>
      </c>
      <c r="I327" s="1" t="inlineStr">
        <is>
          <t>Перевязочные средства; Одноразовые медицинские изделия прочие</t>
        </is>
      </c>
      <c r="J327" s="1">
        <f>IFERROR(__xludf.DUMMYFUNCTION("AI(Prompt!$B$6, H369:I369)"),"Производитель")</f>
        <v/>
      </c>
      <c r="K327" s="1">
        <f>IFERROR(__xludf.DUMMYFUNCTION("AI(Prompt!$B$12, H369:J369)"),"OK")</f>
        <v/>
      </c>
      <c r="L327" s="1">
        <f>IFERROR(__xludf.DUMMYFUNCTION("AI(Prompt!$B$17, H369:I369)"),"медицинское оборудование, расходные материалы и перевязочные средства")</f>
        <v/>
      </c>
      <c r="M327" s="1">
        <f>IFERROR(__xludf.DUMMYFUNCTION("AI(Prompt!$B$21,A369)"),"Имэкс")</f>
        <v/>
      </c>
      <c r="N327" s="1" t="inlineStr">
        <is>
          <t>Здравоохранение-2025</t>
        </is>
      </c>
      <c r="O327" s="9" t="inlineStr">
        <is>
          <t>https://icatalog.expocentr.ru/ru/exhibitions/de590dc5-417d-11ee-80ce-a0d3c1fab97f</t>
        </is>
      </c>
    </row>
    <row r="328" ht="16" customHeight="1">
      <c r="A328" s="1" t="inlineStr">
        <is>
          <t>ГАРАНТ, НПО, AO</t>
        </is>
      </c>
      <c r="B328" s="11" t="n">
        <v>6e+60</v>
      </c>
      <c r="C328" s="1" t="inlineStr">
        <is>
          <t>Россия</t>
        </is>
      </c>
      <c r="D328" s="1" t="inlineStr">
        <is>
          <t>Пушкино</t>
        </is>
      </c>
      <c r="E328" s="1" t="inlineStr">
        <is>
          <t>Россия, Московская обл., г. Пушкино, Ярославское ш., д. 228</t>
        </is>
      </c>
      <c r="F328" s="10" t="inlineStr">
        <is>
          <t>http://www.garant1.ru</t>
        </is>
      </c>
      <c r="G328" s="1" t="inlineStr">
        <is>
          <t>2@garant1.ru</t>
        </is>
      </c>
      <c r="H328" s="1" t="inlineStr">
        <is>
          <t>Крупнейший импортер медицинских расходных материалов. Наши партнеры — национальные дистрибьюторы, государственные учреждения, бьюти-центры, клиники, аптеки, лаборатории, пищевые производства, HoReCa, клининговые компании.</t>
        </is>
      </c>
      <c r="I328" s="1" t="inlineStr">
        <is>
          <t>Перевязочные средства; Инструменты и принадлежности для инъекций  и взятия крови; Гигиенические изделия для больниц; Одноразовые медицинские изделия прочие; Средства для спорта, отдыха, досуга</t>
        </is>
      </c>
      <c r="J328" s="1">
        <f>IFERROR(__xludf.DUMMYFUNCTION("AI(Prompt!$B$6, H370:I370)"),"Дилер")</f>
        <v/>
      </c>
      <c r="K328" s="1">
        <f>IFERROR(__xludf.DUMMYFUNCTION("AI(Prompt!$B$12, H370:J370)"),"OK")</f>
        <v/>
      </c>
      <c r="L328" s="1">
        <f>IFERROR(__xludf.DUMMYFUNCTION("AI(Prompt!$B$17, H370:I370)"),"перевязочные средства, инструменты для инъекций и гигиенические изделия")</f>
        <v/>
      </c>
      <c r="M328" s="1">
        <f>IFERROR(__xludf.DUMMYFUNCTION("AI(Prompt!$B$21,A370)"),"ГАРАНТ, НПО")</f>
        <v/>
      </c>
      <c r="N328" s="1" t="inlineStr">
        <is>
          <t>Здравоохранение-2025</t>
        </is>
      </c>
      <c r="O328" s="9" t="inlineStr">
        <is>
          <t>https://icatalog.expocentr.ru/ru/exhibitions/de590dc5-417d-11ee-80ce-a0d3c1fab97f</t>
        </is>
      </c>
    </row>
    <row r="329" ht="16" customHeight="1">
      <c r="A329" s="1" t="inlineStr">
        <is>
          <t>СИМУРГ, МЕДИЦИНСКОЕ ПРЕДПРИЯТИЕ, ООО</t>
        </is>
      </c>
      <c r="B329" s="11" t="n">
        <v>6e+100</v>
      </c>
      <c r="C329" s="1" t="inlineStr">
        <is>
          <t>Россия</t>
        </is>
      </c>
      <c r="D329" s="1" t="inlineStr">
        <is>
          <t>Санкт-Петербург</t>
        </is>
      </c>
      <c r="E329" s="1" t="inlineStr">
        <is>
          <t>Россия, 199178, г. Санкт-Петербург, 18-я линия В. О., д. 29, литера 3, пом. 19-Н, этаж 2</t>
        </is>
      </c>
      <c r="F329" s="10" t="inlineStr">
        <is>
          <t>http://www.mp-simurg.ru</t>
        </is>
      </c>
      <c r="G329" s="1" t="inlineStr">
        <is>
          <t>office@mp-simurg.ru</t>
        </is>
      </c>
      <c r="H329" s="1" t="inlineStr">
        <is>
          <t>МП «Симург» — ведущий производитель изделий медицинского назначения для гинекологии иакушерства. Под ТМ «ЮНОНА» выпускаются внутриматочные контрацептивы, гинекологическиенаборы, одноразовые инструменты для взятия биологического материала. Новинки: зеркалогинекологическое по Радзинскому-Занько с рН-индикацией, пессарии доктора Журавлева.Разработка и российское производство силиконовых пессариев.</t>
        </is>
      </c>
      <c r="I329" s="1" t="inlineStr">
        <is>
          <t>Инструменты гинекологические</t>
        </is>
      </c>
      <c r="J329" s="1">
        <f>IFERROR(__xludf.DUMMYFUNCTION("AI(Prompt!$B$6, H371:I371)"),"Производитель")</f>
        <v/>
      </c>
      <c r="K329" s="1">
        <f>IFERROR(__xludf.DUMMYFUNCTION("AI(Prompt!$B$12, H371:J371)"),"OK")</f>
        <v/>
      </c>
      <c r="L329" s="1">
        <f>IFERROR(__xludf.DUMMYFUNCTION("AI(Prompt!$B$17, H371:I371)"),"контрацептивы, наборы, инструменты и пессарии")</f>
        <v/>
      </c>
      <c r="M329" s="1">
        <f>IFERROR(__xludf.DUMMYFUNCTION("AI(Prompt!$B$21,A371)"),"Симург")</f>
        <v/>
      </c>
      <c r="N329" s="1" t="inlineStr">
        <is>
          <t>Здравоохранение-2025</t>
        </is>
      </c>
      <c r="O329" s="9" t="inlineStr">
        <is>
          <t>https://icatalog.expocentr.ru/ru/exhibitions/de590dc5-417d-11ee-80ce-a0d3c1fab97f</t>
        </is>
      </c>
    </row>
    <row r="330" ht="16" customHeight="1">
      <c r="A330" s="1" t="inlineStr">
        <is>
          <t>БИСАНС, ООО</t>
        </is>
      </c>
      <c r="B330" s="1" t="inlineStr">
        <is>
          <t>6D051</t>
        </is>
      </c>
      <c r="C330" s="1" t="inlineStr">
        <is>
          <t>Россия</t>
        </is>
      </c>
      <c r="D330" s="1" t="inlineStr">
        <is>
          <t>Санкт-Петербург</t>
        </is>
      </c>
      <c r="E330" s="1" t="inlineStr">
        <is>
          <t>Россия, 192012, г. Санкт-Петербург, просп. Обуховской Обороны, д. 271, литера А, оф. 401</t>
        </is>
      </c>
      <c r="F330" s="10" t="inlineStr">
        <is>
          <t>http://www.bisans.ru</t>
        </is>
      </c>
      <c r="G330" s="1" t="inlineStr">
        <is>
          <t>l.bisans@bk.ru</t>
        </is>
      </c>
      <c r="H330" s="1" t="inlineStr">
        <is>
          <t>Импорт и оптовая торговля одноразовыми изделиями медицинского назначения (латексными, нитриловыми перчатками). Производство одноразовыx медицинских наборов для амбулаторных и операционных процедур.</t>
        </is>
      </c>
      <c r="I330" s="1" t="inlineStr">
        <is>
          <t>Перевязочные средства; Одноразовые медицинские изделия прочие; Производство медицинских изделий</t>
        </is>
      </c>
      <c r="J330" s="1">
        <f>IFERROR(__xludf.DUMMYFUNCTION("AI(Prompt!$B$6, H372:I372)"),"Производитель")</f>
        <v/>
      </c>
      <c r="K330" s="1">
        <f>IFERROR(__xludf.DUMMYFUNCTION("AI(Prompt!$B$12, H372:J372)"),"OK")</f>
        <v/>
      </c>
      <c r="L330" s="1">
        <f>IFERROR(__xludf.DUMMYFUNCTION("AI(Prompt!$B$17, H372:I372)"),"перчатки, медицинские наборы и перевязочные средства")</f>
        <v/>
      </c>
      <c r="M330" s="1">
        <f>IFERROR(__xludf.DUMMYFUNCTION("AI(Prompt!$B$21,A372)"),"Бисанс")</f>
        <v/>
      </c>
      <c r="N330" s="1" t="inlineStr">
        <is>
          <t>Здравоохранение-2025</t>
        </is>
      </c>
      <c r="O330" s="9" t="inlineStr">
        <is>
          <t>https://icatalog.expocentr.ru/ru/exhibitions/de590dc5-417d-11ee-80ce-a0d3c1fab97f</t>
        </is>
      </c>
    </row>
    <row r="331" ht="16" customHeight="1">
      <c r="A331" s="1" t="inlineStr">
        <is>
          <t>АКОНИТ, ООО</t>
        </is>
      </c>
      <c r="B331" s="1" t="inlineStr">
        <is>
          <t>6B020</t>
        </is>
      </c>
      <c r="C331" s="1" t="inlineStr">
        <is>
          <t>Россия</t>
        </is>
      </c>
      <c r="D331" s="1" t="inlineStr">
        <is>
          <t>Санкт-Петербург</t>
        </is>
      </c>
      <c r="E331" s="1" t="inlineStr">
        <is>
          <t>Россия, 196006, г. Санкт-Петербург, вн. тер. г. м. о. Московская Застава, ул. Емельянова, д. 10, литера А, пом. 1-Н</t>
        </is>
      </c>
      <c r="F331" s="10" t="inlineStr">
        <is>
          <t>http://www.akonit.ru</t>
        </is>
      </c>
      <c r="G331" s="1" t="inlineStr">
        <is>
          <t>bip@botvinik.ru</t>
        </is>
      </c>
      <c r="H331" s="1" t="inlineStr">
        <is>
          <t>Оптовая продажа медицинских изделий для АиР, хирургии, урологии, кардиологии известных мировых брендов: Medico, Suru, ZAVI, Ribbel, Sterimed. Медицинская мебель и операционные столы «МЕДИН».</t>
        </is>
      </c>
      <c r="I331" s="1" t="inlineStr">
        <is>
          <t>Приборы и принадлежности для кардиографических исследований; Медицинская мебель; Одноразовые медицинские изделия прочие; Принадлежности и расходные материалы для реанимации и экстренной помощи; Операционные столы</t>
        </is>
      </c>
      <c r="J331" s="1">
        <f>IFERROR(__xludf.DUMMYFUNCTION("AI(Prompt!$B$6, H373:I373)"),"Дилер")</f>
        <v/>
      </c>
      <c r="K331" s="1">
        <f>IFERROR(__xludf.DUMMYFUNCTION("AI(Prompt!$B$12, H373:J373)"),"OK")</f>
        <v/>
      </c>
      <c r="L331" s="1">
        <f>IFERROR(__xludf.DUMMYFUNCTION("AI(Prompt!$B$17, H373:I373)"),"медицинские изделия, медицинская мебель и операционные столы")</f>
        <v/>
      </c>
      <c r="M331" s="1">
        <f>IFERROR(__xludf.DUMMYFUNCTION("AI(Prompt!$B$21,A373)"),"Аконит")</f>
        <v/>
      </c>
      <c r="N331" s="1" t="inlineStr">
        <is>
          <t>Здравоохранение-2025</t>
        </is>
      </c>
      <c r="O331" s="9" t="inlineStr">
        <is>
          <t>https://icatalog.expocentr.ru/ru/exhibitions/de590dc5-417d-11ee-80ce-a0d3c1fab97f</t>
        </is>
      </c>
    </row>
    <row r="332" ht="16" customHeight="1">
      <c r="A332" s="1" t="inlineStr">
        <is>
          <t>АКТИМЕД ПЛЮС, ООО</t>
        </is>
      </c>
      <c r="B332" s="1" t="inlineStr">
        <is>
          <t>6D090</t>
        </is>
      </c>
      <c r="C332" s="1" t="inlineStr">
        <is>
          <t>Россия</t>
        </is>
      </c>
      <c r="D332" s="1" t="inlineStr">
        <is>
          <t>Санкт-Петербург</t>
        </is>
      </c>
      <c r="E332" s="1" t="inlineStr">
        <is>
          <t>Россия, 194064, г. Санкт-Петербург, просп. Раевского, д. 14, корп. 2, литера А, пом. 8-Н</t>
        </is>
      </c>
      <c r="F332" s="10" t="inlineStr">
        <is>
          <t>http://www.aktimed.ru</t>
        </is>
      </c>
      <c r="G332" s="1" t="inlineStr">
        <is>
          <t>sales@aktimed.ru</t>
        </is>
      </c>
      <c r="H332" s="1" t="inlineStr">
        <is>
          <t>Официальный импортер и дистрибьютор расходных материалов для онкологии, реанимации, неонатологии и хирургии более чем двадцати брендов из Европы, Северной Америки и Азии. Мы придерживаемся гибкой ценовой политики и предлагаем привлекательные условия сотрудничества.</t>
        </is>
      </c>
      <c r="I332" s="1" t="inlineStr">
        <is>
          <t>Расходные материалы для медицинских приборов; Одноразовые медицинские изделия прочие; Расходные материалы для медицинского оборудования; Поставка медицинского оборудования и расходных материалов; Комплекты реанимационного оборудования; Принадлежности и расходные материалы для реанимации и экстренной помощи</t>
        </is>
      </c>
      <c r="J332" s="1">
        <f>IFERROR(__xludf.DUMMYFUNCTION("AI(Prompt!$B$6, H374:I374)"),"Дилер")</f>
        <v/>
      </c>
      <c r="K332" s="1">
        <f>IFERROR(__xludf.DUMMYFUNCTION("AI(Prompt!$B$12, H374:J374)"),"OK")</f>
        <v/>
      </c>
      <c r="L332" s="1">
        <f>IFERROR(__xludf.DUMMYFUNCTION("AI(Prompt!$B$17, H374:I374)"),"расходные материалы, медицинские изделия и оборудование")</f>
        <v/>
      </c>
      <c r="M332" s="1">
        <f>IFERROR(__xludf.DUMMYFUNCTION("AI(Prompt!$B$21,A374)"),"Актимед Плюс")</f>
        <v/>
      </c>
      <c r="N332" s="1" t="inlineStr">
        <is>
          <t>Здравоохранение-2025</t>
        </is>
      </c>
      <c r="O332" s="9" t="inlineStr">
        <is>
          <t>https://icatalog.expocentr.ru/ru/exhibitions/de590dc5-417d-11ee-80ce-a0d3c1fab97f</t>
        </is>
      </c>
    </row>
    <row r="333" ht="16" customHeight="1">
      <c r="A333" s="1" t="inlineStr">
        <is>
          <t>ЦЕРЕБРУМ-М, ООО</t>
        </is>
      </c>
      <c r="B333" s="1" t="inlineStr">
        <is>
          <t>6C030</t>
        </is>
      </c>
      <c r="C333" s="1" t="inlineStr">
        <is>
          <t>Россия</t>
        </is>
      </c>
      <c r="D333" s="1" t="inlineStr">
        <is>
          <t>Владивосток</t>
        </is>
      </c>
      <c r="E333" s="1" t="inlineStr">
        <is>
          <t>Россия, 690078, Приморский край, г. Владивосток, ул. Комсомольская, д. 3, этаж 10</t>
        </is>
      </c>
      <c r="F333" s="10" t="inlineStr">
        <is>
          <t>http://www.cereb.su</t>
        </is>
      </c>
      <c r="G333" s="1" t="inlineStr">
        <is>
          <t>info@cereb.su</t>
        </is>
      </c>
      <c r="H333" s="1" t="inlineStr">
        <is>
          <t>Расходные материалы для анестезиологии, реанимации, гемодиализа, гинекологии, урологии, одноразовая медицинская одежда, перчатки, шприцы, системы взятия крови. Приборы, реагенты для лабораторий.</t>
        </is>
      </c>
      <c r="I333" s="1" t="inlineStr">
        <is>
          <t>Инструменты гинекологические; Перевязочные средства; Инструменты и принадлежности для инъекций  и взятия крови; Одноразовые медицинские изделия прочие; Лабораторное оборудование; Реагенты и расходные материалы для лабораторной диагностики; Оборудование и расходные материалы для проведения гемосорбции, гемодиализа и плазмофереза; Расходные материалы для службы крови; Принадлежности и расходные материалы для реанимации и экстренной помощи</t>
        </is>
      </c>
      <c r="J333" s="1">
        <f>IFERROR(__xludf.DUMMYFUNCTION("AI(Prompt!$B$6, H375:I375)"),"Дилер")</f>
        <v/>
      </c>
      <c r="K333" s="1">
        <f>IFERROR(__xludf.DUMMYFUNCTION("AI(Prompt!$B$12, H375:J375)"),"OK")</f>
        <v/>
      </c>
      <c r="L333" s="1">
        <f>IFERROR(__xludf.DUMMYFUNCTION("AI(Prompt!$B$17, H375:I375)"),"расходные материалы, приборы, реагенты и инструменты")</f>
        <v/>
      </c>
      <c r="M333" s="1">
        <f>IFERROR(__xludf.DUMMYFUNCTION("AI(Prompt!$B$21,A375)"),"Церебрум-М")</f>
        <v/>
      </c>
      <c r="N333" s="1" t="inlineStr">
        <is>
          <t>Здравоохранение-2025</t>
        </is>
      </c>
      <c r="O333" s="9" t="inlineStr">
        <is>
          <t>https://icatalog.expocentr.ru/ru/exhibitions/de590dc5-417d-11ee-80ce-a0d3c1fab97f</t>
        </is>
      </c>
    </row>
    <row r="334" ht="16" customHeight="1">
      <c r="A334" s="1" t="inlineStr">
        <is>
          <t>ПИЛОТ ГРУПП, ООО</t>
        </is>
      </c>
      <c r="B334" s="1" t="inlineStr">
        <is>
          <t>6D030</t>
        </is>
      </c>
      <c r="C334" s="1" t="inlineStr">
        <is>
          <t>Россия</t>
        </is>
      </c>
      <c r="D334" s="1" t="inlineStr">
        <is>
          <t>Москва</t>
        </is>
      </c>
      <c r="E334" s="1" t="inlineStr">
        <is>
          <t>Россия, г. Москва</t>
        </is>
      </c>
      <c r="F334" s="10" t="inlineStr">
        <is>
          <t>http://www.pgmed.ru</t>
        </is>
      </c>
      <c r="G334" s="1" t="inlineStr">
        <is>
          <t>info@pgmed.ru</t>
        </is>
      </c>
      <c r="H334" s="1" t="inlineStr">
        <is>
          <t>Дистрибьютор оборудования и расходных материалов для гемодиализа, малоинвазивной хирургии и реанимации. Тесное сотрудничество с лидерами отрасли в Китае — гарантия качества и бесперебойности поставок.</t>
        </is>
      </c>
      <c r="I334" s="1" t="inlineStr">
        <is>
          <t>Оборудование и средства для лапароскопии; Оборудование и расходные материалы для проведения гемосорбции, гемодиализа и плазмофереза; Принадлежности и расходные материалы для реанимации и экстренной помощи; Ультразвуковые хирургические аппараты; Хирургические инструменты</t>
        </is>
      </c>
      <c r="J334" s="1">
        <f>IFERROR(__xludf.DUMMYFUNCTION("AI(Prompt!$B$6, H376:I376)"),"Дилер")</f>
        <v/>
      </c>
      <c r="K334" s="1">
        <f>IFERROR(__xludf.DUMMYFUNCTION("AI(Prompt!$B$12, H376:J376)"),"OK")</f>
        <v/>
      </c>
      <c r="L334" s="1">
        <f>IFERROR(__xludf.DUMMYFUNCTION("AI(Prompt!$B$17, H376:I376)"),"оборудование, расходные материалы и хирургические инструменты")</f>
        <v/>
      </c>
      <c r="M334" s="1">
        <f>IFERROR(__xludf.DUMMYFUNCTION("AI(Prompt!$B$21,A376)"),"Пилот Групп")</f>
        <v/>
      </c>
      <c r="N334" s="1" t="inlineStr">
        <is>
          <t>Здравоохранение-2025</t>
        </is>
      </c>
      <c r="O334" s="9" t="inlineStr">
        <is>
          <t>https://icatalog.expocentr.ru/ru/exhibitions/de590dc5-417d-11ee-80ce-a0d3c1fab97f</t>
        </is>
      </c>
    </row>
    <row r="335" ht="16" customHeight="1">
      <c r="A335" s="1" t="inlineStr">
        <is>
          <t>ЭЛЕМААР, ООО</t>
        </is>
      </c>
      <c r="B335" s="1" t="inlineStr">
        <is>
          <t>6D010</t>
        </is>
      </c>
      <c r="C335" s="1" t="inlineStr">
        <is>
          <t>Россия</t>
        </is>
      </c>
      <c r="D335" s="1" t="inlineStr">
        <is>
          <t>Москва</t>
        </is>
      </c>
      <c r="E335" s="1" t="inlineStr">
        <is>
          <t>Россия, 117342, г. Москва, ул. Введенского, д. 3, корп. 1, стр. 1, этаж антресоль, пом. I, комн. 50</t>
        </is>
      </c>
      <c r="F335" s="10" t="inlineStr">
        <is>
          <t>http://www.elemaar.ru</t>
        </is>
      </c>
      <c r="G335" s="1" t="inlineStr">
        <is>
          <t>info@elemaar.ru</t>
        </is>
      </c>
      <c r="H335" s="1" t="inlineStr">
        <is>
          <t>ООО «Элемаар» — российский производитель хирургических шовных материалов. С 2019 года выпускаем в Москве продукцию под собственным брендом ELEMAAR. Мы строго соблюдаем европейские стандарты качества и безопасности, используем современные технологии и тщательно выверенные производственные процессы. Мы обеспечиваем бесперебойные поставки полного спектра шовного материала — более 14 000 вариантов комплектации — для всех направлений хирургии.</t>
        </is>
      </c>
      <c r="I335" s="1" t="inlineStr">
        <is>
          <t>Шовный материал</t>
        </is>
      </c>
      <c r="J335" s="1">
        <f>IFERROR(__xludf.DUMMYFUNCTION("AI(Prompt!$B$6, H377:I377)"),"Производитель")</f>
        <v/>
      </c>
      <c r="K335" s="1">
        <f>IFERROR(__xludf.DUMMYFUNCTION("AI(Prompt!$B$12, H377:J377)"),"OK")</f>
        <v/>
      </c>
      <c r="L335" s="1">
        <f>IFERROR(__xludf.DUMMYFUNCTION("AI(Prompt!$B$17, H377:I377)"),"шовный материал")</f>
        <v/>
      </c>
      <c r="M335" s="1">
        <f>IFERROR(__xludf.DUMMYFUNCTION("AI(Prompt!$B$21,A377)"),"Элемаар")</f>
        <v/>
      </c>
      <c r="N335" s="1" t="inlineStr">
        <is>
          <t>Здравоохранение-2025</t>
        </is>
      </c>
      <c r="O335" s="9" t="inlineStr">
        <is>
          <t>https://icatalog.expocentr.ru/ru/exhibitions/de590dc5-417d-11ee-80ce-a0d3c1fab97f</t>
        </is>
      </c>
    </row>
    <row r="336" ht="16" customHeight="1">
      <c r="A336" s="1" t="inlineStr">
        <is>
          <t>СКОЛКОВО ФАРМА, ООО</t>
        </is>
      </c>
      <c r="B336" s="11" t="n">
        <v>6e+95</v>
      </c>
      <c r="C336" s="1" t="inlineStr">
        <is>
          <t>Россия</t>
        </is>
      </c>
      <c r="D336" s="1" t="inlineStr">
        <is>
          <t>Москва</t>
        </is>
      </c>
      <c r="E336" s="1" t="inlineStr">
        <is>
          <t>Россия, 121205, г. Москва, территория Инновационного центра «Сколково», ул. Нобеля, д. 7, этаж 3, пом. IV, комн. 24</t>
        </is>
      </c>
      <c r="F336" s="10" t="inlineStr">
        <is>
          <t>https://www.skolfarma.ru</t>
        </is>
      </c>
      <c r="G336" s="1" t="inlineStr">
        <is>
          <t>info@skolfarma.ru</t>
        </is>
      </c>
      <c r="H336" s="1" t="inlineStr">
        <is>
          <t>«Сколково Фарма» – новый игрок на рынке медицинских изделий. Компания специализируется на поставке и производстве высококачественных медицинских расходных материалов под брендом ORJECT.</t>
        </is>
      </c>
      <c r="I336" s="1" t="inlineStr">
        <is>
          <t>Инструменты и принадлежности для инъекций  и взятия крови; Одноразовые медицинские изделия прочие; Расходные материалы для медицинского оборудования; Производство медицинских изделий</t>
        </is>
      </c>
      <c r="J336" s="1">
        <f>IFERROR(__xludf.DUMMYFUNCTION("AI(Prompt!$B$6, H378:I378)"),"Производитель")</f>
        <v/>
      </c>
      <c r="K336" s="1">
        <f>IFERROR(__xludf.DUMMYFUNCTION("AI(Prompt!$B$12, H378:J378)"),"OK")</f>
        <v/>
      </c>
      <c r="L336" s="1">
        <f>IFERROR(__xludf.DUMMYFUNCTION("AI(Prompt!$B$17, H378:I378)"),"инструменты для инъекций, расходные материалы и медицинские изделия")</f>
        <v/>
      </c>
      <c r="M336" s="1">
        <f>IFERROR(__xludf.DUMMYFUNCTION("AI(Prompt!$B$21,A378)"),"Сколково Фарма")</f>
        <v/>
      </c>
      <c r="N336" s="1" t="inlineStr">
        <is>
          <t>Здравоохранение-2025</t>
        </is>
      </c>
      <c r="O336" s="9" t="inlineStr">
        <is>
          <t>https://icatalog.expocentr.ru/ru/exhibitions/de590dc5-417d-11ee-80ce-a0d3c1fab97f</t>
        </is>
      </c>
    </row>
    <row r="337" ht="16" customHeight="1">
      <c r="A337" s="1" t="inlineStr">
        <is>
          <t>ДАРПИКС, ООО</t>
        </is>
      </c>
      <c r="B337" s="11" t="n">
        <v>6e+85</v>
      </c>
      <c r="C337" s="1" t="inlineStr">
        <is>
          <t>Россия</t>
        </is>
      </c>
      <c r="D337" s="1" t="inlineStr">
        <is>
          <t>Зеленодольск</t>
        </is>
      </c>
      <c r="E337" s="1" t="inlineStr">
        <is>
          <t>Россия, 422527, Республика Татарстан, г. Зеленодольск, промышленная площадка Зеленодольск, стр. 4</t>
        </is>
      </c>
      <c r="F337" s="10" t="inlineStr">
        <is>
          <t>https://darpix.ru</t>
        </is>
      </c>
      <c r="G337" s="1" t="inlineStr">
        <is>
          <t>info@darpix.ru</t>
        </is>
      </c>
      <c r="H337" s="1" t="inlineStr">
        <is>
          <t>Производство одноразовой хирургической одежды и белья.</t>
        </is>
      </c>
      <c r="I337" s="1" t="inlineStr">
        <is>
          <t>Одежда и белье для пациентов и медицинского персонала; Одноразовые медицинские изделия прочие; Расходные материалы для медицинского оборудования; Инструменты и принадлежности для эндоскопии; Оборудование и расходные материалы для проведения гемосорбции, гемодиализа и плазмофереза</t>
        </is>
      </c>
      <c r="J337" s="1">
        <f>IFERROR(__xludf.DUMMYFUNCTION("AI(Prompt!$B$6, H379:I379)"),"Производитель")</f>
        <v/>
      </c>
      <c r="K337" s="1">
        <f>IFERROR(__xludf.DUMMYFUNCTION("AI(Prompt!$B$12, H379:J379)"),"OK")</f>
        <v/>
      </c>
      <c r="L337" s="1">
        <f>IFERROR(__xludf.DUMMYFUNCTION("AI(Prompt!$B$17, H379:I379)"),"одежда, белье, изделия, расходные материалы и инструменты")</f>
        <v/>
      </c>
      <c r="M337" s="1">
        <f>IFERROR(__xludf.DUMMYFUNCTION("AI(Prompt!$B$21,A379)"),"Дарпикс")</f>
        <v/>
      </c>
      <c r="N337" s="1" t="inlineStr">
        <is>
          <t>Здравоохранение-2025</t>
        </is>
      </c>
      <c r="O337" s="9" t="inlineStr">
        <is>
          <t>https://icatalog.expocentr.ru/ru/exhibitions/de590dc5-417d-11ee-80ce-a0d3c1fab97f</t>
        </is>
      </c>
    </row>
    <row r="338" ht="16" customHeight="1">
      <c r="A338" s="1" t="inlineStr">
        <is>
          <t>MedAim LLC</t>
        </is>
      </c>
      <c r="B338" s="1" t="inlineStr">
        <is>
          <t>6B100</t>
        </is>
      </c>
      <c r="C338" s="1" t="inlineStr">
        <is>
          <t>Россия</t>
        </is>
      </c>
      <c r="D338" s="1" t="inlineStr">
        <is>
          <t>Санкт-Петербург</t>
        </is>
      </c>
      <c r="E338" s="1" t="inlineStr">
        <is>
          <t>Россия, 196240, г. Санкт-Петербург, ул. Предпортовая, д. 10, литера Ж</t>
        </is>
      </c>
      <c r="F338" s="10" t="inlineStr">
        <is>
          <t>http://medaim.ru</t>
        </is>
      </c>
      <c r="G338" s="1" t="inlineStr">
        <is>
          <t>it@medaim.ru</t>
        </is>
      </c>
      <c r="H338" s="1" t="inlineStr">
        <is>
          <t>MedAim — надежный производитель медицинских расходных материалов: шприцев, инфузионных систем, игл-бабочек, бинтов. 14 лет качества и стабильных поставок. Наша цель — взаимовыгодное партнерство.</t>
        </is>
      </c>
      <c r="I338" s="1" t="inlineStr">
        <is>
          <t>Одноразовые стоматологические материалы; Перевязочные средства; Одноразовые медицинские изделия прочие; Расходные материалы для медицинского оборудования; Расходные материалы для службы крови; Принадлежности и расходные материалы для реанимации и экстренной помощи</t>
        </is>
      </c>
      <c r="J338" s="1">
        <f>IFERROR(__xludf.DUMMYFUNCTION("AI(Prompt!$B$6, H380:I380)"),"Производитель")</f>
        <v/>
      </c>
      <c r="K338" s="1">
        <f>IFERROR(__xludf.DUMMYFUNCTION("AI(Prompt!$B$12, H380:J380)"),"OK")</f>
        <v/>
      </c>
      <c r="L338" s="1">
        <f>IFERROR(__xludf.DUMMYFUNCTION("AI(Prompt!$B$17, H380:I380)"),"шприцы, инфузионные системы, иглы и бинты")</f>
        <v/>
      </c>
      <c r="M338" s="1">
        <f>IFERROR(__xludf.DUMMYFUNCTION("AI(Prompt!$B$21,A380)"),"Medaim")</f>
        <v/>
      </c>
      <c r="N338" s="1" t="inlineStr">
        <is>
          <t>Здравоохранение-2025</t>
        </is>
      </c>
      <c r="O338" s="9" t="inlineStr">
        <is>
          <t>https://icatalog.expocentr.ru/ru/exhibitions/de590dc5-417d-11ee-80ce-a0d3c1fab97f</t>
        </is>
      </c>
    </row>
    <row r="339" ht="16" customHeight="1">
      <c r="A339" s="1" t="inlineStr">
        <is>
          <t>АНКОМ-МЕД, ООО</t>
        </is>
      </c>
      <c r="B339" s="1" t="inlineStr">
        <is>
          <t>6F085</t>
        </is>
      </c>
      <c r="C339" s="1" t="inlineStr">
        <is>
          <t>Россия</t>
        </is>
      </c>
      <c r="D339" s="1" t="inlineStr">
        <is>
          <t>Москва</t>
        </is>
      </c>
      <c r="E339" s="1" t="inlineStr">
        <is>
          <t>Россия, 117105, г. Москва, вн. тер. г. м. о. Донской, Новоданиловская наб., д. 12, пом. 127</t>
        </is>
      </c>
      <c r="F339" s="10" t="inlineStr">
        <is>
          <t>https://ancommed.ru</t>
        </is>
      </c>
      <c r="G339" s="1" t="inlineStr">
        <is>
          <t>ancom.med@gmail.com</t>
        </is>
      </c>
      <c r="H339" s="1" t="inlineStr">
        <is>
          <t>Российский производитель медицинских перчаток BioAncore. Специализированная торговая компания, деятельность которой направлена на поставку медицинских перчаток и расходных материалов в ЛПУ.</t>
        </is>
      </c>
      <c r="I339" s="1" t="inlineStr">
        <is>
          <t>Одноразовые медицинские изделия прочие; Производство медицинских изделий; Расходные материалы для службы крови</t>
        </is>
      </c>
      <c r="J339" s="1">
        <f>IFERROR(__xludf.DUMMYFUNCTION("AI(Prompt!$B$6, H381:I381)"),"Производитель")</f>
        <v/>
      </c>
      <c r="K339" s="1">
        <f>IFERROR(__xludf.DUMMYFUNCTION("AI(Prompt!$B$12, H381:J381)"),"OK")</f>
        <v/>
      </c>
      <c r="L339" s="1">
        <f>IFERROR(__xludf.DUMMYFUNCTION("AI(Prompt!$B$17, H381:I381)"),"медицинские перчатки и расходные материалы")</f>
        <v/>
      </c>
      <c r="M339" s="1">
        <f>IFERROR(__xludf.DUMMYFUNCTION("AI(Prompt!$B$21,A381)"),"Анком-Мед")</f>
        <v/>
      </c>
      <c r="N339" s="1" t="inlineStr">
        <is>
          <t>Здравоохранение-2025</t>
        </is>
      </c>
      <c r="O339" s="9" t="inlineStr">
        <is>
          <t>https://icatalog.expocentr.ru/ru/exhibitions/de590dc5-417d-11ee-80ce-a0d3c1fab97f</t>
        </is>
      </c>
    </row>
    <row r="340" hidden="1" ht="16" customHeight="1">
      <c r="A340" s="1" t="inlineStr">
        <is>
          <t>iLife Medical Devices Pvt Ltd</t>
        </is>
      </c>
      <c r="B340" s="1" t="inlineStr">
        <is>
          <t>6G100</t>
        </is>
      </c>
      <c r="C340" s="1" t="inlineStr">
        <is>
          <t>Индия</t>
        </is>
      </c>
      <c r="E340" s="1" t="inlineStr">
        <is>
          <t>Индия</t>
        </is>
      </c>
      <c r="F340" s="10" t="inlineStr">
        <is>
          <t>http://www.ilifemedica.com</t>
        </is>
      </c>
      <c r="G340" s="1" t="inlineStr">
        <is>
          <t>care@ilifemedica.com</t>
        </is>
      </c>
      <c r="H340" s="1" t="inlineStr">
        <is>
          <t>Компания iLife Medical Devices (Индия) производит медицинские изделия, специализируясь на внутривенных канюлях (IV Cannula) и трехходовых кранах. Мы зарегистрированы в Росздравнадзоре под номером ФСЗ 2011/10947.</t>
        </is>
      </c>
      <c r="I340" s="1" t="inlineStr">
        <is>
          <t>Расходные материалы для медицинских приборов; Инструменты и принадлежности для инъекций  и взятия крови</t>
        </is>
      </c>
      <c r="J340" s="1">
        <f>IFERROR(__xludf.DUMMYFUNCTION("AI(Prompt!$B$6, H382:I382)"),"Производитель")</f>
        <v/>
      </c>
      <c r="K340" s="1">
        <f>IFERROR(__xludf.DUMMYFUNCTION("AI(Prompt!$B$12, H382:J382)"),"OK")</f>
        <v/>
      </c>
      <c r="L340" s="1">
        <f>IFERROR(__xludf.DUMMYFUNCTION("AI(Prompt!$B$17, H382:I382)"),"медицинские изделия, расходные материалы, инструменты и принадлежности")</f>
        <v/>
      </c>
      <c r="M340" s="1">
        <f>IFERROR(__xludf.DUMMYFUNCTION("AI(Prompt!$B$21,A382)"),"iLife Medical Devices")</f>
        <v/>
      </c>
      <c r="N340" s="1" t="inlineStr">
        <is>
          <t>Здравоохранение-2025</t>
        </is>
      </c>
      <c r="O340" s="9" t="inlineStr">
        <is>
          <t>https://icatalog.expocentr.ru/ru/exhibitions/de590dc5-417d-11ee-80ce-a0d3c1fab97f</t>
        </is>
      </c>
    </row>
    <row r="341" ht="16" customHeight="1">
      <c r="A341" s="1" t="inlineStr">
        <is>
          <t>ШАКЛИН, ООО</t>
        </is>
      </c>
      <c r="B341" s="1" t="inlineStr">
        <is>
          <t>6D075</t>
        </is>
      </c>
      <c r="C341" s="1" t="inlineStr">
        <is>
          <t>Россия</t>
        </is>
      </c>
      <c r="D341" s="1" t="inlineStr">
        <is>
          <t>Новосибирск</t>
        </is>
      </c>
      <c r="E341" s="1" t="inlineStr">
        <is>
          <t>Россия, 630090, г. Новосибирск, ул. Демакова, д. 30, оф. 901</t>
        </is>
      </c>
      <c r="F341" s="10" t="inlineStr">
        <is>
          <t>http://www.shaklin.ru</t>
        </is>
      </c>
      <c r="G341" s="1" t="inlineStr">
        <is>
          <t>zakaz@shaklin.ru</t>
        </is>
      </c>
      <c r="H341" s="1" t="inlineStr">
        <is>
          <t>Компания «Шаклин» поставляет изделия медицинского назначения по всей России под собственным брендом INEKTA: перчатки, шприцы, катетеры, мочеприемники, инфузионные системы, спинальные иглы и прочее.</t>
        </is>
      </c>
      <c r="I341" s="1" t="inlineStr">
        <is>
          <t>Системы мониторирования ЭКГ и АД; Инструменты гинекологические; Оборудование для урологической диагностики; Инструменты и принадлежности для инъекций  и взятия крови; Одноразовые медицинские изделия прочие; Принадлежности и расходные материалы для реанимации и экстренной помощи</t>
        </is>
      </c>
      <c r="J341" s="1">
        <f>IFERROR(__xludf.DUMMYFUNCTION("AI(Prompt!$B$6, H383:I383)"),"Производитель")</f>
        <v/>
      </c>
      <c r="K341" s="1">
        <f>IFERROR(__xludf.DUMMYFUNCTION("AI(Prompt!$B$12, H383:J383)"),"OK")</f>
        <v/>
      </c>
      <c r="L341" s="1">
        <f>IFERROR(__xludf.DUMMYFUNCTION("AI(Prompt!$B$17, H383:I383)"),"медицинские изделия, перчатки, шприцы и катетеры")</f>
        <v/>
      </c>
      <c r="M341" s="1">
        <f>IFERROR(__xludf.DUMMYFUNCTION("AI(Prompt!$B$21,A383)"),"Шаклин")</f>
        <v/>
      </c>
      <c r="N341" s="1" t="inlineStr">
        <is>
          <t>Здравоохранение-2025</t>
        </is>
      </c>
      <c r="O341" s="9" t="inlineStr">
        <is>
          <t>https://icatalog.expocentr.ru/ru/exhibitions/de590dc5-417d-11ee-80ce-a0d3c1fab97f</t>
        </is>
      </c>
    </row>
    <row r="342" ht="16" customHeight="1">
      <c r="A342" s="1" t="inlineStr">
        <is>
          <t>АРМЕДИКА, ООО</t>
        </is>
      </c>
      <c r="B342" s="1" t="inlineStr">
        <is>
          <t>6D070</t>
        </is>
      </c>
      <c r="C342" s="1" t="inlineStr">
        <is>
          <t>Россия</t>
        </is>
      </c>
      <c r="D342" s="1" t="inlineStr">
        <is>
          <t>Екатеринбург</t>
        </is>
      </c>
      <c r="E342" s="1" t="inlineStr">
        <is>
          <t>Россия, 620133, г. Екатеринбург, ул. Шевченко, д. 20</t>
        </is>
      </c>
      <c r="F342" s="10" t="inlineStr">
        <is>
          <t>https://yukigroup.ru</t>
        </is>
      </c>
      <c r="G342" s="1" t="inlineStr">
        <is>
          <t>info@yukigroup.ru</t>
        </is>
      </c>
      <c r="H342" s="1" t="inlineStr">
        <is>
          <t>ООО «Армедика» — надежный поставщик и производитель медицинского оборудования, мебели, расходных материалов и технических средств реабилитации под ТЗ «ЮКИ». Доставка по всей России и в страны СНГ.</t>
        </is>
      </c>
      <c r="I342" s="1" t="inlineStr">
        <is>
          <t>Медицинская мебель; Расходные материалы для медицинского оборудования; Реабилитационное оборудование; Эндоскопические комплексы и системы; Аппараты для искусственной вентиляции легких; Оборудование для длительных вливаний крови и растворов</t>
        </is>
      </c>
      <c r="J342" s="1">
        <f>IFERROR(__xludf.DUMMYFUNCTION("AI(Prompt!$B$6, H384:I384)"),"Производитель")</f>
        <v/>
      </c>
      <c r="K342" s="1">
        <f>IFERROR(__xludf.DUMMYFUNCTION("AI(Prompt!$B$12, H384:J384)"),"OK")</f>
        <v/>
      </c>
      <c r="L342" s="1">
        <f>IFERROR(__xludf.DUMMYFUNCTION("AI(Prompt!$B$17, H384:I384)"),"медицинское оборудование, мебель, расходные материалы и средства реабилитации")</f>
        <v/>
      </c>
      <c r="M342" s="1">
        <f>IFERROR(__xludf.DUMMYFUNCTION("AI(Prompt!$B$21,A384)"),"Армедика")</f>
        <v/>
      </c>
      <c r="N342" s="1" t="inlineStr">
        <is>
          <t>Здравоохранение-2025</t>
        </is>
      </c>
      <c r="O342" s="9" t="inlineStr">
        <is>
          <t>https://icatalog.expocentr.ru/ru/exhibitions/de590dc5-417d-11ee-80ce-a0d3c1fab97f</t>
        </is>
      </c>
    </row>
    <row r="343" ht="16" customHeight="1">
      <c r="A343" s="1" t="inlineStr">
        <is>
          <t>ПАЛЬМА ГК, ООО</t>
        </is>
      </c>
      <c r="B343" s="1" t="inlineStr">
        <is>
          <t>6B090</t>
        </is>
      </c>
      <c r="C343" s="1" t="inlineStr">
        <is>
          <t>Россия</t>
        </is>
      </c>
      <c r="D343" s="1" t="inlineStr">
        <is>
          <t>Москва</t>
        </is>
      </c>
      <c r="E343" s="1" t="inlineStr">
        <is>
          <t>Россия, 108809, г. Москва, вн. тер. г. м. о. Внуково, д. Толстопальцево, ул. Советская, д. 4, стр. 1</t>
        </is>
      </c>
      <c r="F343" s="10" t="inlineStr">
        <is>
          <t>http://www.palma-med.ru</t>
        </is>
      </c>
      <c r="G343" s="1" t="inlineStr">
        <is>
          <t>palma@palma-med.ru</t>
        </is>
      </c>
      <c r="H343" s="1" t="inlineStr">
        <is>
          <t>Производитель медицинских изделий: кало- и уроприемников, средств ухода за стомой, липких бинтов, липких операционных пленок, салфеток для офтальмологических операций, ранозаживляющих средств.</t>
        </is>
      </c>
      <c r="I343" s="1" t="inlineStr">
        <is>
          <t>Дополнительное оборудование и принадлежности для офтальмодиагностики; Перевязочные средства; Средства ухода за стомой; Одноразовые медицинские изделия прочие; Средства для оказания экстренной медицинской помощи; Аппараты и материалы для сердечно-сосудистой хирургии</t>
        </is>
      </c>
      <c r="J343" s="1">
        <f>IFERROR(__xludf.DUMMYFUNCTION("AI(Prompt!$B$6, H385:I385)"),"Производитель")</f>
        <v/>
      </c>
      <c r="K343" s="1">
        <f>IFERROR(__xludf.DUMMYFUNCTION("AI(Prompt!$B$12, H385:J385)"),"OK")</f>
        <v/>
      </c>
      <c r="L343" s="1">
        <f>IFERROR(__xludf.DUMMYFUNCTION("AI(Prompt!$B$17, H385:I385)"),"средства ухода за стомой, перевязочные средства, и медицинские изделия")</f>
        <v/>
      </c>
      <c r="M343" s="1">
        <f>IFERROR(__xludf.DUMMYFUNCTION("AI(Prompt!$B$21,A385)"),"Пальма")</f>
        <v/>
      </c>
      <c r="N343" s="1" t="inlineStr">
        <is>
          <t>Здравоохранение-2025</t>
        </is>
      </c>
      <c r="O343" s="9" t="inlineStr">
        <is>
          <t>https://icatalog.expocentr.ru/ru/exhibitions/de590dc5-417d-11ee-80ce-a0d3c1fab97f</t>
        </is>
      </c>
    </row>
    <row r="344" hidden="1" ht="16" customHeight="1">
      <c r="A344" s="1" t="inlineStr">
        <is>
          <t>ROTEK LAMINATES</t>
        </is>
      </c>
      <c r="B344" s="1" t="inlineStr">
        <is>
          <t>6G108</t>
        </is>
      </c>
      <c r="C344" s="1" t="inlineStr">
        <is>
          <t>Индия</t>
        </is>
      </c>
      <c r="E344" s="1" t="inlineStr">
        <is>
          <t>Индия</t>
        </is>
      </c>
      <c r="F344" s="10" t="inlineStr">
        <is>
          <t>https://roteklaminates.com</t>
        </is>
      </c>
      <c r="G344" s="1" t="inlineStr">
        <is>
          <t>ved@medica.group</t>
        </is>
      </c>
      <c r="H344" s="1" t="inlineStr">
        <is>
          <t>Rotek Laminates — специализированный производитель барьерной упаковки, основной продукцией которого является алюминиевая фольга, пакет из фольги с окошком Tyvek, пакеты с легко открывающимся peel-швом, высокобарьерная упаковка для агрессивных жидкостей.</t>
        </is>
      </c>
      <c r="I344" s="1" t="inlineStr">
        <is>
          <t>Медицинская упаковка; Расходные материалы для медицинских приборов; Одноразовые медицинские изделия прочие; Комплектующие для производства медицинских изделий</t>
        </is>
      </c>
      <c r="J344" s="1">
        <f>IFERROR(__xludf.DUMMYFUNCTION("AI(Prompt!$B$6, H386:I386)"),"Производитель")</f>
        <v/>
      </c>
      <c r="K344" s="1">
        <f>IFERROR(__xludf.DUMMYFUNCTION("AI(Prompt!$B$12, H386:J386)"),"OK")</f>
        <v/>
      </c>
      <c r="L344" s="1">
        <f>IFERROR(__xludf.DUMMYFUNCTION("AI(Prompt!$B$17, H386:I386)"),"фольга, пакеты и упаковка")</f>
        <v/>
      </c>
      <c r="M344" s="1">
        <f>IFERROR(__xludf.DUMMYFUNCTION("AI(Prompt!$B$21,A386)"),"Rotek Laminates")</f>
        <v/>
      </c>
      <c r="N344" s="1" t="inlineStr">
        <is>
          <t>Здравоохранение-2025</t>
        </is>
      </c>
      <c r="O344" s="9" t="inlineStr">
        <is>
          <t>https://icatalog.expocentr.ru/ru/exhibitions/de590dc5-417d-11ee-80ce-a0d3c1fab97f</t>
        </is>
      </c>
    </row>
    <row r="345" ht="16" customHeight="1">
      <c r="A345" s="1" t="inlineStr">
        <is>
          <t>ВИЛЛМЕД ПРОИЗВОДСТВЕННАЯ КОМПАНИЯ, ООО</t>
        </is>
      </c>
      <c r="B345" s="1" t="inlineStr">
        <is>
          <t>6C050</t>
        </is>
      </c>
      <c r="C345" s="1" t="inlineStr">
        <is>
          <t>Россия</t>
        </is>
      </c>
      <c r="D345" s="1" t="inlineStr">
        <is>
          <t>Краснодар</t>
        </is>
      </c>
      <c r="E345" s="1" t="inlineStr">
        <is>
          <t>Россия, г. Краснодар, ул. Морская, д. 15</t>
        </is>
      </c>
      <c r="F345" s="10" t="inlineStr">
        <is>
          <t>http://www.willmed.ru</t>
        </is>
      </c>
      <c r="G345" s="1" t="inlineStr">
        <is>
          <t>zakaz@willmed.ru</t>
        </is>
      </c>
      <c r="H345" s="1" t="inlineStr">
        <is>
          <t>«ВиллМед» — производство медизделий полного цикла в г. Краснодаре: урологических изделий (мочеприемников и катетеров), изделий для стомированных (калоприемников), абсорбирующего белья. Проект импортозамещения.</t>
        </is>
      </c>
      <c r="I345" s="1" t="inlineStr">
        <is>
          <t>Инструменты урологические; Средства ухода за стомой; Одноразовые медицинские изделия прочие; Производство медицинских изделий</t>
        </is>
      </c>
      <c r="J345" s="1">
        <f>IFERROR(__xludf.DUMMYFUNCTION("AI(Prompt!$B$6, H387:I387)"),"Производитель")</f>
        <v/>
      </c>
      <c r="K345" s="1">
        <f>IFERROR(__xludf.DUMMYFUNCTION("AI(Prompt!$B$12, H387:J387)"),"OK")</f>
        <v/>
      </c>
      <c r="L345" s="1">
        <f>IFERROR(__xludf.DUMMYFUNCTION("AI(Prompt!$B$17, H387:I387)"),"урологические изделия, средства для стомы и абсорбирующее белье")</f>
        <v/>
      </c>
      <c r="M345" s="1">
        <f>IFERROR(__xludf.DUMMYFUNCTION("AI(Prompt!$B$21,A387)"),"Виллмед Производственная Компания")</f>
        <v/>
      </c>
      <c r="N345" s="1" t="inlineStr">
        <is>
          <t>Здравоохранение-2025</t>
        </is>
      </c>
      <c r="O345" s="9" t="inlineStr">
        <is>
          <t>https://icatalog.expocentr.ru/ru/exhibitions/de590dc5-417d-11ee-80ce-a0d3c1fab97f</t>
        </is>
      </c>
    </row>
    <row r="346" hidden="1" ht="16" customHeight="1">
      <c r="A346" s="1" t="inlineStr">
        <is>
          <t>ЛЕНТА, ОАО</t>
        </is>
      </c>
      <c r="B346" s="1" t="inlineStr">
        <is>
          <t>6F075</t>
        </is>
      </c>
      <c r="C346" s="1" t="inlineStr">
        <is>
          <t>Республика Беларусь</t>
        </is>
      </c>
      <c r="D346" s="1" t="inlineStr">
        <is>
          <t>Могилёв</t>
        </is>
      </c>
      <c r="E346" s="1" t="inlineStr">
        <is>
          <t>Республика Беларусь, 212003, г. Могилёв, ул. Челюскинцев, д. 65</t>
        </is>
      </c>
      <c r="F346" s="10" t="inlineStr">
        <is>
          <t>http://www.lentabel.by</t>
        </is>
      </c>
      <c r="G346" s="1" t="inlineStr">
        <is>
          <t>lenta@mogilev.by</t>
        </is>
      </c>
      <c r="H346" s="1" t="inlineStr">
        <is>
          <t>Производим современные перевязочные материалы: бинты медицинские тканые и вязаные различного назначения, салфетки медицинские, жгуты кровоостанавливающие, инъекционные, пакеты перевязочные.</t>
        </is>
      </c>
      <c r="I346" s="1" t="inlineStr">
        <is>
          <t>Перевязочные средства; Средства для оказания экстренной медицинской помощи</t>
        </is>
      </c>
      <c r="J346" s="1">
        <f>IFERROR(__xludf.DUMMYFUNCTION("AI(Prompt!$B$6, H388:I388)"),"Производитель")</f>
        <v/>
      </c>
      <c r="K346" s="1">
        <f>IFERROR(__xludf.DUMMYFUNCTION("AI(Prompt!$B$12, H388:J388)"),"OK")</f>
        <v/>
      </c>
      <c r="L346" s="1">
        <f>IFERROR(__xludf.DUMMYFUNCTION("AI(Prompt!$B$17, H388:I388)"),"перевязочные материалы, бинты, салфетки, жгуты и пакеты")</f>
        <v/>
      </c>
      <c r="M346" s="1">
        <f>IFERROR(__xludf.DUMMYFUNCTION("AI(Prompt!$B$21,A388)"),"Лента")</f>
        <v/>
      </c>
      <c r="N346" s="1" t="inlineStr">
        <is>
          <t>Здравоохранение-2025</t>
        </is>
      </c>
      <c r="O346" s="9" t="inlineStr">
        <is>
          <t>https://icatalog.expocentr.ru/ru/exhibitions/de590dc5-417d-11ee-80ce-a0d3c1fab97f</t>
        </is>
      </c>
    </row>
    <row r="347" ht="16" customHeight="1">
      <c r="A347" s="1" t="inlineStr">
        <is>
          <t>МЕДТЕХНИКА-СТОЛИЦА, ООО</t>
        </is>
      </c>
      <c r="B347" s="11" t="n">
        <v>60000000000</v>
      </c>
      <c r="C347" s="1" t="inlineStr">
        <is>
          <t>Россия</t>
        </is>
      </c>
      <c r="D347" s="1" t="inlineStr">
        <is>
          <t>Москва</t>
        </is>
      </c>
      <c r="E347" s="1" t="inlineStr">
        <is>
          <t>Россия, 125504, г. Москва, Дмитровское ш., д. 89, пом. XXVI, комн. 23, 24</t>
        </is>
      </c>
      <c r="F347" s="10" t="inlineStr">
        <is>
          <t>http://heine.com.ru</t>
        </is>
      </c>
      <c r="G347" s="1" t="inlineStr">
        <is>
          <t>shopheine@yandex.ru</t>
        </is>
      </c>
      <c r="H347" s="1" t="inlineStr">
        <is>
          <t>Уполномоченный импортер, дистрибьютор и авторизованный сервисный центр HEINE в России.Прямые поставки из Германии. Доступно на складе прямо сейчас. Шоурум HEINE.17 лет партнер HEINE.Апробация бесплатно в ЛПУ: — дерматоскопы DELTA 30, DELTA ONE, DELTA 20 T— ларингоскопы Video visionPRO, Classic+ Macintosh, Miller, Paed, Standard F.O. — офтальмоскопы непрямые OMEGA 600, SIGMA 250 — осветители налобные ML4 LED, MicroLight, LoupeLight— лупы бинокулярные HR 2.5х340/420/520 и HRP 3.5х420, 4х340, 6х340.</t>
        </is>
      </c>
      <c r="I347" s="1" t="inlineStr">
        <is>
          <t>Офтальмоскопы; Дерматоскопы; Отоскопы и лор-инструменты; Одноразовые проктоскопы; Ларингоскопы; Осветители налобные с бинокулярными лупами</t>
        </is>
      </c>
      <c r="J347" s="1">
        <f>IFERROR(__xludf.DUMMYFUNCTION("AI(Prompt!$B$6, H389:I389)"),"Дилер")</f>
        <v/>
      </c>
      <c r="K347" s="1">
        <f>IFERROR(__xludf.DUMMYFUNCTION("AI(Prompt!$B$12, H389:J389)"),"OK")</f>
        <v/>
      </c>
      <c r="L347" s="1">
        <f>IFERROR(__xludf.DUMMYFUNCTION("AI(Prompt!$B$17, H389:I389)"),"офтальмоскопы, дерматоскопы, отоскопы и лор-инструменты, проктоскопы, ларингоскопы, осветители и лупы")</f>
        <v/>
      </c>
      <c r="M347" s="1">
        <f>IFERROR(__xludf.DUMMYFUNCTION("AI(Prompt!$B$21,A389)"),"Медтехника Столица")</f>
        <v/>
      </c>
      <c r="N347" s="1" t="inlineStr">
        <is>
          <t>Здравоохранение-2025</t>
        </is>
      </c>
      <c r="O347" s="9" t="inlineStr">
        <is>
          <t>https://icatalog.expocentr.ru/ru/exhibitions/de590dc5-417d-11ee-80ce-a0d3c1fab97f</t>
        </is>
      </c>
    </row>
    <row r="348" ht="16" customHeight="1">
      <c r="A348" s="1" t="inlineStr">
        <is>
          <t>ЕРЕМЕЕВ А.М., ИП</t>
        </is>
      </c>
      <c r="B348" s="1" t="inlineStr">
        <is>
          <t>6G084</t>
        </is>
      </c>
      <c r="C348" s="1" t="inlineStr">
        <is>
          <t>Россия</t>
        </is>
      </c>
      <c r="D348" s="1" t="inlineStr">
        <is>
          <t>Казань</t>
        </is>
      </c>
      <c r="E348" s="1" t="inlineStr">
        <is>
          <t>Россия, Республика Татарстан, г. Казань</t>
        </is>
      </c>
      <c r="F348" s="10" t="inlineStr">
        <is>
          <t>https://meshkipaketi.ru</t>
        </is>
      </c>
      <c r="G348" s="1" t="inlineStr">
        <is>
          <t>medelplus@mail.ru</t>
        </is>
      </c>
      <c r="H348" s="1" t="inlineStr">
        <is>
          <t>Наша компания производит упаковку для медицинских отходов с 2013 года. Наши товары имеют все сертификаты качества и РУ. У нас широкий ассортимент: пакеты для сбора отходов, пакеты для термической обработки, емкости, баки, баки с педалью, мешки патолого-анатомические, тележки, дезинфекторы.</t>
        </is>
      </c>
      <c r="I348" s="1" t="inlineStr">
        <is>
          <t>Расходные материалы для медицинских приборов; Одноразовые медицинские изделия прочие; Расходные материалы для медицинского оборудования</t>
        </is>
      </c>
      <c r="J348" s="1">
        <f>IFERROR(__xludf.DUMMYFUNCTION("AI(Prompt!$B$6, H390:I390)"),"Производитель")</f>
        <v/>
      </c>
      <c r="K348" s="1">
        <f>IFERROR(__xludf.DUMMYFUNCTION("AI(Prompt!$B$12, H390:J390)"),"OK")</f>
        <v/>
      </c>
      <c r="L348" s="1">
        <f>IFERROR(__xludf.DUMMYFUNCTION("AI(Prompt!$B$17, H390:I390)"),"пакеты, емкости, баки и дезинфекторы")</f>
        <v/>
      </c>
      <c r="M348" s="1">
        <f>IFERROR(__xludf.DUMMYFUNCTION("AI(Prompt!$B$21,A390)"),"ИП Еремеев")</f>
        <v/>
      </c>
      <c r="N348" s="1" t="inlineStr">
        <is>
          <t>Здравоохранение-2025</t>
        </is>
      </c>
      <c r="O348" s="9" t="inlineStr">
        <is>
          <t>https://icatalog.expocentr.ru/ru/exhibitions/de590dc5-417d-11ee-80ce-a0d3c1fab97f</t>
        </is>
      </c>
    </row>
    <row r="349" ht="16" customHeight="1">
      <c r="A349" s="1" t="inlineStr">
        <is>
          <t>БОЛЮСМЕД</t>
        </is>
      </c>
      <c r="B349" s="1" t="inlineStr">
        <is>
          <t>6D020</t>
        </is>
      </c>
      <c r="C349" s="1" t="inlineStr">
        <is>
          <t>Россия</t>
        </is>
      </c>
      <c r="D349" s="1" t="inlineStr">
        <is>
          <t>Санкт-Петербург</t>
        </is>
      </c>
      <c r="E349" s="1" t="inlineStr">
        <is>
          <t>Россия, 194295, г. Санкт-Петербург, ул. Ивана Фомина, д. 7, корп. 3, кв. 37</t>
        </is>
      </c>
      <c r="F349" s="10" t="inlineStr">
        <is>
          <t>https://bolusmed.ru</t>
        </is>
      </c>
      <c r="G349" s="1" t="inlineStr">
        <is>
          <t>office@bolusmed.ru</t>
        </is>
      </c>
      <c r="H349" s="1" t="inlineStr">
        <is>
          <t>Компания ООО «Болюсмед» специализируется на поставках медицинских изделий в сфере диагностики с контрастным усилением. Основные направления деятельности нашей компании включают в себя:— наборы для контрастирования (шприцы и линии);— болюсные инжекторы;— сервисное обслуживание оборудования.</t>
        </is>
      </c>
      <c r="I349" s="1" t="inlineStr">
        <is>
          <t>Расходные материалы для медицинского оборудования; Поставка медицинского оборудования и расходных материалов; Вспомогательное оборудование; Компьютерные томографы; Магнитно-резонансные томографы</t>
        </is>
      </c>
      <c r="J349" s="1">
        <f>IFERROR(__xludf.DUMMYFUNCTION("AI(Prompt!$B$6, H391:I391)"),"Дилер")</f>
        <v/>
      </c>
      <c r="K349" s="1">
        <f>IFERROR(__xludf.DUMMYFUNCTION("AI(Prompt!$B$12, H391:J391)"),"OK")</f>
        <v/>
      </c>
      <c r="L349" s="1">
        <f>IFERROR(__xludf.DUMMYFUNCTION("AI(Prompt!$B$17, H391:I391)"),"расходные материалы, инжекторы и томографы")</f>
        <v/>
      </c>
      <c r="M349" s="1">
        <f>IFERROR(__xludf.DUMMYFUNCTION("AI(Prompt!$B$21,A391)"),"Болюсмед")</f>
        <v/>
      </c>
      <c r="N349" s="1" t="inlineStr">
        <is>
          <t>Здравоохранение-2025</t>
        </is>
      </c>
      <c r="O349" s="9" t="inlineStr">
        <is>
          <t>https://icatalog.expocentr.ru/ru/exhibitions/de590dc5-417d-11ee-80ce-a0d3c1fab97f</t>
        </is>
      </c>
    </row>
    <row r="350" ht="16" customHeight="1">
      <c r="A350" s="1" t="inlineStr">
        <is>
          <t>АДВАМЕДИКС</t>
        </is>
      </c>
      <c r="B350" s="1" t="inlineStr">
        <is>
          <t>6F032</t>
        </is>
      </c>
      <c r="C350" s="1" t="inlineStr">
        <is>
          <t>Россия</t>
        </is>
      </c>
      <c r="D350" s="1" t="inlineStr">
        <is>
          <t>Москва</t>
        </is>
      </c>
      <c r="E350" s="1" t="inlineStr">
        <is>
          <t>Россия, 127486, г. Москва, Коровинское ш., д. 10, стр. 2, оф. 15</t>
        </is>
      </c>
      <c r="F350" s="10" t="inlineStr">
        <is>
          <t>http://www.advamedics.ru</t>
        </is>
      </c>
      <c r="G350" s="1" t="inlineStr">
        <is>
          <t>info@advamedics.ru</t>
        </is>
      </c>
      <c r="H350" s="1" t="inlineStr">
        <is>
          <t>Компания «Адвамедикс» — эксклюзивный дистрибьютор Poly Medicure Limited, поставщик медицинских расходных материалов для анестезиологии и реанимации.</t>
        </is>
      </c>
      <c r="I350" s="1" t="inlineStr">
        <is>
          <t>Расходные материалы для медицинских приборов; Инструменты и принадлежности для инъекций  и взятия крови; Одноразовые медицинские изделия прочие; Расходные материалы для медицинского оборудования; Принадлежности и расходные материалы для реанимации и экстренной помощи</t>
        </is>
      </c>
      <c r="J350" s="1">
        <f>IFERROR(__xludf.DUMMYFUNCTION("AI(Prompt!$B$6, H392:I392)"),"Дилер")</f>
        <v/>
      </c>
      <c r="K350" s="1">
        <f>IFERROR(__xludf.DUMMYFUNCTION("AI(Prompt!$B$12, H392:J392)"),"OK")</f>
        <v/>
      </c>
      <c r="L350" s="1">
        <f>IFERROR(__xludf.DUMMYFUNCTION("AI(Prompt!$B$17, H392:I392)"),"расходные материалы, инструменты и принадлежности")</f>
        <v/>
      </c>
      <c r="M350" s="1">
        <f>IFERROR(__xludf.DUMMYFUNCTION("AI(Prompt!$B$21,A392)"),"Адвамедикс")</f>
        <v/>
      </c>
      <c r="N350" s="1" t="inlineStr">
        <is>
          <t>Здравоохранение-2025</t>
        </is>
      </c>
      <c r="O350" s="9" t="inlineStr">
        <is>
          <t>https://icatalog.expocentr.ru/ru/exhibitions/de590dc5-417d-11ee-80ce-a0d3c1fab97f</t>
        </is>
      </c>
    </row>
    <row r="351" ht="16" customHeight="1">
      <c r="A351" s="1" t="inlineStr">
        <is>
          <t>АВИС ЛАЙФ САЙНС, МНПК, ООО</t>
        </is>
      </c>
      <c r="B351" s="1" t="inlineStr">
        <is>
          <t>6F060</t>
        </is>
      </c>
      <c r="C351" s="1" t="inlineStr">
        <is>
          <t>Россия</t>
        </is>
      </c>
      <c r="D351" s="1" t="inlineStr">
        <is>
          <t>Химки</t>
        </is>
      </c>
      <c r="E351" s="1" t="inlineStr">
        <is>
          <t>Россия, 141402, Московская обл., г. Химки, ул. Ленинградская, д. 1, корп. Д, оф. 315</t>
        </is>
      </c>
      <c r="F351" s="10" t="inlineStr">
        <is>
          <t>http://www.mnpkavis.ru</t>
        </is>
      </c>
      <c r="G351" s="1" t="inlineStr">
        <is>
          <t>mnpkavis@bk.ru</t>
        </is>
      </c>
      <c r="H351" s="1" t="inlineStr">
        <is>
          <t>ООО «МНПК АВИС ЛАЙФ САЙНС» — эксклюзивный поставщик гемостатических средств на основе окисленной регенерированной целлюлозы Surgi-ORC, гемостатических средств на основе желатина SURGISPON, а также сшивающих аппаратов и кассет BEIEN-SURG для лапароскопических и открытых операций.</t>
        </is>
      </c>
      <c r="I351" s="1" t="inlineStr">
        <is>
          <t>Одноразовые медицинские изделия прочие; Инструменты общехирургические; Специализированные медицинские инструменты</t>
        </is>
      </c>
      <c r="J351" s="1">
        <f>IFERROR(__xludf.DUMMYFUNCTION("AI(Prompt!$B$6, H393:I393)"),"Дилер")</f>
        <v/>
      </c>
      <c r="K351" s="1">
        <f>IFERROR(__xludf.DUMMYFUNCTION("AI(Prompt!$B$12, H393:J393)"),"OK")</f>
        <v/>
      </c>
      <c r="L351" s="1">
        <f>IFERROR(__xludf.DUMMYFUNCTION("AI(Prompt!$B$17, H393:I393)"),"гемостатические средства, сшивающие аппараты и кассеты")</f>
        <v/>
      </c>
      <c r="M351" s="1">
        <f>IFERROR(__xludf.DUMMYFUNCTION("AI(Prompt!$B$21,A393)"),"Авис Лайф Сайенс, МНПК")</f>
        <v/>
      </c>
      <c r="N351" s="1" t="inlineStr">
        <is>
          <t>Здравоохранение-2025</t>
        </is>
      </c>
      <c r="O351" s="9" t="inlineStr">
        <is>
          <t>https://icatalog.expocentr.ru/ru/exhibitions/de590dc5-417d-11ee-80ce-a0d3c1fab97f</t>
        </is>
      </c>
    </row>
    <row r="352" ht="16" customHeight="1">
      <c r="A352" s="1" t="inlineStr">
        <is>
          <t>ЕМ-ГРУПП, ООО</t>
        </is>
      </c>
      <c r="B352" s="11" t="n">
        <v>6e+78</v>
      </c>
      <c r="C352" s="1" t="inlineStr">
        <is>
          <t>Россия</t>
        </is>
      </c>
      <c r="D352" s="1" t="inlineStr">
        <is>
          <t>Санкт-Петербург</t>
        </is>
      </c>
      <c r="E352" s="1" t="inlineStr">
        <is>
          <t>Россия, 197343, г. Санкт-Петербург, ул. Студенческая, д. 10</t>
        </is>
      </c>
      <c r="F352" s="10" t="inlineStr">
        <is>
          <t>http://www.emgr.ru</t>
        </is>
      </c>
      <c r="G352" s="1" t="inlineStr">
        <is>
          <t>em@evromedika.ru</t>
        </is>
      </c>
      <c r="H352" s="1" t="inlineStr">
        <is>
          <t>EM FIX — бренд медицинских расходных материалов: бинтов и кинезиотейпов. С нами работают стратегически мыслящие. Те, кто экономит на материалах, однажды платят репутацией.</t>
        </is>
      </c>
      <c r="I352" s="1" t="inlineStr">
        <is>
          <t>Производство медицинских изделий; Реабилитационное оборудование; Фитнес и спорт; Эстетическая медицина и косметология; Альтернативная медицина; Медицинские изделия для домашнего применения</t>
        </is>
      </c>
      <c r="J352" s="1">
        <f>IFERROR(__xludf.DUMMYFUNCTION("AI(Prompt!$B$6, H394:I394)"),"Производитель")</f>
        <v/>
      </c>
      <c r="K352" s="1">
        <f>IFERROR(__xludf.DUMMYFUNCTION("AI(Prompt!$B$12, H394:J394)"),"OK")</f>
        <v/>
      </c>
      <c r="L352" s="1">
        <f>IFERROR(__xludf.DUMMYFUNCTION("AI(Prompt!$B$17, H394:I394)"),"бинты и кинезиотейпы")</f>
        <v/>
      </c>
      <c r="M352" s="1">
        <f>IFERROR(__xludf.DUMMYFUNCTION("AI(Prompt!$B$21,A394)"),"Ем-Групп")</f>
        <v/>
      </c>
      <c r="N352" s="1" t="inlineStr">
        <is>
          <t>Здравоохранение-2025</t>
        </is>
      </c>
      <c r="O352" s="9" t="inlineStr">
        <is>
          <t>https://icatalog.expocentr.ru/ru/exhibitions/de590dc5-417d-11ee-80ce-a0d3c1fab97f</t>
        </is>
      </c>
    </row>
    <row r="353" ht="16" customHeight="1">
      <c r="A353" s="1" t="inlineStr">
        <is>
          <t>ИНТЕРТЕКСТИЛЬ КОРП., ООО</t>
        </is>
      </c>
      <c r="B353" s="1" t="inlineStr">
        <is>
          <t>6A030</t>
        </is>
      </c>
      <c r="C353" s="1" t="inlineStr">
        <is>
          <t>Россия</t>
        </is>
      </c>
      <c r="D353" s="1" t="inlineStr">
        <is>
          <t>Москва</t>
        </is>
      </c>
      <c r="E353" s="1" t="inlineStr">
        <is>
          <t>Россия, 101000, г. Москва, ул. Мясницкая, д. 32, стр. 2, этаж 1, пом. 4, комн. 1</t>
        </is>
      </c>
      <c r="F353" s="10" t="inlineStr">
        <is>
          <t>http://www.bint.ru</t>
        </is>
      </c>
      <c r="G353" s="1" t="inlineStr">
        <is>
          <t>info@bint.ru</t>
        </is>
      </c>
      <c r="H353" s="1" t="inlineStr">
        <is>
          <t>Российский производитель. Создаем инновационные компрессионные изделия, прислушиваемся к мнению врачей и пациентов. Заботимся о здоровье населения с 1997 года. Присоединяйтесь к нам @tm_intex</t>
        </is>
      </c>
      <c r="I353" s="1" t="inlineStr">
        <is>
          <t>Перевязочные средства; Производство медицинских изделий; Средства для оказания экстренной медицинской помощи; Принадлежности и расходные материалы для реанимации и экстренной помощи; Хирургическое оборудование; Эндопротезы и имплантаты</t>
        </is>
      </c>
      <c r="J353" s="1">
        <f>IFERROR(__xludf.DUMMYFUNCTION("AI(Prompt!$B$6, H395:I395)"),"Производитель")</f>
        <v/>
      </c>
      <c r="K353" s="1">
        <f>IFERROR(__xludf.DUMMYFUNCTION("AI(Prompt!$B$12, H395:J395)"),"OK")</f>
        <v/>
      </c>
      <c r="L353" s="1">
        <f>IFERROR(__xludf.DUMMYFUNCTION("AI(Prompt!$B$17, H395:I395)"),"компрессионные изделия, перевязочные средства, хирургическое оборудование, эндопротезы и имплантаты")</f>
        <v/>
      </c>
      <c r="M353" s="1">
        <f>IFERROR(__xludf.DUMMYFUNCTION("AI(Prompt!$B$21,A395)"),"Интертекстиль Корп")</f>
        <v/>
      </c>
      <c r="N353" s="1" t="inlineStr">
        <is>
          <t>Здравоохранение-2025</t>
        </is>
      </c>
      <c r="O353" s="9" t="inlineStr">
        <is>
          <t>https://icatalog.expocentr.ru/ru/exhibitions/de590dc5-417d-11ee-80ce-a0d3c1fab97f</t>
        </is>
      </c>
    </row>
    <row r="354" ht="16" customHeight="1">
      <c r="A354" s="1" t="inlineStr">
        <is>
          <t>МЕДИН-Н, ООО</t>
        </is>
      </c>
      <c r="B354" s="1" t="inlineStr">
        <is>
          <t>6A045</t>
        </is>
      </c>
      <c r="C354" s="1" t="inlineStr">
        <is>
          <t>Россия</t>
        </is>
      </c>
      <c r="D354" s="1" t="inlineStr">
        <is>
          <t>Екатеринбург</t>
        </is>
      </c>
      <c r="E354" s="1" t="inlineStr">
        <is>
          <t>Россия, 620026, г. Екатеринбург, ул. Белинского, стр. 56, пом. 34/2</t>
        </is>
      </c>
      <c r="F354" s="10" t="inlineStr">
        <is>
          <t>http://www.medin-n.ru</t>
        </is>
      </c>
      <c r="G354" s="1" t="inlineStr">
        <is>
          <t>sale@medin-n.ru</t>
        </is>
      </c>
      <c r="H354" s="1" t="inlineStr">
        <is>
          <t>Предприятие ООО «Медин-Н» — российский лидер в области производства шовного хирургического материала. Представляет полный спектр атравматических хирургических игл и нитей для всех видов хирургии.</t>
        </is>
      </c>
      <c r="I354" s="1" t="inlineStr">
        <is>
          <t>Расходные материалы для медицинского оборудования; Производство медицинских изделий; Шовный материал</t>
        </is>
      </c>
      <c r="J354" s="1">
        <f>IFERROR(__xludf.DUMMYFUNCTION("AI(Prompt!$B$6, H396:I396)"),"Производитель")</f>
        <v/>
      </c>
      <c r="K354" s="1">
        <f>IFERROR(__xludf.DUMMYFUNCTION("AI(Prompt!$B$12, H396:J396)"),"OK")</f>
        <v/>
      </c>
      <c r="L354" s="1">
        <f>IFERROR(__xludf.DUMMYFUNCTION("AI(Prompt!$B$17, H396:I396)"),"шовный материал, хирургические иглы и нити")</f>
        <v/>
      </c>
      <c r="M354" s="1">
        <f>IFERROR(__xludf.DUMMYFUNCTION("AI(Prompt!$B$21,A396)"),"Медин-Н")</f>
        <v/>
      </c>
      <c r="N354" s="1" t="inlineStr">
        <is>
          <t>Здравоохранение-2025</t>
        </is>
      </c>
      <c r="O354" s="9" t="inlineStr">
        <is>
          <t>https://icatalog.expocentr.ru/ru/exhibitions/de590dc5-417d-11ee-80ce-a0d3c1fab97f</t>
        </is>
      </c>
    </row>
    <row r="355" ht="16" customHeight="1">
      <c r="A355" s="1" t="inlineStr">
        <is>
          <t>ИНТЕРТОРГ, ООО</t>
        </is>
      </c>
      <c r="B355" s="1" t="inlineStr">
        <is>
          <t>6B060</t>
        </is>
      </c>
      <c r="C355" s="1" t="inlineStr">
        <is>
          <t>Россия</t>
        </is>
      </c>
      <c r="D355" s="1" t="inlineStr">
        <is>
          <t>Владимир</t>
        </is>
      </c>
      <c r="E355" s="1" t="inlineStr">
        <is>
          <t>Россия, 600026, г. Владимир, ул. Гастелло, д. 8, оф. 235</t>
        </is>
      </c>
      <c r="F355" s="10" t="inlineStr">
        <is>
          <t>http://bmedical.ru</t>
        </is>
      </c>
      <c r="G355" s="1" t="inlineStr">
        <is>
          <t>info@bmedical.ru</t>
        </is>
      </c>
      <c r="H355" s="1" t="inlineStr">
        <is>
          <t>ООО «ИнтерТорг» — крупнейший поставщик медицинских перчаток торговой марки Basic на территории РФ. В линейке представлены смотровые, хирургические перчатки из натуральных и синтетических материалов.</t>
        </is>
      </c>
      <c r="I355" s="1" t="inlineStr">
        <is>
          <t>Одноразовые медицинские изделия прочие; Расходные материалы для медицинского оборудования</t>
        </is>
      </c>
      <c r="J355" s="1">
        <f>IFERROR(__xludf.DUMMYFUNCTION("AI(Prompt!$B$6, H397:I397)"),"Дилер")</f>
        <v/>
      </c>
      <c r="K355" s="1">
        <f>IFERROR(__xludf.DUMMYFUNCTION("AI(Prompt!$B$12, H397:J397)"),"OK")</f>
        <v/>
      </c>
      <c r="L355" s="1">
        <f>IFERROR(__xludf.DUMMYFUNCTION("AI(Prompt!$B$17, H397:I397)"),"медицинские перчатки")</f>
        <v/>
      </c>
      <c r="M355" s="1">
        <f>IFERROR(__xludf.DUMMYFUNCTION("AI(Prompt!$B$21,A397)"),"Интерторг")</f>
        <v/>
      </c>
      <c r="N355" s="1" t="inlineStr">
        <is>
          <t>Здравоохранение-2025</t>
        </is>
      </c>
      <c r="O355" s="9" t="inlineStr">
        <is>
          <t>https://icatalog.expocentr.ru/ru/exhibitions/de590dc5-417d-11ee-80ce-a0d3c1fab97f</t>
        </is>
      </c>
    </row>
    <row r="356" ht="16" customHeight="1">
      <c r="A356" s="1" t="inlineStr">
        <is>
          <t>ОРИОН МЕД, ООО</t>
        </is>
      </c>
      <c r="B356" s="1" t="inlineStr">
        <is>
          <t>6G024</t>
        </is>
      </c>
      <c r="C356" s="1" t="inlineStr">
        <is>
          <t>Россия</t>
        </is>
      </c>
      <c r="D356" s="1" t="inlineStr">
        <is>
          <t>Москва</t>
        </is>
      </c>
      <c r="E356" s="1" t="inlineStr">
        <is>
          <t>Россия, г. Москва, Варшавское ш., д. 16, корп. 2, этаж 1, пом. I, комн. 2</t>
        </is>
      </c>
      <c r="F356" s="10" t="inlineStr">
        <is>
          <t>https://orionmed.ru</t>
        </is>
      </c>
      <c r="G356" s="1" t="inlineStr">
        <is>
          <t>info@orionmed.ru</t>
        </is>
      </c>
      <c r="H356" s="1" t="inlineStr">
        <is>
          <t>Представляем новинку — легирующий инструмент производства КНР, обеспечивающий безопасное эффективное коагулирование тканей. Надежное решение для ветеринарных операций. Узнайте больше на нашем стенде!</t>
        </is>
      </c>
      <c r="I356" s="1" t="inlineStr">
        <is>
          <t>Инструменты гинекологические; Инструменты урологические; Проктология; Хирургическое оборудование; Хирургические инструменты; Специализированные медицинские инструменты</t>
        </is>
      </c>
      <c r="J356" s="1">
        <f>IFERROR(__xludf.DUMMYFUNCTION("AI(Prompt!$B$6, H398:I398)"),"Дилер")</f>
        <v/>
      </c>
      <c r="K356" s="1">
        <f>IFERROR(__xludf.DUMMYFUNCTION("AI(Prompt!$B$12, H398:J398)"),"OK")</f>
        <v/>
      </c>
      <c r="L356" s="1">
        <f>IFERROR(__xludf.DUMMYFUNCTION("AI(Prompt!$B$17, H398:I398)"),"хирургические инструменты и оборудование")</f>
        <v/>
      </c>
      <c r="M356" s="1">
        <f>IFERROR(__xludf.DUMMYFUNCTION("AI(Prompt!$B$21,A398)"),"Орион Мед")</f>
        <v/>
      </c>
      <c r="N356" s="1" t="inlineStr">
        <is>
          <t>Здравоохранение-2025</t>
        </is>
      </c>
      <c r="O356" s="9" t="inlineStr">
        <is>
          <t>https://icatalog.expocentr.ru/ru/exhibitions/de590dc5-417d-11ee-80ce-a0d3c1fab97f</t>
        </is>
      </c>
    </row>
    <row r="357" ht="16" customHeight="1">
      <c r="A357" s="1" t="inlineStr">
        <is>
          <t>ВАСКУЛЯРПРО, ООО</t>
        </is>
      </c>
      <c r="B357" s="1" t="inlineStr">
        <is>
          <t>6F030</t>
        </is>
      </c>
      <c r="C357" s="1" t="inlineStr">
        <is>
          <t>Россия</t>
        </is>
      </c>
      <c r="D357" s="1" t="inlineStr">
        <is>
          <t>Москва</t>
        </is>
      </c>
      <c r="E357" s="1" t="inlineStr">
        <is>
          <t>Россия, 121108, г. Москва, ул. Кастанаевская, д. 60, кв. 260</t>
        </is>
      </c>
      <c r="F357" s="10" t="inlineStr">
        <is>
          <t>https://vascularpro.ru</t>
        </is>
      </c>
      <c r="G357" s="1" t="inlineStr">
        <is>
          <t>info@vascularpro.ru</t>
        </is>
      </c>
      <c r="H357" s="1" t="inlineStr">
        <is>
          <t>Компания «ВаскулярПро» — эксклюзивный дистрибьютор производителя «СИБНАНОТЕХ», специализирующийся на изготовлении высокоточных медицинских технически сложных изделий для эндоваскулярной хирургии.</t>
        </is>
      </c>
      <c r="I357" s="1" t="inlineStr">
        <is>
          <t>Одноразовые медицинские изделия прочие; Специализированные медицинские инструменты</t>
        </is>
      </c>
      <c r="J357" s="1">
        <f>IFERROR(__xludf.DUMMYFUNCTION("AI(Prompt!$B$6, H399:I399)"),"Дилер")</f>
        <v/>
      </c>
      <c r="K357" s="1">
        <f>IFERROR(__xludf.DUMMYFUNCTION("AI(Prompt!$B$12, H399:J399)"),"OK")</f>
        <v/>
      </c>
      <c r="L357" s="1">
        <f>IFERROR(__xludf.DUMMYFUNCTION("AI(Prompt!$B$17, H399:I399)"),"медицинские изделия, инструменты")</f>
        <v/>
      </c>
      <c r="M357" s="1">
        <f>IFERROR(__xludf.DUMMYFUNCTION("AI(Prompt!$B$21,A399)"),"Васкулярпро")</f>
        <v/>
      </c>
      <c r="N357" s="1" t="inlineStr">
        <is>
          <t>Здравоохранение-2025</t>
        </is>
      </c>
      <c r="O357" s="9" t="inlineStr">
        <is>
          <t>https://icatalog.expocentr.ru/ru/exhibitions/de590dc5-417d-11ee-80ce-a0d3c1fab97f</t>
        </is>
      </c>
    </row>
    <row r="358" ht="16" customHeight="1">
      <c r="A358" s="1" t="inlineStr">
        <is>
          <t>НАПОЛИ, ООО</t>
        </is>
      </c>
      <c r="B358" s="1" t="inlineStr">
        <is>
          <t>6A035</t>
        </is>
      </c>
      <c r="C358" s="1" t="inlineStr">
        <is>
          <t>Россия</t>
        </is>
      </c>
      <c r="D358" s="1" t="inlineStr">
        <is>
          <t>Москва</t>
        </is>
      </c>
      <c r="E358" s="1" t="inlineStr">
        <is>
          <t>Россия, 123458, г. Москва, ул. Твардовского, д. 8, стр. 1</t>
        </is>
      </c>
      <c r="F358" s="10" t="inlineStr">
        <is>
          <t>http://www.napoly.info</t>
        </is>
      </c>
      <c r="G358" s="1" t="inlineStr">
        <is>
          <t>info@napoly.info</t>
        </is>
      </c>
      <c r="H358" s="1" t="inlineStr">
        <is>
          <t>«НАПОЛИ» разрабатывает и производит изделия для лечения ран: 1) биопластические материалы «Хитопран» и гидрогели «Гелехит», которые заменяют кожу при лечении язв, ожогов; 2) альгинатные покрытия «Альгипран» для лечения экссудирующих ран; 3) когезивные бинты «Бинтэль».</t>
        </is>
      </c>
      <c r="I358" s="1" t="inlineStr">
        <is>
          <t>Перевязочные средства; Одноразовые медицинские изделия прочие; Производство медицинских изделий; Средства для оказания экстренной медицинской помощи; Инструменты общехирургические; Ортезы</t>
        </is>
      </c>
      <c r="J358" s="1">
        <f>IFERROR(__xludf.DUMMYFUNCTION("AI(Prompt!$B$6, H400:I400)"),"Производитель")</f>
        <v/>
      </c>
      <c r="K358" s="1">
        <f>IFERROR(__xludf.DUMMYFUNCTION("AI(Prompt!$B$12, H400:J400)"),"OK")</f>
        <v/>
      </c>
      <c r="L358" s="1">
        <f>IFERROR(__xludf.DUMMYFUNCTION("AI(Prompt!$B$17, H400:I400)"),"перевязочные средства, биопластические материалы и гидрогели")</f>
        <v/>
      </c>
      <c r="M358" s="1">
        <f>IFERROR(__xludf.DUMMYFUNCTION("AI(Prompt!$B$21,A400)"),"Наполи")</f>
        <v/>
      </c>
      <c r="N358" s="1" t="inlineStr">
        <is>
          <t>Здравоохранение-2025</t>
        </is>
      </c>
      <c r="O358" s="9" t="inlineStr">
        <is>
          <t>https://icatalog.expocentr.ru/ru/exhibitions/de590dc5-417d-11ee-80ce-a0d3c1fab97f</t>
        </is>
      </c>
    </row>
    <row r="359" ht="16" customHeight="1">
      <c r="A359" s="1" t="inlineStr">
        <is>
          <t>МЕДИТЕК М, ООО</t>
        </is>
      </c>
      <c r="B359" s="1" t="inlineStr">
        <is>
          <t>6G022</t>
        </is>
      </c>
      <c r="C359" s="1" t="inlineStr">
        <is>
          <t>Россия</t>
        </is>
      </c>
      <c r="D359" s="1" t="inlineStr">
        <is>
          <t>Домодедово</t>
        </is>
      </c>
      <c r="E359" s="1" t="inlineStr">
        <is>
          <t>Россия, Московская обл., г. Домодедово, дер. Ильинское, вл. Аретей</t>
        </is>
      </c>
      <c r="F359" s="10" t="inlineStr">
        <is>
          <t>http://www.meditekm.ru</t>
        </is>
      </c>
      <c r="G359" s="1" t="inlineStr">
        <is>
          <t>info@meditekm.ru</t>
        </is>
      </c>
      <c r="H359" s="1" t="inlineStr">
        <is>
          <t>Российский производитель изделий медицинского назначения. Широкий ассортимент гипсовых бинтов, лейкопластырей и эластичных бинтов, произведенных с использованием экологически чистого сырья.</t>
        </is>
      </c>
      <c r="I359" s="1" t="inlineStr">
        <is>
          <t>Перевязочные средства</t>
        </is>
      </c>
      <c r="J359" s="1">
        <f>IFERROR(__xludf.DUMMYFUNCTION("AI(Prompt!$B$6, H401:I401)"),"Производитель")</f>
        <v/>
      </c>
      <c r="K359" s="1">
        <f>IFERROR(__xludf.DUMMYFUNCTION("AI(Prompt!$B$12, H401:J401)"),"OK")</f>
        <v/>
      </c>
      <c r="L359" s="1">
        <f>IFERROR(__xludf.DUMMYFUNCTION("AI(Prompt!$B$17, H401:I401)"),"бинты, лейкопластыри и медицинские изделия")</f>
        <v/>
      </c>
      <c r="M359" s="1">
        <f>IFERROR(__xludf.DUMMYFUNCTION("AI(Prompt!$B$21,A401)"),"Медитек М")</f>
        <v/>
      </c>
      <c r="N359" s="1" t="inlineStr">
        <is>
          <t>Здравоохранение-2025</t>
        </is>
      </c>
      <c r="O359" s="9" t="inlineStr">
        <is>
          <t>https://icatalog.expocentr.ru/ru/exhibitions/de590dc5-417d-11ee-80ce-a0d3c1fab97f</t>
        </is>
      </c>
    </row>
    <row r="360" ht="16" customHeight="1">
      <c r="A360" s="1" t="inlineStr">
        <is>
          <t>ВАН ТАЧ, ООО</t>
        </is>
      </c>
      <c r="B360" s="11" t="n">
        <v>600000</v>
      </c>
      <c r="C360" s="1" t="inlineStr">
        <is>
          <t>Россия</t>
        </is>
      </c>
      <c r="D360" s="1" t="inlineStr">
        <is>
          <t>Ногинск</t>
        </is>
      </c>
      <c r="E360" s="1" t="inlineStr">
        <is>
          <t>Россия, 142403, Московская обл., г. Ногинск, ул. Индустриальная, д. 42</t>
        </is>
      </c>
      <c r="F360" s="10" t="inlineStr">
        <is>
          <t>http://www.1-touch.ru</t>
        </is>
      </c>
      <c r="G360" s="1" t="inlineStr">
        <is>
          <t>info@1-touch.ru</t>
        </is>
      </c>
      <c r="H360" s="1" t="inlineStr">
        <is>
          <t>Российский производитель качественных одноразовых расходных материалов для индустрии красоты, медицины (РУ № РЗН 2022/17224) и спорта. Только современные безопасные надежные в применении изделия.</t>
        </is>
      </c>
      <c r="I360" s="1" t="inlineStr">
        <is>
          <t>Дезинфицирующие средства и материалы; Одноразовые медицинские изделия прочие; Производство медицинских изделий; Технологии, оборудование и расходные материалы для спа и велнес; Одноразовые медицинские изделия</t>
        </is>
      </c>
      <c r="J360" s="1">
        <f>IFERROR(__xludf.DUMMYFUNCTION("AI(Prompt!$B$6, H402:I402)"),"Производитель")</f>
        <v/>
      </c>
      <c r="K360" s="1">
        <f>IFERROR(__xludf.DUMMYFUNCTION("AI(Prompt!$B$12, H402:J402)"),"OK")</f>
        <v/>
      </c>
      <c r="L360" s="1">
        <f>IFERROR(__xludf.DUMMYFUNCTION("AI(Prompt!$B$17, H402:I402)"),"одноразовые материалы и дезинфицирующие средства")</f>
        <v/>
      </c>
      <c r="M360" s="1">
        <f>IFERROR(__xludf.DUMMYFUNCTION("AI(Prompt!$B$21,A402)"),"Ван Тач")</f>
        <v/>
      </c>
      <c r="N360" s="1" t="inlineStr">
        <is>
          <t>Здравоохранение-2025</t>
        </is>
      </c>
      <c r="O360" s="9" t="inlineStr">
        <is>
          <t>https://icatalog.expocentr.ru/ru/exhibitions/de590dc5-417d-11ee-80ce-a0d3c1fab97f</t>
        </is>
      </c>
    </row>
    <row r="361" hidden="1" ht="16" customHeight="1">
      <c r="A361" s="1" t="inlineStr">
        <is>
          <t>SU BIYOMEDIKAL SISTEMLER VE SAGLIK HIZMETLERI SAN. VE TIC. A.S.</t>
        </is>
      </c>
      <c r="B361" s="1" t="inlineStr">
        <is>
          <t>6F001</t>
        </is>
      </c>
      <c r="C361" s="1" t="inlineStr">
        <is>
          <t>Турция</t>
        </is>
      </c>
      <c r="E361" s="1" t="inlineStr">
        <is>
          <t>Турция</t>
        </is>
      </c>
      <c r="F361" s="10" t="inlineStr">
        <is>
          <t>https://submed.com.tr/en-US/</t>
        </is>
      </c>
      <c r="G361" s="1" t="inlineStr">
        <is>
          <t>eyup.karaca@submed.com.tr</t>
        </is>
      </c>
      <c r="H361" s="1" t="inlineStr">
        <is>
          <t>SUBMED — ведущий поставщик высококачественных инновационных медицинских изделий, направленных на улучшение ухода за пациентами и поддержку медицинских специалистов по всему миру.</t>
        </is>
      </c>
      <c r="I361" s="1" t="inlineStr">
        <is>
          <t>Перевязочные средства; Расходные материалы для медицинских приборов; Одноразовые медицинские изделия прочие</t>
        </is>
      </c>
      <c r="J361" s="1">
        <f>IFERROR(__xludf.DUMMYFUNCTION("AI(Prompt!$B$6, H403:I403)"),"Дилер")</f>
        <v/>
      </c>
      <c r="K361" s="1">
        <f>IFERROR(__xludf.DUMMYFUNCTION("AI(Prompt!$B$12, H403:J403)"),"OK")</f>
        <v/>
      </c>
      <c r="L361" s="1">
        <f>IFERROR(__xludf.DUMMYFUNCTION("AI(Prompt!$B$17, H403:I403)"),"перевязочные средства, расходные материалы и медицинские изделия")</f>
        <v/>
      </c>
      <c r="M361" s="1">
        <f>IFERROR(__xludf.DUMMYFUNCTION("AI(Prompt!$B$21,A403)"),"SUBMED")</f>
        <v/>
      </c>
      <c r="N361" s="1" t="inlineStr">
        <is>
          <t>Здравоохранение-2025</t>
        </is>
      </c>
      <c r="O361" s="9" t="inlineStr">
        <is>
          <t>https://icatalog.expocentr.ru/ru/exhibitions/de590dc5-417d-11ee-80ce-a0d3c1fab97f</t>
        </is>
      </c>
    </row>
    <row r="362" ht="16" customHeight="1">
      <c r="A362" s="1" t="inlineStr">
        <is>
          <t>ГРУНДЛАГЕ, ООО</t>
        </is>
      </c>
      <c r="B362" s="11" t="n">
        <v>6e+90</v>
      </c>
      <c r="C362" s="1" t="inlineStr">
        <is>
          <t>Россия</t>
        </is>
      </c>
      <c r="E362" s="1" t="inlineStr">
        <is>
          <t>Россия</t>
        </is>
      </c>
      <c r="F362" s="10" t="inlineStr">
        <is>
          <t>http://www.grundlage.info</t>
        </is>
      </c>
      <c r="G362" s="1" t="inlineStr">
        <is>
          <t>info@grundlage.info</t>
        </is>
      </c>
      <c r="H362" s="1" t="inlineStr">
        <is>
          <t>«Грундлаге» — один из лидеров в области производства медицинских перчаток в России. Вся продукция проходит контроль качества и соответствия требованиям к медицинским изделиям. Соответствует ПП РФ № 1875.</t>
        </is>
      </c>
      <c r="I362" s="1" t="inlineStr">
        <is>
          <t>Одноразовые медицинские изделия прочие</t>
        </is>
      </c>
      <c r="J362" s="1">
        <f>IFERROR(__xludf.DUMMYFUNCTION("AI(Prompt!$B$6, H404:I404)"),"Производитель")</f>
        <v/>
      </c>
      <c r="K362" s="1">
        <f>IFERROR(__xludf.DUMMYFUNCTION("AI(Prompt!$B$12, H404:J404)"),"OK")</f>
        <v/>
      </c>
      <c r="L362" s="1">
        <f>IFERROR(__xludf.DUMMYFUNCTION("AI(Prompt!$B$17, H404:I404)"),"медицинские перчатки")</f>
        <v/>
      </c>
      <c r="M362" s="1">
        <f>IFERROR(__xludf.DUMMYFUNCTION("AI(Prompt!$B$21,A404)"),"Грундлаге")</f>
        <v/>
      </c>
      <c r="N362" s="1" t="inlineStr">
        <is>
          <t>Здравоохранение-2025</t>
        </is>
      </c>
      <c r="O362" s="9" t="inlineStr">
        <is>
          <t>https://icatalog.expocentr.ru/ru/exhibitions/de590dc5-417d-11ee-80ce-a0d3c1fab97f</t>
        </is>
      </c>
    </row>
    <row r="363" ht="16" customHeight="1">
      <c r="A363" s="1" t="inlineStr">
        <is>
          <t>ИМС, ООО</t>
        </is>
      </c>
      <c r="B363" s="11" t="n">
        <v>6e+20</v>
      </c>
      <c r="C363" s="1" t="inlineStr">
        <is>
          <t>Россия</t>
        </is>
      </c>
      <c r="D363" s="1" t="inlineStr">
        <is>
          <t>Москва</t>
        </is>
      </c>
      <c r="E363" s="1" t="inlineStr">
        <is>
          <t>Россия, 115230, г. Москва, Каширское ш., д. 13Б, стр. 1, пом. 10</t>
        </is>
      </c>
      <c r="F363" s="10" t="inlineStr">
        <is>
          <t>http://www.imsstore.ru</t>
        </is>
      </c>
      <c r="G363" s="1" t="inlineStr">
        <is>
          <t>imsstore@yandex.ru</t>
        </is>
      </c>
      <c r="H363" s="1" t="inlineStr">
        <is>
          <t>«ИМС» – шаг от продаж к политике дистрибьюции и развитому бренду, чтобы гарантировать клиентам качественный товар по низким ценам, а поставщикам – открытое и взаимовыгодное сотрудничество.</t>
        </is>
      </c>
      <c r="I363" s="1" t="inlineStr">
        <is>
          <t>Одежда и белье для пациентов и медицинского персонала; Перевязочные средства; Инструменты и принадлежности для инъекций  и взятия крови; Одноразовые медицинские изделия прочие; Поставка медицинского оборудования и расходных материалов; Средства личной гигиены</t>
        </is>
      </c>
      <c r="J363" s="1">
        <f>IFERROR(__xludf.DUMMYFUNCTION("AI(Prompt!$B$6, H405:I405)"),"Дилер")</f>
        <v/>
      </c>
      <c r="K363" s="1">
        <f>IFERROR(__xludf.DUMMYFUNCTION("AI(Prompt!$B$12, H405:J405)"),"OK")</f>
        <v/>
      </c>
      <c r="L363" s="1">
        <f>IFERROR(__xludf.DUMMYFUNCTION("AI(Prompt!$B$17, H405:I405)"),"одежда, перевязочные средства, инструменты, медицинские изделия и оборудование")</f>
        <v/>
      </c>
      <c r="M363" s="1">
        <f>IFERROR(__xludf.DUMMYFUNCTION("AI(Prompt!$B$21,A405)"),"ИМС")</f>
        <v/>
      </c>
      <c r="N363" s="1" t="inlineStr">
        <is>
          <t>Здравоохранение-2025</t>
        </is>
      </c>
      <c r="O363" s="9" t="inlineStr">
        <is>
          <t>https://icatalog.expocentr.ru/ru/exhibitions/de590dc5-417d-11ee-80ce-a0d3c1fab97f</t>
        </is>
      </c>
    </row>
    <row r="364" ht="16" customHeight="1">
      <c r="A364" s="1" t="inlineStr">
        <is>
          <t>ЛЕКАРСТВА МИРА, ООО</t>
        </is>
      </c>
      <c r="B364" s="1" t="inlineStr">
        <is>
          <t>6F025</t>
        </is>
      </c>
      <c r="C364" s="1" t="inlineStr">
        <is>
          <t>Россия</t>
        </is>
      </c>
      <c r="D364" s="1" t="inlineStr">
        <is>
          <t>Москва</t>
        </is>
      </c>
      <c r="E364" s="1" t="inlineStr">
        <is>
          <t>Россия, 105077, г. Москва, ул. Краснобогатырская, д. 42, стр. 1, оф. 610</t>
        </is>
      </c>
      <c r="F364" s="10" t="inlineStr">
        <is>
          <t>http://lm-med.com</t>
        </is>
      </c>
      <c r="G364" s="1" t="inlineStr">
        <is>
          <t>nikanorov777@gmail.com</t>
        </is>
      </c>
      <c r="H364" s="1" t="inlineStr">
        <is>
          <t>Оптовая торговля медицинскими изделиями.</t>
        </is>
      </c>
      <c r="I364" s="1" t="inlineStr">
        <is>
          <t>Одноразовые медицинские изделия прочие; Ларингоскопы; Принадлежности и расходные материалы для реанимации и экстренной помощи</t>
        </is>
      </c>
      <c r="J364" s="1">
        <f>IFERROR(__xludf.DUMMYFUNCTION("AI(Prompt!$B$6, H406:I406)"),"Дилер")</f>
        <v/>
      </c>
      <c r="K364" s="1">
        <f>IFERROR(__xludf.DUMMYFUNCTION("AI(Prompt!$B$12, H406:J406)"),"OK")</f>
        <v/>
      </c>
      <c r="L364" s="1">
        <f>IFERROR(__xludf.DUMMYFUNCTION("AI(Prompt!$B$17, H406:I406)"),"медицинские изделия, ларингоскопы и расходные материалы")</f>
        <v/>
      </c>
      <c r="M364" s="1">
        <f>IFERROR(__xludf.DUMMYFUNCTION("AI(Prompt!$B$21,A406)"),"Лекарства Мира")</f>
        <v/>
      </c>
      <c r="N364" s="1" t="inlineStr">
        <is>
          <t>Здравоохранение-2025</t>
        </is>
      </c>
      <c r="O364" s="9" t="inlineStr">
        <is>
          <t>https://icatalog.expocentr.ru/ru/exhibitions/de590dc5-417d-11ee-80ce-a0d3c1fab97f</t>
        </is>
      </c>
    </row>
    <row r="365" hidden="1" ht="16" customHeight="1">
      <c r="A365" s="1" t="inlineStr">
        <is>
          <t>LAPAROMED PRIVATE LIMITED</t>
        </is>
      </c>
      <c r="B365" s="1" t="inlineStr">
        <is>
          <t>6F080</t>
        </is>
      </c>
      <c r="C365" s="1" t="inlineStr">
        <is>
          <t>Индия</t>
        </is>
      </c>
      <c r="E365" s="1" t="inlineStr">
        <is>
          <t>Индия</t>
        </is>
      </c>
      <c r="F365" s="10" t="inlineStr">
        <is>
          <t>http://www.laparomed.com</t>
        </is>
      </c>
      <c r="G365" s="1" t="inlineStr">
        <is>
          <t>gurdip@laparomed.com</t>
        </is>
      </c>
      <c r="H365" s="1" t="inlineStr">
        <is>
          <t>Laparomed — сертифицированная по стандартам ISO и CDSCO компания, специализирующаяся на здравоохранении и планировании больниц. Предлагает модульное оборудование для операционных, мебель для больниц, отделений интенсивной терапии, оборудование для лабораторий ЭКО, катетеризации, МРТ, системы MGPS, пожаротушения и лекарственные средства.</t>
        </is>
      </c>
      <c r="I365" s="1" t="inlineStr">
        <is>
          <t>Производство медицинских изделий; Вспомогательное оборудование; Оборудование и средства для лапароскопии; Оборудование для медицинских газов; Мониторы пациента</t>
        </is>
      </c>
      <c r="J365" s="1">
        <f>IFERROR(__xludf.DUMMYFUNCTION("AI(Prompt!$B$6, H407:I407)"),"Производитель")</f>
        <v/>
      </c>
      <c r="K365" s="1">
        <f>IFERROR(__xludf.DUMMYFUNCTION("AI(Prompt!$B$12, H407:J407)"),"OK")</f>
        <v/>
      </c>
      <c r="L365" s="1">
        <f>IFERROR(__xludf.DUMMYFUNCTION("AI(Prompt!$B$17, H407:I407)"),"медицинские изделия, мебель, лекарственные средства и мониторы пациента")</f>
        <v/>
      </c>
      <c r="M365" s="1">
        <f>IFERROR(__xludf.DUMMYFUNCTION("AI(Prompt!$B$21,A407)"),"Laparomed")</f>
        <v/>
      </c>
      <c r="N365" s="1" t="inlineStr">
        <is>
          <t>Здравоохранение-2025</t>
        </is>
      </c>
      <c r="O365" s="9" t="inlineStr">
        <is>
          <t>https://icatalog.expocentr.ru/ru/exhibitions/de590dc5-417d-11ee-80ce-a0d3c1fab97f</t>
        </is>
      </c>
    </row>
    <row r="366" hidden="1" ht="16" customHeight="1">
      <c r="A366" s="1" t="inlineStr">
        <is>
          <t>ZHONGHONG PULIN MEDICAL PRODUCTS CO. LTD</t>
        </is>
      </c>
      <c r="B366" s="11" t="n">
        <v>6e+26</v>
      </c>
      <c r="C366" s="1" t="inlineStr">
        <is>
          <t>Китай</t>
        </is>
      </c>
      <c r="E366" s="1" t="inlineStr">
        <is>
          <t>Китай</t>
        </is>
      </c>
      <c r="F366" s="10" t="inlineStr">
        <is>
          <t>https://en.zhonghongpulin.cn</t>
        </is>
      </c>
      <c r="G366" s="1" t="inlineStr">
        <is>
          <t>zhuchanghao@zhonghongpulin.cn</t>
        </is>
      </c>
      <c r="H366" s="1" t="inlineStr">
        <is>
          <t>Zhonghong Pulin Medical Products Co. Ltd специализируется на разработке, производстве и продаже нитриловых и ПВХ-перчаток, а также выпуске упаковочной продукции.</t>
        </is>
      </c>
      <c r="I366" s="1" t="inlineStr">
        <is>
          <t>Оборудование и средства борьбы с внутрибольничной инфекцией; Расходные материалы для медицинских приборов; Инструменты и принадлежности для инъекций  и взятия крови; Спасательное оборудование и снаряжение; Принадлежности для хирургических аппаратов; Инструменты общехирургические</t>
        </is>
      </c>
      <c r="J366" s="1">
        <f>IFERROR(__xludf.DUMMYFUNCTION("AI(Prompt!$B$6, H408:I408)"),"Производитель")</f>
        <v/>
      </c>
      <c r="K366" s="1">
        <f>IFERROR(__xludf.DUMMYFUNCTION("AI(Prompt!$B$12, H408:J408)"),"OK")</f>
        <v/>
      </c>
      <c r="L366" s="1">
        <f>IFERROR(__xludf.DUMMYFUNCTION("AI(Prompt!$B$17, H408:I408)"),"перчатки и упаковка")</f>
        <v/>
      </c>
      <c r="M366" s="1">
        <f>IFERROR(__xludf.DUMMYFUNCTION("AI(Prompt!$B$21,A408)"),"Zhonghong Pulin Medical Products")</f>
        <v/>
      </c>
      <c r="N366" s="1" t="inlineStr">
        <is>
          <t>Здравоохранение-2025</t>
        </is>
      </c>
      <c r="O366" s="9" t="inlineStr">
        <is>
          <t>https://icatalog.expocentr.ru/ru/exhibitions/de590dc5-417d-11ee-80ce-a0d3c1fab97f</t>
        </is>
      </c>
    </row>
    <row r="367" ht="16" customHeight="1">
      <c r="A367" s="1" t="inlineStr">
        <is>
          <t>ВАСКУЛЯР АКСЕС</t>
        </is>
      </c>
      <c r="B367" s="1" t="inlineStr">
        <is>
          <t>6G030</t>
        </is>
      </c>
      <c r="C367" s="1" t="inlineStr">
        <is>
          <t>Россия</t>
        </is>
      </c>
      <c r="D367" s="1" t="inlineStr">
        <is>
          <t>Москва</t>
        </is>
      </c>
      <c r="E367" s="1" t="inlineStr">
        <is>
          <t>Россия, 125367, г. Москва, вн. тер. г. м. о. Покровское-Стрешнево, Врачебный пр-д, д. 10, этаж 1, пом. III, комн. 1 РММ</t>
        </is>
      </c>
      <c r="F367" s="10" t="inlineStr">
        <is>
          <t>http://www.vascularaccess.ru</t>
        </is>
      </c>
      <c r="G367" s="1" t="inlineStr">
        <is>
          <t>info@vascularaccess.ru</t>
        </is>
      </c>
      <c r="H367" s="1" t="inlineStr">
        <is>
          <t>«Васкуляр Аксес» — ведущий российский дистрибьютор продукции из Европы, США и Китая для сосудистого доступа, эндоваскулярной хирургии и диализа. На рынке — с 2006 года.</t>
        </is>
      </c>
      <c r="I367" s="1" t="inlineStr">
        <is>
          <t>Расходные материалы для медицинских приборов; Одноразовые медицинские изделия прочие; Расходные материалы для медицинского оборудования; Производство медицинских изделий; Инструменты и принадлежности для эндоскопии; Принадлежности и расходные материалы для реанимации и экстренной помощи</t>
        </is>
      </c>
      <c r="J367" s="1">
        <f>IFERROR(__xludf.DUMMYFUNCTION("AI(Prompt!$B$6, H409:I409)"),"Дилер")</f>
        <v/>
      </c>
      <c r="K367" s="1">
        <f>IFERROR(__xludf.DUMMYFUNCTION("AI(Prompt!$B$12, H409:J409)"),"OK")</f>
        <v/>
      </c>
      <c r="L367" s="1">
        <f>IFERROR(__xludf.DUMMYFUNCTION("AI(Prompt!$B$17, H409:I409)"),"расходные материалы, одноразовые изделия и инструменты")</f>
        <v/>
      </c>
      <c r="M367" s="1">
        <f>IFERROR(__xludf.DUMMYFUNCTION("AI(Prompt!$B$21,A409)"),"Васкуляр Аксес")</f>
        <v/>
      </c>
      <c r="N367" s="1" t="inlineStr">
        <is>
          <t>Здравоохранение-2025</t>
        </is>
      </c>
      <c r="O367" s="9" t="inlineStr">
        <is>
          <t>https://icatalog.expocentr.ru/ru/exhibitions/de590dc5-417d-11ee-80ce-a0d3c1fab97f</t>
        </is>
      </c>
    </row>
    <row r="368" ht="16" customHeight="1">
      <c r="A368" s="1" t="inlineStr">
        <is>
          <t>АРХИМЕД СЕВЕРО-ЗАПАД, ООО</t>
        </is>
      </c>
      <c r="B368" s="11" t="n">
        <v>6e+114</v>
      </c>
      <c r="C368" s="1" t="inlineStr">
        <is>
          <t>Россия</t>
        </is>
      </c>
      <c r="D368" s="1" t="inlineStr">
        <is>
          <t>Санкт-Петербург</t>
        </is>
      </c>
      <c r="E368" s="1" t="inlineStr">
        <is>
          <t>Россия, 195248, г. Санкт-Петербург, ул. Дегтярёва, д. 4, оф. 521</t>
        </is>
      </c>
      <c r="F368" s="10" t="inlineStr">
        <is>
          <t>https://arhimed.spb.ru</t>
        </is>
      </c>
      <c r="G368" s="1" t="inlineStr">
        <is>
          <t>info@arhimed.spb.ru</t>
        </is>
      </c>
      <c r="H368" s="1" t="inlineStr">
        <is>
          <t>Импортер товаров из Китая и Малайзии. Дистрибьютор высококачественной продукции российских и европейских производителей. Широкий ассортимент медицинских расходных материалов.</t>
        </is>
      </c>
      <c r="I368" s="1" t="inlineStr">
        <is>
          <t>Перевязочные средства; Инструменты и принадлежности для инъекций  и взятия крови; Одноразовые медицинские изделия прочие; Инструменты общехирургические; Шовный материал</t>
        </is>
      </c>
      <c r="J368" s="1">
        <f>IFERROR(__xludf.DUMMYFUNCTION("AI(Prompt!$B$6, H410:I410)"),"Дилер")</f>
        <v/>
      </c>
      <c r="K368" s="1">
        <f>IFERROR(__xludf.DUMMYFUNCTION("AI(Prompt!$B$12, H410:J410)"),"OK")</f>
        <v/>
      </c>
      <c r="L368" s="1">
        <f>IFERROR(__xludf.DUMMYFUNCTION("AI(Prompt!$B$17, H410:I410)"),"перевязочные средства, медицинские изделия, хирургические инструменты и шовный материал")</f>
        <v/>
      </c>
      <c r="M368" s="1">
        <f>IFERROR(__xludf.DUMMYFUNCTION("AI(Prompt!$B$21,A410)"),"Архимед Северо-Запад")</f>
        <v/>
      </c>
      <c r="N368" s="1" t="inlineStr">
        <is>
          <t>Здравоохранение-2025</t>
        </is>
      </c>
      <c r="O368" s="9" t="inlineStr">
        <is>
          <t>https://icatalog.expocentr.ru/ru/exhibitions/de590dc5-417d-11ee-80ce-a0d3c1fab97f</t>
        </is>
      </c>
    </row>
    <row r="369" hidden="1" ht="16" customHeight="1">
      <c r="A369" s="1" t="inlineStr">
        <is>
          <t>ДЕЗЛАБ, ООО</t>
        </is>
      </c>
      <c r="B369" s="1" t="inlineStr">
        <is>
          <t>6F078</t>
        </is>
      </c>
      <c r="C369" s="1" t="inlineStr">
        <is>
          <t>Республика Беларусь</t>
        </is>
      </c>
      <c r="E369" s="1" t="inlineStr">
        <is>
          <t>Республика Беларусь, 222744, Минская обл., Дзержинский р-н, дер. Юцки, ул. Центральная, д. 2, корп. 115</t>
        </is>
      </c>
      <c r="F369" s="10" t="inlineStr">
        <is>
          <t>http://www.dezlab.by</t>
        </is>
      </c>
      <c r="G369" s="1" t="inlineStr">
        <is>
          <t>dezlab360@yandex.ru</t>
        </is>
      </c>
      <c r="H369" s="1" t="inlineStr">
        <is>
          <t>ООО «ДезЛаб» — отечественный производитель высококачественных гигиенических и медицинских изделий, ориентированных на безопасность и инновации. Учитывает потребности клиентов с 2021 года.</t>
        </is>
      </c>
      <c r="I369" s="1" t="inlineStr">
        <is>
          <t>Производство медицинских изделий</t>
        </is>
      </c>
      <c r="J369" s="1">
        <f>IFERROR(__xludf.DUMMYFUNCTION("AI(Prompt!$B$6, H411:I411)"),"Производитель")</f>
        <v/>
      </c>
      <c r="K369" s="1">
        <f>IFERROR(__xludf.DUMMYFUNCTION("AI(Prompt!$B$12, H411:J411)"),"OK")</f>
        <v/>
      </c>
      <c r="L369" s="1">
        <f>IFERROR(__xludf.DUMMYFUNCTION("AI(Prompt!$B$17, H411:I411)"),"гигиенические и медицинские изделия")</f>
        <v/>
      </c>
      <c r="M369" s="1">
        <f>IFERROR(__xludf.DUMMYFUNCTION("AI(Prompt!$B$21,A411)"),"Дезлаб")</f>
        <v/>
      </c>
      <c r="N369" s="1" t="inlineStr">
        <is>
          <t>Здравоохранение-2025</t>
        </is>
      </c>
      <c r="O369" s="9" t="inlineStr">
        <is>
          <t>https://icatalog.expocentr.ru/ru/exhibitions/de590dc5-417d-11ee-80ce-a0d3c1fab97f</t>
        </is>
      </c>
    </row>
    <row r="370" hidden="1" ht="16" customHeight="1">
      <c r="A370" s="1" t="inlineStr">
        <is>
          <t>ALLSCRUBS ТОО</t>
        </is>
      </c>
      <c r="B370" s="1" t="inlineStr">
        <is>
          <t>6G088</t>
        </is>
      </c>
      <c r="C370" s="1" t="inlineStr">
        <is>
          <t>Республика Казахстан</t>
        </is>
      </c>
      <c r="D370" s="1" t="inlineStr">
        <is>
          <t>Алматы</t>
        </is>
      </c>
      <c r="E370" s="1" t="inlineStr">
        <is>
          <t>Республика Казахстан, 050060, г. Алматы, ул. Розыбакиева, 237/1к1</t>
        </is>
      </c>
      <c r="F370" s="10" t="inlineStr">
        <is>
          <t>http://www.inallscrubs.ru</t>
        </is>
      </c>
      <c r="G370" s="1" t="inlineStr">
        <is>
          <t>allscrubs@mail.ru</t>
        </is>
      </c>
      <c r="H370" s="1" t="inlineStr">
        <is>
          <t>Стиль, который вдохновляет. Комфорт, который чувствуется.Официальный дистрибьютор Cherokee и Healing Hands. А также собственный бренд Allscrubs — медицинская одежда, созданная с заботой о вас.</t>
        </is>
      </c>
      <c r="I370" s="1" t="inlineStr">
        <is>
          <t>Одежда и белье для пациентов и медицинского персонала; Эстетическая медицина и косметология; Технологии, оборудование и расходные материалы для спа и велнес; Средства для спорта, отдыха, досуга</t>
        </is>
      </c>
      <c r="J370" s="1">
        <f>IFERROR(__xludf.DUMMYFUNCTION("AI(Prompt!$B$6, H412:I412)"),"Производитель")</f>
        <v/>
      </c>
      <c r="K370" s="1">
        <f>IFERROR(__xludf.DUMMYFUNCTION("AI(Prompt!$B$12, H412:J412)"),"OK")</f>
        <v/>
      </c>
      <c r="L370" s="1">
        <f>IFERROR(__xludf.DUMMYFUNCTION("AI(Prompt!$B$17, H412:I412)"),"одежда, белье, оборудование, расходные материалы")</f>
        <v/>
      </c>
      <c r="M370" s="1">
        <f>IFERROR(__xludf.DUMMYFUNCTION("AI(Prompt!$B$21,A412)"),"Allscrubs")</f>
        <v/>
      </c>
      <c r="N370" s="1" t="inlineStr">
        <is>
          <t>Здравоохранение-2025</t>
        </is>
      </c>
      <c r="O370" s="9" t="inlineStr">
        <is>
          <t>https://icatalog.expocentr.ru/ru/exhibitions/de590dc5-417d-11ee-80ce-a0d3c1fab97f</t>
        </is>
      </c>
    </row>
    <row r="371" ht="16" customHeight="1">
      <c r="A371" s="1" t="inlineStr">
        <is>
          <t>МЕЛКОНЯН Н.И., ИП</t>
        </is>
      </c>
      <c r="B371" s="1" t="inlineStr">
        <is>
          <t>6F012</t>
        </is>
      </c>
      <c r="C371" s="1" t="inlineStr">
        <is>
          <t>Россия</t>
        </is>
      </c>
      <c r="D371" s="1" t="inlineStr">
        <is>
          <t>Москва</t>
        </is>
      </c>
      <c r="E371" s="1" t="inlineStr">
        <is>
          <t>Россия, 117041, г. Москва, ул. Бартеневская, д. 18, корп. 2, кв. 799</t>
        </is>
      </c>
      <c r="G371" s="1" t="inlineStr">
        <is>
          <t>rekmaik@yandex.ru</t>
        </is>
      </c>
      <c r="H371" s="1" t="inlineStr">
        <is>
          <t>Производство линий по производству медицинских электродов для оборудования и линий по производству пластырей разной модификации и размеров.</t>
        </is>
      </c>
      <c r="I371" s="1" t="inlineStr">
        <is>
          <t>Расходные материалы для медицинских приборов; Одноразовые медицинские изделия прочие; Расходные материалы для медицинского оборудования; Производство медицинских изделий</t>
        </is>
      </c>
      <c r="J371" s="1">
        <f>IFERROR(__xludf.DUMMYFUNCTION("AI(Prompt!$B$6, H413:I413)"),"Производитель")</f>
        <v/>
      </c>
      <c r="K371" s="1">
        <f>IFERROR(__xludf.DUMMYFUNCTION("AI(Prompt!$B$12, H413:J413)"),"OK")</f>
        <v/>
      </c>
      <c r="L371" s="1">
        <f>IFERROR(__xludf.DUMMYFUNCTION("AI(Prompt!$B$17, H413:I413)"),"линии по производству, медицинские электроды и пластыри")</f>
        <v/>
      </c>
      <c r="M371" s="1">
        <f>IFERROR(__xludf.DUMMYFUNCTION("AI(Prompt!$B$21,A413)"),"ИП Мелконян")</f>
        <v/>
      </c>
      <c r="N371" s="1" t="inlineStr">
        <is>
          <t>Здравоохранение-2025</t>
        </is>
      </c>
      <c r="O371" s="9" t="inlineStr">
        <is>
          <t>https://icatalog.expocentr.ru/ru/exhibitions/de590dc5-417d-11ee-80ce-a0d3c1fab97f</t>
        </is>
      </c>
    </row>
    <row r="372" ht="16" customHeight="1">
      <c r="A372" s="1" t="inlineStr">
        <is>
          <t>Н-ВИТ, ООО</t>
        </is>
      </c>
      <c r="B372" s="1" t="inlineStr">
        <is>
          <t>6C040</t>
        </is>
      </c>
      <c r="C372" s="1" t="inlineStr">
        <is>
          <t>Россия</t>
        </is>
      </c>
      <c r="D372" s="1" t="inlineStr">
        <is>
          <t>Москва</t>
        </is>
      </c>
      <c r="E372" s="1" t="inlineStr">
        <is>
          <t>Россия, 123001, г. Москва, вн. тер. г. м. о. Пресненский, Ермолаевский пер., д. 5, стр. 2</t>
        </is>
      </c>
      <c r="F372" s="10" t="inlineStr">
        <is>
          <t>https://n-vit.com</t>
        </is>
      </c>
      <c r="G372" s="1" t="inlineStr">
        <is>
          <t>boreyko@n-vit.com</t>
        </is>
      </c>
      <c r="H372" s="1" t="inlineStr">
        <is>
          <t>ООО «Н-ВИТ» — российский производитель продукции для клинической и молекулярной лабораторной диагностики. Компания выпускает широкий спектр расходных материалов и изделий госпитального назначения.</t>
        </is>
      </c>
      <c r="I372" s="1" t="inlineStr">
        <is>
          <t>Прочие изделия для лабораторий; ПЦР-диагностика; Ортезы</t>
        </is>
      </c>
      <c r="J372" s="1">
        <f>IFERROR(__xludf.DUMMYFUNCTION("AI(Prompt!$B$6, H414:I414)"),"Производитель")</f>
        <v/>
      </c>
      <c r="K372" s="1">
        <f>IFERROR(__xludf.DUMMYFUNCTION("AI(Prompt!$B$12, H414:J414)"),"OK")</f>
        <v/>
      </c>
      <c r="L372" s="1">
        <f>IFERROR(__xludf.DUMMYFUNCTION("AI(Prompt!$B$17, H414:I414)"),"расходные материалы, ортезы и изделия для диагностики")</f>
        <v/>
      </c>
      <c r="M372" s="1">
        <f>IFERROR(__xludf.DUMMYFUNCTION("AI(Prompt!$B$21,A414)"),"Н-Вит")</f>
        <v/>
      </c>
      <c r="N372" s="1" t="inlineStr">
        <is>
          <t>Здравоохранение-2025</t>
        </is>
      </c>
      <c r="O372" s="9" t="inlineStr">
        <is>
          <t>https://icatalog.expocentr.ru/ru/exhibitions/de590dc5-417d-11ee-80ce-a0d3c1fab97f</t>
        </is>
      </c>
    </row>
    <row r="373" ht="16" customHeight="1">
      <c r="A373" s="1" t="inlineStr">
        <is>
          <t>ТЕХНО-МЕД, ЗАО</t>
        </is>
      </c>
      <c r="B373" s="1" t="inlineStr">
        <is>
          <t>6G050</t>
        </is>
      </c>
      <c r="C373" s="1" t="inlineStr">
        <is>
          <t>Россия</t>
        </is>
      </c>
      <c r="D373" s="1" t="inlineStr">
        <is>
          <t>Санкт-Петербург</t>
        </is>
      </c>
      <c r="E373" s="1" t="inlineStr">
        <is>
          <t>Россия, 194044, г. Санкт-Петербург, Большой Сампсониевский просп., д. 60, литера Н</t>
        </is>
      </c>
      <c r="F373" s="10" t="inlineStr">
        <is>
          <t>https://www.techno-med.ru</t>
        </is>
      </c>
      <c r="G373" s="1" t="inlineStr">
        <is>
          <t>sales@techno-med.ru</t>
        </is>
      </c>
      <c r="H373" s="1" t="inlineStr">
        <is>
          <t>Официальный дистрибьютор Agfa, Sedecal, JOB и хирургических нитей Atramat. Цифровые рентгеновские системы, термографические принтеры и пленка DRYSTAR. Лицензированный сервис. Запасные части.</t>
        </is>
      </c>
      <c r="I373" s="1" t="inlineStr">
        <is>
          <t>Рентгеновские диагностические установки, передвижные и стационарные; Системы оцифровки и хранения изображений; Компьютерные томографы; Маммографы; Эндоскопические комплексы и системы; Шовный материал</t>
        </is>
      </c>
      <c r="J373" s="1">
        <f>IFERROR(__xludf.DUMMYFUNCTION("AI(Prompt!$B$6, H415:I415)"),"Дилер")</f>
        <v/>
      </c>
      <c r="K373" s="1">
        <f>IFERROR(__xludf.DUMMYFUNCTION("AI(Prompt!$B$12, H415:J415)"),"OK")</f>
        <v/>
      </c>
      <c r="L373" s="1">
        <f>IFERROR(__xludf.DUMMYFUNCTION("AI(Prompt!$B$17, H415:I415)"),"рентгеновские установки, томографы, маммографы, эндоскопические системы и шовный материал")</f>
        <v/>
      </c>
      <c r="M373" s="1">
        <f>IFERROR(__xludf.DUMMYFUNCTION("AI(Prompt!$B$21,A415)"),"Техно-Мед")</f>
        <v/>
      </c>
      <c r="N373" s="1" t="inlineStr">
        <is>
          <t>Здравоохранение-2025</t>
        </is>
      </c>
      <c r="O373" s="9" t="inlineStr">
        <is>
          <t>https://icatalog.expocentr.ru/ru/exhibitions/de590dc5-417d-11ee-80ce-a0d3c1fab97f</t>
        </is>
      </c>
    </row>
    <row r="374" hidden="1" ht="16" customHeight="1">
      <c r="A374" s="1" t="inlineStr">
        <is>
          <t>ПОЛЕСЬЕ, ПП, СООО</t>
        </is>
      </c>
      <c r="B374" s="1" t="inlineStr">
        <is>
          <t>6F092</t>
        </is>
      </c>
      <c r="C374" s="1" t="inlineStr">
        <is>
          <t>Республика Беларусь</t>
        </is>
      </c>
      <c r="D374" s="1" t="inlineStr">
        <is>
          <t>Кобрин</t>
        </is>
      </c>
      <c r="E374" s="1" t="inlineStr">
        <is>
          <t>Республика Беларусь, 225304, Брестская обл., г. Кобрин, ул. Советская, д. 141</t>
        </is>
      </c>
      <c r="F374" s="10" t="inlineStr">
        <is>
          <t>http://www.polesie-toys.com</t>
        </is>
      </c>
      <c r="G374" s="1" t="inlineStr">
        <is>
          <t>raapolesie@yandex.by</t>
        </is>
      </c>
      <c r="H374" s="1" t="inlineStr">
        <is>
          <t>Производство пластиковых изделий для импортозамещения и локализации производства в РБ и РФ.</t>
        </is>
      </c>
      <c r="I374" s="1" t="inlineStr">
        <is>
          <t>Производство медицинских изделий</t>
        </is>
      </c>
      <c r="J374" s="1">
        <f>IFERROR(__xludf.DUMMYFUNCTION("AI(Prompt!$B$6, H416:I416)"),"Производитель")</f>
        <v/>
      </c>
      <c r="K374" s="1">
        <f>IFERROR(__xludf.DUMMYFUNCTION("AI(Prompt!$B$12, H416:J416)"),"OK")</f>
        <v/>
      </c>
      <c r="L374" s="1">
        <f>IFERROR(__xludf.DUMMYFUNCTION("AI(Prompt!$B$17, H416:I416)"),"пластиковые и медицинские изделия")</f>
        <v/>
      </c>
      <c r="M374" s="1">
        <f>IFERROR(__xludf.DUMMYFUNCTION("AI(Prompt!$B$21,A416)"),"Полесье")</f>
        <v/>
      </c>
      <c r="N374" s="1" t="inlineStr">
        <is>
          <t>Здравоохранение-2025</t>
        </is>
      </c>
      <c r="O374" s="9" t="inlineStr">
        <is>
          <t>https://icatalog.expocentr.ru/ru/exhibitions/de590dc5-417d-11ee-80ce-a0d3c1fab97f</t>
        </is>
      </c>
    </row>
    <row r="375" ht="16" customHeight="1">
      <c r="A375" s="1" t="inlineStr">
        <is>
          <t>ТЕЗИС</t>
        </is>
      </c>
      <c r="B375" s="1" t="inlineStr">
        <is>
          <t>6F020</t>
        </is>
      </c>
      <c r="C375" s="1" t="inlineStr">
        <is>
          <t>Россия</t>
        </is>
      </c>
      <c r="D375" s="1" t="inlineStr">
        <is>
          <t>Санкт-Петербург</t>
        </is>
      </c>
      <c r="E375" s="1" t="inlineStr">
        <is>
          <t>Россия, 197022, г. Санкт-Петербург, ул. Петропавловская, д. 8, литера А</t>
        </is>
      </c>
      <c r="F375" s="10" t="inlineStr">
        <is>
          <t>https://tezis-shop.ru</t>
        </is>
      </c>
      <c r="G375" s="1" t="inlineStr">
        <is>
          <t>info@tezis-shop.ru</t>
        </is>
      </c>
      <c r="H375" s="1" t="inlineStr">
        <is>
          <t>«Тезис» — бренд медицинской одежды нового поколения.Преимущества бренда:— собственное производство;— широкий размерный ряд — от 38 до 60 размера;— индивидуальные условия для корпоративных и частных клиентов.</t>
        </is>
      </c>
      <c r="I375" s="1" t="inlineStr">
        <is>
          <t>Одежда и белье для пациентов и медицинского персонала</t>
        </is>
      </c>
      <c r="J375" s="1">
        <f>IFERROR(__xludf.DUMMYFUNCTION("AI(Prompt!$B$6, H417:I417)"),"Производитель")</f>
        <v/>
      </c>
      <c r="K375" s="1">
        <f>IFERROR(__xludf.DUMMYFUNCTION("AI(Prompt!$B$12, H417:J417)"),"OK")</f>
        <v/>
      </c>
      <c r="L375" s="1">
        <f>IFERROR(__xludf.DUMMYFUNCTION("AI(Prompt!$B$17, H417:I417)"),"одежда, белье")</f>
        <v/>
      </c>
      <c r="M375" s="1">
        <f>IFERROR(__xludf.DUMMYFUNCTION("AI(Prompt!$B$21,A417)"),"ТЕЗИС")</f>
        <v/>
      </c>
      <c r="N375" s="1" t="inlineStr">
        <is>
          <t>Здравоохранение-2025</t>
        </is>
      </c>
      <c r="O375" s="9" t="inlineStr">
        <is>
          <t>https://icatalog.expocentr.ru/ru/exhibitions/de590dc5-417d-11ee-80ce-a0d3c1fab97f</t>
        </is>
      </c>
    </row>
    <row r="376" ht="16" customHeight="1">
      <c r="A376" s="1" t="inlineStr">
        <is>
          <t>СИБЭКСПО, ООО</t>
        </is>
      </c>
      <c r="B376" s="1" t="inlineStr">
        <is>
          <t>6F070</t>
        </is>
      </c>
      <c r="C376" s="1" t="inlineStr">
        <is>
          <t>Россия</t>
        </is>
      </c>
      <c r="D376" s="1" t="inlineStr">
        <is>
          <t>Томск</t>
        </is>
      </c>
      <c r="E376" s="1" t="inlineStr">
        <is>
          <t>Россия, 634061, г. Томск, ул. Киевская, д. 9, кв. 322</t>
        </is>
      </c>
      <c r="F376" s="10" t="inlineStr">
        <is>
          <t>http://www.nireda.ru</t>
        </is>
      </c>
      <c r="G376" s="1" t="inlineStr">
        <is>
          <t>info@nireda.ru</t>
        </is>
      </c>
      <c r="H376" s="1" t="inlineStr">
        <is>
          <t>Прямые поставки изделий мединского назначения в сфере травматологии, ортопедии и нейрохирургии. Поставки силового хирургического оборудования (хирургических пил и дрелей).</t>
        </is>
      </c>
      <c r="I376" s="1" t="inlineStr">
        <is>
          <t>Электрохирургические аппараты; Инструменты общехирургические; Шовный материал; Ортопедическое оборудование и инструменты; Эндопротезы и имплантаты; Наружные протезы и устройства замещения функций органов</t>
        </is>
      </c>
      <c r="J376" s="1">
        <f>IFERROR(__xludf.DUMMYFUNCTION("AI(Prompt!$B$6, H418:I418)"),"Дилер")</f>
        <v/>
      </c>
      <c r="K376" s="1">
        <f>IFERROR(__xludf.DUMMYFUNCTION("AI(Prompt!$B$12, H418:J418)"),"OK")</f>
        <v/>
      </c>
      <c r="L376" s="1">
        <f>IFERROR(__xludf.DUMMYFUNCTION("AI(Prompt!$B$17, H418:I418)"),"изделия медицинского назначения, хирургическое оборудование, эндопротезы и имплантаты")</f>
        <v/>
      </c>
      <c r="M376" s="1">
        <f>IFERROR(__xludf.DUMMYFUNCTION("AI(Prompt!$B$21,A418)"),"Сибэкспо")</f>
        <v/>
      </c>
      <c r="N376" s="1" t="inlineStr">
        <is>
          <t>Здравоохранение-2025</t>
        </is>
      </c>
      <c r="O376" s="9" t="inlineStr">
        <is>
          <t>https://icatalog.expocentr.ru/ru/exhibitions/de590dc5-417d-11ee-80ce-a0d3c1fab97f</t>
        </is>
      </c>
    </row>
    <row r="377" ht="16" customHeight="1">
      <c r="A377" s="1" t="inlineStr">
        <is>
          <t>СЕЛ, OOO</t>
        </is>
      </c>
      <c r="B377" s="1" t="inlineStr">
        <is>
          <t>6F005</t>
        </is>
      </c>
      <c r="C377" s="1" t="inlineStr">
        <is>
          <t>Россия</t>
        </is>
      </c>
      <c r="D377" s="1" t="inlineStr">
        <is>
          <t>Воронеж</t>
        </is>
      </c>
      <c r="E377" s="1" t="inlineStr">
        <is>
          <t>Россия, 394019, г. Воронеж, ул. Машиностроителей, д. 20, оф. 17</t>
        </is>
      </c>
      <c r="F377" s="10" t="inlineStr">
        <is>
          <t>http://www.tdsel.pro</t>
        </is>
      </c>
      <c r="G377" s="1" t="inlineStr">
        <is>
          <t>tdsel@list.ru</t>
        </is>
      </c>
      <c r="H377" s="1" t="inlineStr">
        <is>
          <t>Торговый дом «СЭЛ». Эксклюзивная дистрибьюция установок электрохимического синтеза «КАРАТ». Производство и дистрибьюция средств для дезинфекции, стерилизации и антисептиков «АНОЛИТ».</t>
        </is>
      </c>
      <c r="I377" s="1" t="inlineStr">
        <is>
          <t>Оборудование и средства борьбы с внутрибольничной инфекцией; Оборудование для дезинфекции; Оборудование для стерилизации; Средства химической дезинфекции и стерилизации; Дезинфицирующие средства и материалы</t>
        </is>
      </c>
      <c r="J377" s="1">
        <f>IFERROR(__xludf.DUMMYFUNCTION("AI(Prompt!$B$6, H419:I419)"),"Производитель")</f>
        <v/>
      </c>
      <c r="K377" s="1">
        <f>IFERROR(__xludf.DUMMYFUNCTION("AI(Prompt!$B$12, H419:J419)"),"OK")</f>
        <v/>
      </c>
      <c r="L377" s="1">
        <f>IFERROR(__xludf.DUMMYFUNCTION("AI(Prompt!$B$17, H419:I419)"),"установки, средства дезинфекции и антисептики")</f>
        <v/>
      </c>
      <c r="M377" s="1">
        <f>IFERROR(__xludf.DUMMYFUNCTION("AI(Prompt!$B$21,A419)"),"Сел")</f>
        <v/>
      </c>
      <c r="N377" s="1" t="inlineStr">
        <is>
          <t>Здравоохранение-2025</t>
        </is>
      </c>
      <c r="O377" s="9" t="inlineStr">
        <is>
          <t>https://icatalog.expocentr.ru/ru/exhibitions/de590dc5-417d-11ee-80ce-a0d3c1fab97f</t>
        </is>
      </c>
    </row>
    <row r="378" ht="16" customHeight="1">
      <c r="A378" s="1" t="inlineStr">
        <is>
          <t>РЕАН, ООО</t>
        </is>
      </c>
      <c r="B378" s="1" t="inlineStr">
        <is>
          <t>6G045</t>
        </is>
      </c>
      <c r="C378" s="1" t="inlineStr">
        <is>
          <t>Россия</t>
        </is>
      </c>
      <c r="D378" s="1" t="inlineStr">
        <is>
          <t>Москва</t>
        </is>
      </c>
      <c r="E378" s="1" t="inlineStr">
        <is>
          <t>Россия, 108811, г. Москва, 22-й км Киевского ш. (пос. Московский), БЦ «Румянцево»</t>
        </is>
      </c>
      <c r="F378" s="10" t="inlineStr">
        <is>
          <t>http://www.reanmed.ru</t>
        </is>
      </c>
      <c r="G378" s="1" t="inlineStr">
        <is>
          <t>info@reanmed.ru</t>
        </is>
      </c>
      <c r="H378" s="1" t="inlineStr">
        <is>
          <t>«РЕАН» — лидер в сегменте устройств для обеспечения проходимости дыхательных путей. Эксклюзивный поставщик видеоларингоскопов BESDATA и AIRTRAQ, ларингеальных масок Ambu® Aura, одноразовых видеобронхоскопов Ambu® aScope™, надгортанных воздуховодов GMA.</t>
        </is>
      </c>
      <c r="I378" s="1" t="inlineStr">
        <is>
          <t>Эндоскопы гибкие; Эндоскопические комплексы и системы; Инструменты и принадлежности для эндоскопии; Ларингоскопы; Комплекты реанимационного оборудования; Принадлежности и расходные материалы для реанимации и экстренной помощи</t>
        </is>
      </c>
      <c r="J378" s="1">
        <f>IFERROR(__xludf.DUMMYFUNCTION("AI(Prompt!$B$6, H420:I420)"),"Дилер")</f>
        <v/>
      </c>
      <c r="K378" s="1">
        <f>IFERROR(__xludf.DUMMYFUNCTION("AI(Prompt!$B$12, H420:J420)"),"OK")</f>
        <v/>
      </c>
      <c r="L378" s="1">
        <f>IFERROR(__xludf.DUMMYFUNCTION("AI(Prompt!$B$17, H420:I420)"),"эндоскопы, ларингоскопы, маски, воздуховоды и расходные материалы")</f>
        <v/>
      </c>
      <c r="M378" s="1">
        <f>IFERROR(__xludf.DUMMYFUNCTION("AI(Prompt!$B$21,A420)"),"РЕАН")</f>
        <v/>
      </c>
      <c r="N378" s="1" t="inlineStr">
        <is>
          <t>Здравоохранение-2025</t>
        </is>
      </c>
      <c r="O378" s="9" t="inlineStr">
        <is>
          <t>https://icatalog.expocentr.ru/ru/exhibitions/de590dc5-417d-11ee-80ce-a0d3c1fab97f</t>
        </is>
      </c>
    </row>
    <row r="379" hidden="1" ht="16" customHeight="1">
      <c r="A379" s="1" t="inlineStr">
        <is>
          <t>BERIKA TEKNOLOJI MEDIKAL IMALAT ITH. IHR. TIC. LTD. STI.</t>
        </is>
      </c>
      <c r="B379" s="1" t="inlineStr">
        <is>
          <t>6F010</t>
        </is>
      </c>
      <c r="C379" s="1" t="inlineStr">
        <is>
          <t>Турция</t>
        </is>
      </c>
      <c r="E379" s="1" t="inlineStr">
        <is>
          <t>Турция</t>
        </is>
      </c>
      <c r="F379" s="10" t="inlineStr">
        <is>
          <t>https://berikamedikal.com.tr</t>
        </is>
      </c>
      <c r="G379" s="1" t="inlineStr">
        <is>
          <t>export@berikamedikal.com.tr</t>
        </is>
      </c>
      <c r="H379" s="1" t="inlineStr">
        <is>
          <t>BERIKA Teknoloji Medikal — турецкий производитель шприцев, шприцев для газов крови, инфузионных систем, блоков у кровати пациента и газовых систем, обеспечивает качество продукции и инновации.</t>
        </is>
      </c>
      <c r="I379" s="1" t="inlineStr">
        <is>
          <t>Анализаторы; Стерилизаторы; Лаборатории свертывания крови; Расходные материалы для службы крови; Оборудование для медицинских газов; Потолочные консоли</t>
        </is>
      </c>
      <c r="J379" s="1">
        <f>IFERROR(__xludf.DUMMYFUNCTION("AI(Prompt!$B$6, H421:I421)"),"Производитель")</f>
        <v/>
      </c>
      <c r="K379" s="1">
        <f>IFERROR(__xludf.DUMMYFUNCTION("AI(Prompt!$B$12, H421:J421)"),"OK")</f>
        <v/>
      </c>
      <c r="L379" s="1">
        <f>IFERROR(__xludf.DUMMYFUNCTION("AI(Prompt!$B$17, H421:I421)"),"шприцы, инфузионные системы и газовые системы")</f>
        <v/>
      </c>
      <c r="M379" s="1">
        <f>IFERROR(__xludf.DUMMYFUNCTION("AI(Prompt!$B$21,A421)"),"Berika Teknoloji Medikal")</f>
        <v/>
      </c>
      <c r="N379" s="1" t="inlineStr">
        <is>
          <t>Здравоохранение-2025</t>
        </is>
      </c>
      <c r="O379" s="9" t="inlineStr">
        <is>
          <t>https://icatalog.expocentr.ru/ru/exhibitions/de590dc5-417d-11ee-80ce-a0d3c1fab97f</t>
        </is>
      </c>
    </row>
    <row r="380" ht="16" customHeight="1">
      <c r="A380" s="1" t="inlineStr">
        <is>
          <t>ФАРМ-СФЕРА, ООО</t>
        </is>
      </c>
      <c r="B380" s="11" t="n">
        <v>6e+50</v>
      </c>
      <c r="C380" s="1" t="inlineStr">
        <is>
          <t>Россия</t>
        </is>
      </c>
      <c r="D380" s="1" t="inlineStr">
        <is>
          <t>Шахты</t>
        </is>
      </c>
      <c r="E380" s="1" t="inlineStr">
        <is>
          <t>Россия, 346500, Ростовская обл., г. Шахты, ул. Шевченко, зд. 153</t>
        </is>
      </c>
      <c r="F380" s="10" t="inlineStr">
        <is>
          <t>https://farm-sfera.ru</t>
        </is>
      </c>
      <c r="G380" s="1" t="inlineStr">
        <is>
          <t>client@triafarm.ru</t>
        </is>
      </c>
      <c r="H380" s="1" t="inlineStr">
        <is>
          <t>ООО «Фарм-Сфера» — производитель и дистрибьютор изделий медицинского назначения под торговой маркой TRIAFARM PRODUCTS; на рынке с 2004 года.</t>
        </is>
      </c>
      <c r="I380" s="1" t="inlineStr">
        <is>
          <t>Перевязочные средства; Инструменты и принадлежности для инъекций  и взятия крови; Гигиенические изделия для больниц; Одноразовые медицинские изделия прочие; Производство медицинских изделий; Средства для оказания экстренной медицинской помощи</t>
        </is>
      </c>
      <c r="J380" s="1">
        <f>IFERROR(__xludf.DUMMYFUNCTION("AI(Prompt!$B$6, H422:I422)"),"Производитель")</f>
        <v/>
      </c>
      <c r="K380" s="1">
        <f>IFERROR(__xludf.DUMMYFUNCTION("AI(Prompt!$B$12, H422:J422)"),"OK")</f>
        <v/>
      </c>
      <c r="L380" s="1">
        <f>IFERROR(__xludf.DUMMYFUNCTION("AI(Prompt!$B$17, H422:I422)"),"перевязочные средства, инструменты, гигиенические изделия и медицинские изделия")</f>
        <v/>
      </c>
      <c r="M380" s="1">
        <f>IFERROR(__xludf.DUMMYFUNCTION("AI(Prompt!$B$21,A422)"),"Фарм-Сфера")</f>
        <v/>
      </c>
      <c r="N380" s="1" t="inlineStr">
        <is>
          <t>Здравоохранение-2025</t>
        </is>
      </c>
      <c r="O380" s="9" t="inlineStr">
        <is>
          <t>https://icatalog.expocentr.ru/ru/exhibitions/de590dc5-417d-11ee-80ce-a0d3c1fab97f</t>
        </is>
      </c>
    </row>
    <row r="381" ht="16" customHeight="1">
      <c r="A381" s="1" t="inlineStr">
        <is>
          <t>НОВЫЕ ТЕХНОЛОГИИ И МАТЕРИАЛЫ, ООО</t>
        </is>
      </c>
      <c r="B381" s="1" t="inlineStr">
        <is>
          <t>6D045</t>
        </is>
      </c>
      <c r="C381" s="1" t="inlineStr">
        <is>
          <t>Россия</t>
        </is>
      </c>
      <c r="D381" s="1" t="inlineStr">
        <is>
          <t>Сергиев Посад</t>
        </is>
      </c>
      <c r="E381" s="1" t="inlineStr">
        <is>
          <t>Россия, 141305, Московская обл., г. Сергиев Посад, ул. Центральная, д. 1/21, пом. 25</t>
        </is>
      </c>
      <c r="F381" s="10" t="inlineStr">
        <is>
          <t>http://ntmsp.ru</t>
        </is>
      </c>
      <c r="G381" s="1" t="inlineStr">
        <is>
          <t>market@ntmsp.ru</t>
        </is>
      </c>
      <c r="H381" s="1" t="inlineStr">
        <is>
          <t>ООО «НОВЫЕ ТЕХНОЛОГИИ И МАТЕРИАЛЫ» — производитель инъекционных игл однократного применения.</t>
        </is>
      </c>
      <c r="I381" s="1" t="inlineStr">
        <is>
          <t>Расходные материалы для медицинских приборов; Одноразовые медицинские изделия прочие; Комплектующие для производства медицинских изделий; Расходные материалы для службы крови</t>
        </is>
      </c>
      <c r="J381" s="1">
        <f>IFERROR(__xludf.DUMMYFUNCTION("AI(Prompt!$B$6, H423:I423)"),"Производитель")</f>
        <v/>
      </c>
      <c r="K381" s="1">
        <f>IFERROR(__xludf.DUMMYFUNCTION("AI(Prompt!$B$12, H423:J423)"),"OK")</f>
        <v/>
      </c>
      <c r="L381" s="1">
        <f>IFERROR(__xludf.DUMMYFUNCTION("AI(Prompt!$B$17, H423:I423)"),"иглы, расходные материалы и комплектующие")</f>
        <v/>
      </c>
      <c r="M381" s="1">
        <f>IFERROR(__xludf.DUMMYFUNCTION("AI(Prompt!$B$21,A423)"),"Новые Технологии И Материалы")</f>
        <v/>
      </c>
      <c r="N381" s="1" t="inlineStr">
        <is>
          <t>Здравоохранение-2025</t>
        </is>
      </c>
      <c r="O381" s="9" t="inlineStr">
        <is>
          <t>https://icatalog.expocentr.ru/ru/exhibitions/de590dc5-417d-11ee-80ce-a0d3c1fab97f</t>
        </is>
      </c>
    </row>
    <row r="382" hidden="1" ht="16" customHeight="1">
      <c r="A382" s="1" t="inlineStr">
        <is>
          <t>УНИКСФАРМ, УП</t>
        </is>
      </c>
      <c r="B382" s="1" t="inlineStr">
        <is>
          <t>6D105</t>
        </is>
      </c>
      <c r="C382" s="1" t="inlineStr">
        <is>
          <t>Республика Беларусь</t>
        </is>
      </c>
      <c r="D382" s="1" t="inlineStr">
        <is>
          <t>Минск</t>
        </is>
      </c>
      <c r="E382" s="1" t="inlineStr">
        <is>
          <t>Республика Беларусь, г. Минск, ул. Корженевского, д. 14, литера З, 1/к</t>
        </is>
      </c>
      <c r="F382" s="10" t="inlineStr">
        <is>
          <t>http://www.unixfarm.by</t>
        </is>
      </c>
      <c r="G382" s="1" t="inlineStr">
        <is>
          <t>unixfarmbox@gmail.com</t>
        </is>
      </c>
      <c r="H382" s="1" t="inlineStr">
        <is>
          <t>Производство и оптовая торговля с 2000 года. Наличие регистрационных удостоверений в России. Рассмотрим ваши предложения на поставки сырья, комплектующих, современной линии по производству медизделий.</t>
        </is>
      </c>
      <c r="I382" s="1" t="inlineStr">
        <is>
          <t>Одноразовые стоматологические материалы; Одежда и белье для пациентов и медицинского персонала; Одноразовые медицинские изделия прочие; Технологии, оборудование и расходные материалы для спа и велнес; Одноразовые медицинские изделия; Принадлежности и расходные материалы для реанимации и экстренной помощи</t>
        </is>
      </c>
      <c r="J382" s="1">
        <f>IFERROR(__xludf.DUMMYFUNCTION("AI(Prompt!$B$6, H424:I424)"),"Производитель")</f>
        <v/>
      </c>
      <c r="K382" s="1">
        <f>IFERROR(__xludf.DUMMYFUNCTION("AI(Prompt!$B$12, H424:J424)"),"OK")</f>
        <v/>
      </c>
      <c r="L382" s="1">
        <f>IFERROR(__xludf.DUMMYFUNCTION("AI(Prompt!$B$17, H424:I424)"),"стоматологические материалы, одежда, белье и медицинские изделия")</f>
        <v/>
      </c>
      <c r="M382" s="1">
        <f>IFERROR(__xludf.DUMMYFUNCTION("AI(Prompt!$B$21,A424)"),"Униксфарм")</f>
        <v/>
      </c>
      <c r="N382" s="1" t="inlineStr">
        <is>
          <t>Здравоохранение-2025</t>
        </is>
      </c>
      <c r="O382" s="9" t="inlineStr">
        <is>
          <t>https://icatalog.expocentr.ru/ru/exhibitions/de590dc5-417d-11ee-80ce-a0d3c1fab97f</t>
        </is>
      </c>
    </row>
    <row r="383" ht="16" customHeight="1">
      <c r="A383" s="1" t="inlineStr">
        <is>
          <t>АНГИОЛАЙН, ООО</t>
        </is>
      </c>
      <c r="B383" s="1" t="inlineStr">
        <is>
          <t>6F096</t>
        </is>
      </c>
      <c r="C383" s="1" t="inlineStr">
        <is>
          <t>Россия</t>
        </is>
      </c>
      <c r="D383" s="1" t="inlineStr">
        <is>
          <t>Новосибирск</t>
        </is>
      </c>
      <c r="E383" s="1" t="inlineStr">
        <is>
          <t>Россия, 630090, г. Новосибирск, р/п Кольцово, ул. Технопарковая, д. 6</t>
        </is>
      </c>
      <c r="F383" s="10" t="inlineStr">
        <is>
          <t>http://angioline.ru</t>
        </is>
      </c>
      <c r="G383" s="1" t="inlineStr">
        <is>
          <t>info@angioline.ru</t>
        </is>
      </c>
      <c r="H383" s="1" t="inlineStr">
        <is>
          <t>Компания «Ангиолайн» — крупный российский разработчик и производитель изделий медицинского назначения, выпускающий широкую линейку эндоваскулярной продукции, а также весь спектр шовного материала.</t>
        </is>
      </c>
      <c r="I383" s="1" t="inlineStr">
        <is>
          <t>Производство медицинских изделий; Шовный материал</t>
        </is>
      </c>
      <c r="J383" s="1">
        <f>IFERROR(__xludf.DUMMYFUNCTION("AI(Prompt!$B$6, H425:I425)"),"Производитель")</f>
        <v/>
      </c>
      <c r="K383" s="1">
        <f>IFERROR(__xludf.DUMMYFUNCTION("AI(Prompt!$B$12, H425:J425)"),"OK")</f>
        <v/>
      </c>
      <c r="L383" s="1">
        <f>IFERROR(__xludf.DUMMYFUNCTION("AI(Prompt!$B$17, H425:I425)"),"медицинские изделия, эндоваскулярная продукция и шовный материал")</f>
        <v/>
      </c>
      <c r="M383" s="1">
        <f>IFERROR(__xludf.DUMMYFUNCTION("AI(Prompt!$B$21,A425)"),"Ангиолайн")</f>
        <v/>
      </c>
      <c r="N383" s="1" t="inlineStr">
        <is>
          <t>Здравоохранение-2025</t>
        </is>
      </c>
      <c r="O383" s="9" t="inlineStr">
        <is>
          <t>https://icatalog.expocentr.ru/ru/exhibitions/de590dc5-417d-11ee-80ce-a0d3c1fab97f</t>
        </is>
      </c>
    </row>
    <row r="384" ht="16" customHeight="1">
      <c r="A384" s="1" t="inlineStr">
        <is>
          <t>НИТРИЛЕНД</t>
        </is>
      </c>
      <c r="B384" s="1" t="inlineStr">
        <is>
          <t>6G072</t>
        </is>
      </c>
      <c r="C384" s="1" t="inlineStr">
        <is>
          <t>Россия</t>
        </is>
      </c>
      <c r="D384" s="1" t="inlineStr">
        <is>
          <t>Гвардейск</t>
        </is>
      </c>
      <c r="E384" s="1" t="inlineStr">
        <is>
          <t>Россия, 238210, Калининградская обл., г. Гвардейск, ул. Вокзальная, д. 1, этаж 2, каб. 9</t>
        </is>
      </c>
      <c r="G384" s="1" t="inlineStr">
        <is>
          <t>info@nitrilend.ru</t>
        </is>
      </c>
      <c r="H384" s="1" t="inlineStr">
        <is>
          <t>Производитель медицинских изделий НАО «НИТРИЛЕНД» (перчаток медицинских). Реестровый номер из реестра промышленной продукции РФ: 10538029, дата внесения в реестр: 27.05.2024 (ПП N 719) СПИК 2.0.</t>
        </is>
      </c>
      <c r="I384" s="1" t="inlineStr">
        <is>
          <t>Одноразовые медицинские изделия прочие; Производство медицинских изделий</t>
        </is>
      </c>
      <c r="J384" s="1">
        <f>IFERROR(__xludf.DUMMYFUNCTION("AI(Prompt!$B$6, H426:I426)"),"Производитель")</f>
        <v/>
      </c>
      <c r="K384" s="1">
        <f>IFERROR(__xludf.DUMMYFUNCTION("AI(Prompt!$B$12, H426:J426)"),"OK")</f>
        <v/>
      </c>
      <c r="L384" s="1">
        <f>IFERROR(__xludf.DUMMYFUNCTION("AI(Prompt!$B$17, H426:I426)"),"перчатки медицинские")</f>
        <v/>
      </c>
      <c r="M384" s="1">
        <f>IFERROR(__xludf.DUMMYFUNCTION("AI(Prompt!$B$21,A426)"),"Нитриленд")</f>
        <v/>
      </c>
      <c r="N384" s="1" t="inlineStr">
        <is>
          <t>Здравоохранение-2025</t>
        </is>
      </c>
      <c r="O384" s="9" t="inlineStr">
        <is>
          <t>https://icatalog.expocentr.ru/ru/exhibitions/de590dc5-417d-11ee-80ce-a0d3c1fab97f</t>
        </is>
      </c>
    </row>
    <row r="385" ht="16" customHeight="1">
      <c r="A385" s="1" t="inlineStr">
        <is>
          <t>РИГ ГРУПП КО</t>
        </is>
      </c>
      <c r="B385" s="1" t="inlineStr">
        <is>
          <t>6D040</t>
        </is>
      </c>
      <c r="C385" s="1" t="inlineStr">
        <is>
          <t>Россия</t>
        </is>
      </c>
      <c r="D385" s="1" t="inlineStr">
        <is>
          <t>Санкт-Петербург</t>
        </is>
      </c>
      <c r="E385" s="1" t="inlineStr">
        <is>
          <t>Россия, 199406, г. Санкт-Петербург, ул. Шевченко, д. 22, корп. 1, кв. 50</t>
        </is>
      </c>
      <c r="F385" s="10" t="inlineStr">
        <is>
          <t>https://rggroup-co.com</t>
        </is>
      </c>
      <c r="G385" s="1" t="inlineStr">
        <is>
          <t>info@rggroup-co.com</t>
        </is>
      </c>
      <c r="H385" s="1" t="inlineStr">
        <is>
          <t>«РиГ Групп Ко» — российский производитель одноразовых уретерореноскопов, расходных материалов STATIM и медицинской одежды Cito! Наша миссия — способствовать развитию российской медицины.</t>
        </is>
      </c>
      <c r="I385" s="1" t="inlineStr">
        <is>
          <t>Инструменты урологические; Одноразовые медицинские изделия прочие; Эндоскопы гибкие; Инструменты и принадлежности для эндоскопии; Устройства для энтерального питания; Принадлежности и расходные материалы для реанимации и экстренной помощи</t>
        </is>
      </c>
      <c r="J385" s="1">
        <f>IFERROR(__xludf.DUMMYFUNCTION("AI(Prompt!$B$6, H427:I427)"),"Производитель")</f>
        <v/>
      </c>
      <c r="K385" s="1">
        <f>IFERROR(__xludf.DUMMYFUNCTION("AI(Prompt!$B$12, H427:J427)"),"OK")</f>
        <v/>
      </c>
      <c r="L385" s="1">
        <f>IFERROR(__xludf.DUMMYFUNCTION("AI(Prompt!$B$17, H427:I427)"),"уретерореноскопы, расходные материалы и медицинская одежда")</f>
        <v/>
      </c>
      <c r="M385" s="1">
        <f>IFERROR(__xludf.DUMMYFUNCTION("AI(Prompt!$B$21,A427)"),"Риг Групп")</f>
        <v/>
      </c>
      <c r="N385" s="1" t="inlineStr">
        <is>
          <t>Здравоохранение-2025</t>
        </is>
      </c>
      <c r="O385" s="9" t="inlineStr">
        <is>
          <t>https://icatalog.expocentr.ru/ru/exhibitions/de590dc5-417d-11ee-80ce-a0d3c1fab97f</t>
        </is>
      </c>
    </row>
    <row r="386" ht="16" customHeight="1">
      <c r="A386" s="1" t="inlineStr">
        <is>
          <t>ДИАТИКС</t>
        </is>
      </c>
      <c r="B386" s="11" t="n">
        <v>6e+105</v>
      </c>
      <c r="C386" s="1" t="inlineStr">
        <is>
          <t>Россия</t>
        </is>
      </c>
      <c r="E386" s="1" t="inlineStr">
        <is>
          <t>Россия</t>
        </is>
      </c>
      <c r="F386" s="10" t="inlineStr">
        <is>
          <t>http://diatix.ru</t>
        </is>
      </c>
      <c r="G386" s="1" t="inlineStr">
        <is>
          <t>sales@diatix.ru</t>
        </is>
      </c>
      <c r="H386" s="1" t="inlineStr">
        <is>
          <t>ООО «ДИАТИКС» — официальный импортер и дистрибьютор компании Apacor (Великобритания) — производителя концентраторов для кишечных паразитов Parasep.</t>
        </is>
      </c>
      <c r="I386" s="1" t="inlineStr">
        <is>
          <t>Лабораторное оборудование; Реагенты и расходные материалы для лабораторной диагностики</t>
        </is>
      </c>
      <c r="J386" s="1">
        <f>IFERROR(__xludf.DUMMYFUNCTION("AI(Prompt!$B$6, H428:I428)"),"Дилер")</f>
        <v/>
      </c>
      <c r="K386" s="1">
        <f>IFERROR(__xludf.DUMMYFUNCTION("AI(Prompt!$B$12, H428:J428)"),"OK")</f>
        <v/>
      </c>
      <c r="L386" s="1">
        <f>IFERROR(__xludf.DUMMYFUNCTION("AI(Prompt!$B$17, H428:I428)"),"лабораторное оборудование, реагенты и расходные материалы")</f>
        <v/>
      </c>
      <c r="M386" s="1">
        <f>IFERROR(__xludf.DUMMYFUNCTION("AI(Prompt!$B$21,A428)"),"Диатикс")</f>
        <v/>
      </c>
      <c r="N386" s="1" t="inlineStr">
        <is>
          <t>Здравоохранение-2025</t>
        </is>
      </c>
      <c r="O386" s="9" t="inlineStr">
        <is>
          <t>https://icatalog.expocentr.ru/ru/exhibitions/de590dc5-417d-11ee-80ce-a0d3c1fab97f</t>
        </is>
      </c>
    </row>
    <row r="387" ht="16" customHeight="1">
      <c r="A387" s="1" t="inlineStr">
        <is>
          <t>ИНТЕРФАРМСЕРВИС</t>
        </is>
      </c>
      <c r="B387" s="1" t="inlineStr">
        <is>
          <t>6F050</t>
        </is>
      </c>
      <c r="C387" s="1" t="inlineStr">
        <is>
          <t>Россия</t>
        </is>
      </c>
      <c r="D387" s="1" t="inlineStr">
        <is>
          <t>Москва</t>
        </is>
      </c>
      <c r="E387" s="1" t="inlineStr">
        <is>
          <t>Россия, 115114, г. Москва, Дербеневская наб., д. 11</t>
        </is>
      </c>
      <c r="F387" s="10" t="inlineStr">
        <is>
          <t>http://www.interfarmservice.ru</t>
        </is>
      </c>
      <c r="G387" s="1" t="inlineStr">
        <is>
          <t>info@interfarmservice.ru</t>
        </is>
      </c>
      <c r="H387" s="1" t="inlineStr">
        <is>
          <t>Импортер, производитель и дистрибьютор изделий медназначения. Специализируется на разработке фармацевтических решений и управлении медпроектами. Партнер группы «Азия Фарм» и Yukang Medical Technology.</t>
        </is>
      </c>
      <c r="I387" s="1" t="inlineStr">
        <is>
          <t>Оборудование и расходные материалы для проведения гемосорбции, гемодиализа и плазмофереза</t>
        </is>
      </c>
      <c r="J387" s="1">
        <f>IFERROR(__xludf.DUMMYFUNCTION("AI(Prompt!$B$6, H429:I429)"),"Производитель")</f>
        <v/>
      </c>
      <c r="K387" s="1">
        <f>IFERROR(__xludf.DUMMYFUNCTION("AI(Prompt!$B$12, H429:J429)"),"OK")</f>
        <v/>
      </c>
      <c r="L387" s="1">
        <f>IFERROR(__xludf.DUMMYFUNCTION("AI(Prompt!$B$17, H429:I429)"),"изделия медназначения и оборудование")</f>
        <v/>
      </c>
      <c r="M387" s="1">
        <f>IFERROR(__xludf.DUMMYFUNCTION("AI(Prompt!$B$21,A429)"),"Интерфармсервис")</f>
        <v/>
      </c>
      <c r="N387" s="1" t="inlineStr">
        <is>
          <t>Здравоохранение-2025</t>
        </is>
      </c>
      <c r="O387" s="9" t="inlineStr">
        <is>
          <t>https://icatalog.expocentr.ru/ru/exhibitions/de590dc5-417d-11ee-80ce-a0d3c1fab97f</t>
        </is>
      </c>
    </row>
    <row r="388" ht="16" customHeight="1">
      <c r="A388" s="1" t="inlineStr">
        <is>
          <t>БИОСЕНСОР АН, ООО</t>
        </is>
      </c>
      <c r="B388" s="1" t="inlineStr">
        <is>
          <t>5A090</t>
        </is>
      </c>
      <c r="C388" s="1" t="inlineStr">
        <is>
          <t>Россия</t>
        </is>
      </c>
      <c r="D388" s="1" t="inlineStr">
        <is>
          <t>Черноголовка</t>
        </is>
      </c>
      <c r="E388" s="1" t="inlineStr">
        <is>
          <t>Россия, 142432, Московская обл., г. Черноголовка, 1-й пр-д, д. 4</t>
        </is>
      </c>
      <c r="F388" s="10" t="inlineStr">
        <is>
          <t>http://www.biosensoran.ru</t>
        </is>
      </c>
      <c r="G388" s="1" t="inlineStr">
        <is>
          <t>info@biosensoran.ru</t>
        </is>
      </c>
      <c r="H388" s="1" t="inlineStr">
        <is>
          <t>Анализаторы мочи ИВД, биохимические тесты для экспресс-анализов диагностики in vitro, тесты для определения алкоголя в слюне и в моче, тесты для гинекологии, тесты для анализа воды и ветеринарии.</t>
        </is>
      </c>
      <c r="I388" s="1" t="inlineStr">
        <is>
          <t>Производство медицинских изделий; Лабораторное оборудование; Анализаторы; Реагенты и расходные материалы для лабораторной диагностики; Биохимия</t>
        </is>
      </c>
      <c r="J388" s="1">
        <f>IFERROR(__xludf.DUMMYFUNCTION("AI(Prompt!$B$6, H433:I433)"),"Производитель")</f>
        <v/>
      </c>
      <c r="K388" s="1">
        <f>IFERROR(__xludf.DUMMYFUNCTION("AI(Prompt!$B$12, H433:J433)"),"OK")</f>
        <v/>
      </c>
      <c r="L388" s="1">
        <f>IFERROR(__xludf.DUMMYFUNCTION("AI(Prompt!$B$17, H433:I433)"),"анализаторы, тесты и реагенты")</f>
        <v/>
      </c>
      <c r="M388" s="1">
        <f>IFERROR(__xludf.DUMMYFUNCTION("AI(Prompt!$B$21,A433)"),"Биосенсор Ан")</f>
        <v/>
      </c>
      <c r="N388" s="1" t="inlineStr">
        <is>
          <t>Здравоохранение-2025</t>
        </is>
      </c>
      <c r="O388" s="9" t="inlineStr">
        <is>
          <t>https://icatalog.expocentr.ru/ru/exhibitions/de590dc5-417d-11ee-80ce-a0d3c1fab97f</t>
        </is>
      </c>
    </row>
    <row r="389" ht="16" customHeight="1">
      <c r="A389" s="1" t="inlineStr">
        <is>
          <t>ИНПРЕН, ООО</t>
        </is>
      </c>
      <c r="B389" s="1" t="inlineStr">
        <is>
          <t>5D030</t>
        </is>
      </c>
      <c r="C389" s="1" t="inlineStr">
        <is>
          <t>Россия</t>
        </is>
      </c>
      <c r="D389" s="1" t="inlineStr">
        <is>
          <t>Москва</t>
        </is>
      </c>
      <c r="E389" s="1" t="inlineStr">
        <is>
          <t>Россия, 127566, г. Москва, Алтуфьевское ш., д. 48, корп. 1</t>
        </is>
      </c>
      <c r="F389" s="10" t="inlineStr">
        <is>
          <t>http://www.inpren.ru</t>
        </is>
      </c>
      <c r="G389" s="1" t="inlineStr">
        <is>
          <t>info@inpren.ru</t>
        </is>
      </c>
      <c r="H389" s="1" t="inlineStr">
        <is>
          <t>Инжиниринговая производственная компания. Услуги: инжиниринг, поставки лабораторного оборудования: ламинарных боксов, автоклавов, холодильников и морозильников. Бренды: AWTech, Haier Biomedical, 3W и др.</t>
        </is>
      </c>
      <c r="I389" s="1" t="inlineStr">
        <is>
          <t>Прочее общебольничное оборудование; Оборудование для стерилизации; Оборудование для заготовки и хранения донорской крови и ее компонентов; Оборудование для банков крови</t>
        </is>
      </c>
      <c r="J389" s="1">
        <f>IFERROR(__xludf.DUMMYFUNCTION("AI(Prompt!$B$6, H434:I434)"),"Производитель")</f>
        <v/>
      </c>
      <c r="K389" s="1">
        <f>IFERROR(__xludf.DUMMYFUNCTION("AI(Prompt!$B$12, H434:J434)"),"OK")</f>
        <v/>
      </c>
      <c r="L389" s="1">
        <f>IFERROR(__xludf.DUMMYFUNCTION("AI(Prompt!$B$17, H434:I434)"),"лабораторное оборудование, автоклавы и холодильники")</f>
        <v/>
      </c>
      <c r="M389" s="1">
        <f>IFERROR(__xludf.DUMMYFUNCTION("AI(Prompt!$B$21,A434)"),"Инпрен")</f>
        <v/>
      </c>
      <c r="N389" s="1" t="inlineStr">
        <is>
          <t>Здравоохранение-2025</t>
        </is>
      </c>
      <c r="O389" s="9" t="inlineStr">
        <is>
          <t>https://icatalog.expocentr.ru/ru/exhibitions/de590dc5-417d-11ee-80ce-a0d3c1fab97f</t>
        </is>
      </c>
    </row>
    <row r="390" ht="16" customHeight="1">
      <c r="A390" s="1" t="inlineStr">
        <is>
          <t>ЭКСПЕРТ МЕДИКАЛ, ООО</t>
        </is>
      </c>
      <c r="B390" s="1" t="inlineStr">
        <is>
          <t>5B063</t>
        </is>
      </c>
      <c r="C390" s="1" t="inlineStr">
        <is>
          <t>Россия</t>
        </is>
      </c>
      <c r="D390" s="1" t="inlineStr">
        <is>
          <t>Москва</t>
        </is>
      </c>
      <c r="E390" s="1" t="inlineStr">
        <is>
          <t>Россия, 111524, г. Москва, ул. Электродная, д. 11, стр. 19, пом. 26</t>
        </is>
      </c>
      <c r="F390" s="10" t="inlineStr">
        <is>
          <t>http://www.exmedikal.ru</t>
        </is>
      </c>
      <c r="G390" s="1" t="inlineStr">
        <is>
          <t>info@exmedikal.ru</t>
        </is>
      </c>
      <c r="H390" s="1" t="inlineStr">
        <is>
          <t>Представляем передовые решения: мойки для гибких эндоскопов Huons Meditek (Корея), плазменные стерилизаторы CUBE (Корея), лор-комбайны MiOne и KAZAMA ENT (Корея), УЗ-датчики LELTEK (Тайвань, Китай).</t>
        </is>
      </c>
      <c r="I390" s="1" t="inlineStr">
        <is>
          <t>Оборудование для дезинфекции; Оборудование для стерилизации; Ультразвуковые сканеры и диагностические системы; Отоскопы и лор-инструменты; Эндоскопические комплексы и системы</t>
        </is>
      </c>
      <c r="J390" s="1">
        <f>IFERROR(__xludf.DUMMYFUNCTION("AI(Prompt!$B$6, H435:I435)"),"Дилер")</f>
        <v/>
      </c>
      <c r="K390" s="1">
        <f>IFERROR(__xludf.DUMMYFUNCTION("AI(Prompt!$B$12, H435:J435)"),"OK")</f>
        <v/>
      </c>
      <c r="L390" s="1">
        <f>IFERROR(__xludf.DUMMYFUNCTION("AI(Prompt!$B$17, H435:I435)"),"мойки, стерилизаторы, лор-комбайны и датчики")</f>
        <v/>
      </c>
      <c r="M390" s="1">
        <f>IFERROR(__xludf.DUMMYFUNCTION("AI(Prompt!$B$21,A435)"),"Эксперт Медикал")</f>
        <v/>
      </c>
      <c r="N390" s="1" t="inlineStr">
        <is>
          <t>Здравоохранение-2025</t>
        </is>
      </c>
      <c r="O390" s="9" t="inlineStr">
        <is>
          <t>https://icatalog.expocentr.ru/ru/exhibitions/de590dc5-417d-11ee-80ce-a0d3c1fab97f</t>
        </is>
      </c>
    </row>
    <row r="391" ht="16" customHeight="1">
      <c r="A391" s="1" t="inlineStr">
        <is>
          <t>ЭЛЕМА-Н, ООО</t>
        </is>
      </c>
      <c r="B391" s="1" t="inlineStr">
        <is>
          <t>5C001</t>
        </is>
      </c>
      <c r="C391" s="1" t="inlineStr">
        <is>
          <t>Россия</t>
        </is>
      </c>
      <c r="D391" s="1" t="inlineStr">
        <is>
          <t>Новосибирск</t>
        </is>
      </c>
      <c r="E391" s="1" t="inlineStr">
        <is>
          <t>Россия, 630015, г. Новосибирск, ул. Королёва, д. 40, корп. 46</t>
        </is>
      </c>
      <c r="F391" s="10" t="inlineStr">
        <is>
          <t>http://www.elema-n.ru</t>
        </is>
      </c>
      <c r="G391" s="1" t="inlineStr">
        <is>
          <t>info@elema-n.ru</t>
        </is>
      </c>
      <c r="H391" s="1" t="inlineStr">
        <is>
          <t>Производство консолей для обеспечения газами и электропитанием, отсасывателей, аппаратов Боброва, лор-комбайнов, кресел пациентов оториноларингологических, шкафов для сушки и хранения стерильных эндоскопов.</t>
        </is>
      </c>
      <c r="I391" s="1" t="inlineStr">
        <is>
          <t>Отоскопы и лор-инструменты; Инструменты и принадлежности для эндоскопии; Средства для оказания экстренной медицинской помощи; Оборудование для медицинских газов; Потолочные консоли; Вакуумные экстракторы, аспираторы</t>
        </is>
      </c>
      <c r="J391" s="1">
        <f>IFERROR(__xludf.DUMMYFUNCTION("AI(Prompt!$B$6, H436:I436)"),"Производитель")</f>
        <v/>
      </c>
      <c r="K391" s="1">
        <f>IFERROR(__xludf.DUMMYFUNCTION("AI(Prompt!$B$12, H436:J436)"),"OK")</f>
        <v/>
      </c>
      <c r="L391" s="1">
        <f>IFERROR(__xludf.DUMMYFUNCTION("AI(Prompt!$B$17, H436:I436)"),"консоли, отсасыватели, аппараты и шкафы")</f>
        <v/>
      </c>
      <c r="M391" s="1">
        <f>IFERROR(__xludf.DUMMYFUNCTION("AI(Prompt!$B$21,A436)"),"Элема-Н")</f>
        <v/>
      </c>
      <c r="N391" s="1" t="inlineStr">
        <is>
          <t>Здравоохранение-2025</t>
        </is>
      </c>
      <c r="O391" s="9" t="inlineStr">
        <is>
          <t>https://icatalog.expocentr.ru/ru/exhibitions/de590dc5-417d-11ee-80ce-a0d3c1fab97f</t>
        </is>
      </c>
    </row>
    <row r="392" ht="16" customHeight="1">
      <c r="A392" s="1" t="inlineStr">
        <is>
          <t>РУДЕЗ, ООО</t>
        </is>
      </c>
      <c r="B392" s="11" t="n">
        <v>5e+20</v>
      </c>
      <c r="C392" s="1" t="inlineStr">
        <is>
          <t>Россия</t>
        </is>
      </c>
      <c r="D392" s="1" t="inlineStr">
        <is>
          <t>Москва</t>
        </is>
      </c>
      <c r="E392" s="1" t="inlineStr">
        <is>
          <t>Россия, 108852, г. Москва, вн. тер. г. м. о. Щербинка, г. Щербинка, ул. Космонавтов, д. 16, стр. 1, этаж 3, пом. 10</t>
        </is>
      </c>
      <c r="F392" s="10" t="inlineStr">
        <is>
          <t>http://www.abakteril.ru</t>
        </is>
      </c>
      <c r="G392" s="1" t="inlineStr">
        <is>
          <t>mail@rudez.info</t>
        </is>
      </c>
      <c r="H392" s="1" t="inlineStr">
        <is>
          <t>Производство дезинфицирующих и моющих средств: концентрата, жидких и гелевых антисептиков, готовых растворов для салфеток, диспенсерных систем, хлорных таблеток и гранул, дезинфицирующего и детского мыла.</t>
        </is>
      </c>
      <c r="I392" s="1" t="inlineStr">
        <is>
          <t>Средства химической дезинфекции и стерилизации; Средства для чистки и детергенты; Дезинфицирующие средства и материалы</t>
        </is>
      </c>
      <c r="J392" s="1">
        <f>IFERROR(__xludf.DUMMYFUNCTION("AI(Prompt!$B$6, H437:I437)"),"Производитель")</f>
        <v/>
      </c>
      <c r="K392" s="1">
        <f>IFERROR(__xludf.DUMMYFUNCTION("AI(Prompt!$B$12, H437:J437)"),"OK")</f>
        <v/>
      </c>
      <c r="L392" s="1">
        <f>IFERROR(__xludf.DUMMYFUNCTION("AI(Prompt!$B$17, H437:I437)"),"дезинфицирующие средства, антисептики, мыло, хлорные таблетки и гранулы")</f>
        <v/>
      </c>
      <c r="M392" s="1">
        <f>IFERROR(__xludf.DUMMYFUNCTION("AI(Prompt!$B$21,A437)"),"Рудез")</f>
        <v/>
      </c>
      <c r="N392" s="1" t="inlineStr">
        <is>
          <t>Здравоохранение-2025</t>
        </is>
      </c>
      <c r="O392" s="9" t="inlineStr">
        <is>
          <t>https://icatalog.expocentr.ru/ru/exhibitions/de590dc5-417d-11ee-80ce-a0d3c1fab97f</t>
        </is>
      </c>
    </row>
    <row r="393" ht="16" customHeight="1">
      <c r="A393" s="1" t="inlineStr">
        <is>
          <t>ДЕЗКОНТРАКТ, ООО</t>
        </is>
      </c>
      <c r="B393" s="1" t="inlineStr">
        <is>
          <t>5B005</t>
        </is>
      </c>
      <c r="C393" s="1" t="inlineStr">
        <is>
          <t>Россия</t>
        </is>
      </c>
      <c r="D393" s="1" t="inlineStr">
        <is>
          <t>Москва</t>
        </is>
      </c>
      <c r="E393" s="1" t="inlineStr">
        <is>
          <t>Россия, 107150, г. Москва, ул. Бойцовая, д. 22, этаж 2, пом. V, корп. 6, оф. 3Б</t>
        </is>
      </c>
      <c r="F393" s="10" t="inlineStr">
        <is>
          <t>http://www.a-dez.ru</t>
        </is>
      </c>
      <c r="G393" s="1" t="inlineStr">
        <is>
          <t>info@dezcontract.ru</t>
        </is>
      </c>
      <c r="H393" s="1" t="inlineStr">
        <is>
          <t>Производство различных дезинфицирующих и моющих средств: концентратов и жидких антисептиков, влажных салфеток, диспенсерных систем, хлорных таблеток и гранул, дезинфицирующего, антибактериального мыла.</t>
        </is>
      </c>
      <c r="I393" s="1" t="inlineStr">
        <is>
          <t>Средства химической дезинфекции и стерилизации; Средства для чистки и детергенты; Дезинфицирующие средства и материалы</t>
        </is>
      </c>
      <c r="J393" s="1">
        <f>IFERROR(__xludf.DUMMYFUNCTION("AI(Prompt!$B$6, H438:I438)"),"Производитель")</f>
        <v/>
      </c>
      <c r="K393" s="1">
        <f>IFERROR(__xludf.DUMMYFUNCTION("AI(Prompt!$B$12, H438:J438)"),"OK")</f>
        <v/>
      </c>
      <c r="L393" s="1">
        <f>IFERROR(__xludf.DUMMYFUNCTION("AI(Prompt!$B$17, H438:I438)"),"дезинфицирующие и моющие средства, антисептики, салфетки, мыло")</f>
        <v/>
      </c>
      <c r="M393" s="1">
        <f>IFERROR(__xludf.DUMMYFUNCTION("AI(Prompt!$B$21,A438)"),"Дезконтракт")</f>
        <v/>
      </c>
      <c r="N393" s="1" t="inlineStr">
        <is>
          <t>Здравоохранение-2025</t>
        </is>
      </c>
      <c r="O393" s="9" t="inlineStr">
        <is>
          <t>https://icatalog.expocentr.ru/ru/exhibitions/de590dc5-417d-11ee-80ce-a0d3c1fab97f</t>
        </is>
      </c>
    </row>
    <row r="394" ht="16" customHeight="1">
      <c r="A394" s="1" t="inlineStr">
        <is>
          <t>БАЗОВАЯ ДЕЗИНФЕКЦИЯ</t>
        </is>
      </c>
      <c r="B394" s="1" t="inlineStr">
        <is>
          <t>5B042</t>
        </is>
      </c>
      <c r="C394" s="1" t="inlineStr">
        <is>
          <t>Россия</t>
        </is>
      </c>
      <c r="D394" s="1" t="inlineStr">
        <is>
          <t>Москва</t>
        </is>
      </c>
      <c r="E394" s="1" t="inlineStr">
        <is>
          <t>Россия, 105264, г. Москва, 9-я Парковая ул., д. 39, оф. 415</t>
        </is>
      </c>
      <c r="F394" s="10" t="inlineStr">
        <is>
          <t>http://www.almadez.ru</t>
        </is>
      </c>
      <c r="G394" s="1" t="inlineStr">
        <is>
          <t>info@badez.ru</t>
        </is>
      </c>
      <c r="H394" s="1" t="inlineStr">
        <is>
          <t>Производство дезинфицирующих и моющих средств в виде жидких и гелевых антисептиков, готовых салфеток, хлорных таблеток и гранул; также предлагаем диспенсерные системы, дезинфицирующее и антибактериальное мыло.</t>
        </is>
      </c>
      <c r="I394" s="1" t="inlineStr">
        <is>
          <t>Средства химической дезинфекции и стерилизации; Средства для чистки и детергенты; Дезинфицирующие средства и материалы</t>
        </is>
      </c>
      <c r="J394" s="1">
        <f>IFERROR(__xludf.DUMMYFUNCTION("AI(Prompt!$B$6, H439:I439)"),"Производитель")</f>
        <v/>
      </c>
      <c r="K394" s="1">
        <f>IFERROR(__xludf.DUMMYFUNCTION("AI(Prompt!$B$12, H439:J439)"),"OK")</f>
        <v/>
      </c>
      <c r="L394" s="1">
        <f>IFERROR(__xludf.DUMMYFUNCTION("AI(Prompt!$B$17, H439:I439)"),"дезинфицирующие средства, моющие средства, антисептики и диспенсерные системы")</f>
        <v/>
      </c>
      <c r="M394" s="1">
        <f>IFERROR(__xludf.DUMMYFUNCTION("AI(Prompt!$B$21,A439)"),"Базовая Дезинфекция")</f>
        <v/>
      </c>
      <c r="N394" s="1" t="inlineStr">
        <is>
          <t>Здравоохранение-2025</t>
        </is>
      </c>
      <c r="O394" s="9" t="inlineStr">
        <is>
          <t>https://icatalog.expocentr.ru/ru/exhibitions/de590dc5-417d-11ee-80ce-a0d3c1fab97f</t>
        </is>
      </c>
    </row>
    <row r="395" ht="16" customHeight="1">
      <c r="A395" s="1" t="inlineStr">
        <is>
          <t>ДЕЗОН, ООО</t>
        </is>
      </c>
      <c r="B395" s="1" t="inlineStr">
        <is>
          <t>5D080</t>
        </is>
      </c>
      <c r="C395" s="1" t="inlineStr">
        <is>
          <t>Россия</t>
        </is>
      </c>
      <c r="D395" s="1" t="inlineStr">
        <is>
          <t>Москва</t>
        </is>
      </c>
      <c r="E395" s="1" t="inlineStr">
        <is>
          <t>Россия, г. Москва, ул. Верхняя Первомайская, д. 43, оф. 209</t>
        </is>
      </c>
      <c r="F395" s="10" t="inlineStr">
        <is>
          <t>http://www.dezon.pro</t>
        </is>
      </c>
      <c r="G395" s="1" t="inlineStr">
        <is>
          <t>info@dezon.pro</t>
        </is>
      </c>
      <c r="H395" s="1" t="inlineStr">
        <is>
          <t>Производство профессиональных моющих и дезинфицирующих средств для гигиены и клининга. Антисептики, влажные салфетки, диспенсерные системы, хлорные таблетки и гранулы, дезинфицирующее и детское мыло.</t>
        </is>
      </c>
      <c r="I395" s="1" t="inlineStr">
        <is>
          <t>Средства химической дезинфекции и стерилизации; Средства для чистки и детергенты; Дезинфицирующие средства и материалы</t>
        </is>
      </c>
      <c r="J395" s="1">
        <f>IFERROR(__xludf.DUMMYFUNCTION("AI(Prompt!$B$6, H440:I440)"),"Производитель")</f>
        <v/>
      </c>
      <c r="K395" s="1">
        <f>IFERROR(__xludf.DUMMYFUNCTION("AI(Prompt!$B$12, H440:J440)"),"OK")</f>
        <v/>
      </c>
      <c r="L395" s="1">
        <f>IFERROR(__xludf.DUMMYFUNCTION("AI(Prompt!$B$17, H440:I440)"),"моющие средства, дезинфицирующие средства, антисептики, влажные салфетки и диспенсерные системы")</f>
        <v/>
      </c>
      <c r="M395" s="1">
        <f>IFERROR(__xludf.DUMMYFUNCTION("AI(Prompt!$B$21,A440)"),"Дезон")</f>
        <v/>
      </c>
      <c r="N395" s="1" t="inlineStr">
        <is>
          <t>Здравоохранение-2025</t>
        </is>
      </c>
      <c r="O395" s="9" t="inlineStr">
        <is>
          <t>https://icatalog.expocentr.ru/ru/exhibitions/de590dc5-417d-11ee-80ce-a0d3c1fab97f</t>
        </is>
      </c>
    </row>
    <row r="396" ht="16" customHeight="1">
      <c r="A396" s="1" t="inlineStr">
        <is>
          <t>ВОЛЬТМЕТРИКА, ООО</t>
        </is>
      </c>
      <c r="B396" s="11" t="n">
        <v>5e+40</v>
      </c>
      <c r="C396" s="1" t="inlineStr">
        <is>
          <t>Россия</t>
        </is>
      </c>
      <c r="D396" s="1" t="inlineStr">
        <is>
          <t>Санкт-Петербург</t>
        </is>
      </c>
      <c r="E396" s="1" t="inlineStr">
        <is>
          <t>Россия, г. Санкт-Петербург</t>
        </is>
      </c>
      <c r="F396" s="10" t="inlineStr">
        <is>
          <t>http://www.voltmetrika.ru</t>
        </is>
      </c>
      <c r="G396" s="1" t="inlineStr">
        <is>
          <t>info@voltmetrika.ru</t>
        </is>
      </c>
      <c r="H396" s="1" t="inlineStr">
        <is>
          <t>Производство медицинской техники — cистем обеззараживания медицинских отходов микроволновых «Бионар», устройств прессования медицинских отходов «Бионар», измельчителей медицинских отходов «Бионар».</t>
        </is>
      </c>
      <c r="I396" s="1" t="inlineStr">
        <is>
          <t>Системы утилизации отходов; Оборудование для дезинфекции</t>
        </is>
      </c>
      <c r="J396" s="1">
        <f>IFERROR(__xludf.DUMMYFUNCTION("AI(Prompt!$B$6, H441:I441)"),"Производитель")</f>
        <v/>
      </c>
      <c r="K396" s="1">
        <f>IFERROR(__xludf.DUMMYFUNCTION("AI(Prompt!$B$12, H441:J441)"),"OK")</f>
        <v/>
      </c>
      <c r="L396" s="1">
        <f>IFERROR(__xludf.DUMMYFUNCTION("AI(Prompt!$B$17, H441:I441)"),"оборудование")</f>
        <v/>
      </c>
      <c r="M396" s="1">
        <f>IFERROR(__xludf.DUMMYFUNCTION("AI(Prompt!$B$21,A441)"),"Вольметрика")</f>
        <v/>
      </c>
      <c r="N396" s="1" t="inlineStr">
        <is>
          <t>Здравоохранение-2025</t>
        </is>
      </c>
      <c r="O396" s="9" t="inlineStr">
        <is>
          <t>https://icatalog.expocentr.ru/ru/exhibitions/de590dc5-417d-11ee-80ce-a0d3c1fab97f</t>
        </is>
      </c>
    </row>
    <row r="397" ht="16" customHeight="1">
      <c r="A397" s="1" t="inlineStr">
        <is>
          <t>АСЕПТИКА, ООО</t>
        </is>
      </c>
      <c r="B397" s="1" t="inlineStr">
        <is>
          <t>5B132</t>
        </is>
      </c>
      <c r="C397" s="1" t="inlineStr">
        <is>
          <t>Россия</t>
        </is>
      </c>
      <c r="D397" s="1" t="inlineStr">
        <is>
          <t>Москва</t>
        </is>
      </c>
      <c r="E397" s="1" t="inlineStr">
        <is>
          <t>Россия, 127474, г. Москва, Дмитровское ш., д. 60а, этаж 3, пом. XXIV, комн. 10</t>
        </is>
      </c>
      <c r="F397" s="10" t="inlineStr">
        <is>
          <t>http://www.aseptica.biz</t>
        </is>
      </c>
      <c r="G397" s="1" t="inlineStr">
        <is>
          <t>asep5858815@gmail.com</t>
        </is>
      </c>
      <c r="H397" s="1" t="inlineStr">
        <is>
          <t>«АСЕПТИКА» — инжиниринговая компания, которая специализируется в четырех направлениях: проектирование производств, валидация и квалификация чистых помещений, испытательное оборудование и мебель.</t>
        </is>
      </c>
      <c r="I397" s="1" t="inlineStr">
        <is>
          <t>Чистые помещения; Проектирование, производство, монтаж, валидация чистых операционных и реанимационных; Проектирование и оснащение медицинских учреждений под ключ; Медицинский инжиниринг; Испытательные лаборатории, органы по сертификации, метрологические центры</t>
        </is>
      </c>
      <c r="J397" s="1">
        <f>IFERROR(__xludf.DUMMYFUNCTION("AI(Prompt!$B$6, H442:I442)"),"Поставщик услуг")</f>
        <v/>
      </c>
      <c r="K397" s="14" t="inlineStr">
        <is>
          <t>OK</t>
        </is>
      </c>
      <c r="L397" s="1">
        <f>IFERROR(__xludf.DUMMYFUNCTION("AI(Prompt!$B$17, H442:I442)"),"оборудование и мебель")</f>
        <v/>
      </c>
      <c r="M397" s="1">
        <f>IFERROR(__xludf.DUMMYFUNCTION("AI(Prompt!$B$21,A442)"),"Асептика")</f>
        <v/>
      </c>
      <c r="N397" s="1" t="inlineStr">
        <is>
          <t>Здравоохранение-2025</t>
        </is>
      </c>
      <c r="O397" s="9" t="inlineStr">
        <is>
          <t>https://icatalog.expocentr.ru/ru/exhibitions/de590dc5-417d-11ee-80ce-a0d3c1fab97f</t>
        </is>
      </c>
    </row>
    <row r="398" ht="16" customHeight="1">
      <c r="A398" s="1" t="inlineStr">
        <is>
          <t>ГЕНИКС, НПФ, ООО</t>
        </is>
      </c>
      <c r="B398" s="1" t="inlineStr">
        <is>
          <t>5C070</t>
        </is>
      </c>
      <c r="C398" s="1" t="inlineStr">
        <is>
          <t>Россия</t>
        </is>
      </c>
      <c r="D398" s="1" t="inlineStr">
        <is>
          <t>Йошкар-Ола</t>
        </is>
      </c>
      <c r="E398" s="1" t="inlineStr">
        <is>
          <t>Россия, 424006, Республика Марий Эл, г. Йошкар-Ола, ул. Крылова, д. 26</t>
        </is>
      </c>
      <c r="F398" s="10" t="inlineStr">
        <is>
          <t>http://www.geniks.ru</t>
        </is>
      </c>
      <c r="G398" s="1" t="inlineStr">
        <is>
          <t>sbit@geniks.ru</t>
        </is>
      </c>
      <c r="H398" s="1" t="inlineStr">
        <is>
          <t>С 1992 года фирма «Геникс» специализируется на выпуске моющих и дезинфицирующих средств. По технологии, качеству, экономичности средства серии «Ника» — одни из лучших на отечественном рынке!</t>
        </is>
      </c>
      <c r="I398" s="1" t="inlineStr">
        <is>
          <t>Средства химической дезинфекции и стерилизации; Средства для чистки и детергенты; Дезинфицирующие средства и материалы</t>
        </is>
      </c>
      <c r="J398" s="1">
        <f>IFERROR(__xludf.DUMMYFUNCTION("AI(Prompt!$B$6, H443:I443)"),"Производитель")</f>
        <v/>
      </c>
      <c r="K398" s="1">
        <f>IFERROR(__xludf.DUMMYFUNCTION("AI(Prompt!$B$12, H443:J443)"),"OK")</f>
        <v/>
      </c>
      <c r="L398" s="1">
        <f>IFERROR(__xludf.DUMMYFUNCTION("AI(Prompt!$B$17, H443:I443)"),"дезинфицирующие средства, моющие средства и детергенты")</f>
        <v/>
      </c>
      <c r="M398" s="1">
        <f>IFERROR(__xludf.DUMMYFUNCTION("AI(Prompt!$B$21,A443)"),"ГЕНИКС, НПФ")</f>
        <v/>
      </c>
      <c r="N398" s="1" t="inlineStr">
        <is>
          <t>Здравоохранение-2025</t>
        </is>
      </c>
      <c r="O398" s="9" t="inlineStr">
        <is>
          <t>https://icatalog.expocentr.ru/ru/exhibitions/de590dc5-417d-11ee-80ce-a0d3c1fab97f</t>
        </is>
      </c>
    </row>
    <row r="399" ht="16" customHeight="1">
      <c r="A399" s="1" t="inlineStr">
        <is>
          <t>СЕПТОНЭТ, ООО</t>
        </is>
      </c>
      <c r="B399" s="1" t="inlineStr">
        <is>
          <t>5A120</t>
        </is>
      </c>
      <c r="C399" s="1" t="inlineStr">
        <is>
          <t>Россия</t>
        </is>
      </c>
      <c r="D399" s="1" t="inlineStr">
        <is>
          <t>Москва</t>
        </is>
      </c>
      <c r="E399" s="1" t="inlineStr">
        <is>
          <t>Россия, 105275, г. Москва, просп. Будённого, д. 51, корп. 3, пом. 10</t>
        </is>
      </c>
      <c r="F399" s="10" t="inlineStr">
        <is>
          <t>http://septo.net</t>
        </is>
      </c>
      <c r="G399" s="1" t="inlineStr">
        <is>
          <t>info@septo.net</t>
        </is>
      </c>
      <c r="H399" s="1" t="inlineStr">
        <is>
          <t>Производство и оптовая продажа дезинфицирующих средств.</t>
        </is>
      </c>
      <c r="I399" s="1" t="inlineStr">
        <is>
          <t>Оборудование и средства борьбы с внутрибольничной инфекцией; Средства химической дезинфекции и стерилизации; Средства для чистки и детергенты; Дезинфицирующие средства и материалы</t>
        </is>
      </c>
      <c r="J399" s="1">
        <f>IFERROR(__xludf.DUMMYFUNCTION("AI(Prompt!$B$6, H444:I444)"),"Производитель")</f>
        <v/>
      </c>
      <c r="K399" s="1">
        <f>IFERROR(__xludf.DUMMYFUNCTION("AI(Prompt!$B$12, H444:J444)"),"OK")</f>
        <v/>
      </c>
      <c r="L399" s="1">
        <f>IFERROR(__xludf.DUMMYFUNCTION("AI(Prompt!$B$17, H444:I444)"),"дезинфицирующие средства, чистящие средства и оборудование")</f>
        <v/>
      </c>
      <c r="M399" s="1">
        <f>IFERROR(__xludf.DUMMYFUNCTION("AI(Prompt!$B$21,A444)"),"Септонэт")</f>
        <v/>
      </c>
      <c r="N399" s="1" t="inlineStr">
        <is>
          <t>Здравоохранение-2025</t>
        </is>
      </c>
      <c r="O399" s="9" t="inlineStr">
        <is>
          <t>https://icatalog.expocentr.ru/ru/exhibitions/de590dc5-417d-11ee-80ce-a0d3c1fab97f</t>
        </is>
      </c>
    </row>
    <row r="400" ht="16" customHeight="1">
      <c r="A400" s="1" t="inlineStr">
        <is>
          <t>АВ-Групп, ООО</t>
        </is>
      </c>
      <c r="B400" s="1" t="inlineStr">
        <is>
          <t>5C140</t>
        </is>
      </c>
      <c r="C400" s="1" t="inlineStr">
        <is>
          <t>Россия</t>
        </is>
      </c>
      <c r="D400" s="1" t="inlineStr">
        <is>
          <t>Люберцы</t>
        </is>
      </c>
      <c r="E400" s="1" t="inlineStr">
        <is>
          <t>Россия, 140030, Московская обл., г. Люберцы, р. п. Малаховка, Егорьевское ш., д. 1</t>
        </is>
      </c>
      <c r="F400" s="10" t="inlineStr">
        <is>
          <t>http://www.avgroupp.ru</t>
        </is>
      </c>
      <c r="G400" s="1" t="inlineStr">
        <is>
          <t>sale@avgroupp.ru</t>
        </is>
      </c>
      <c r="H400" s="1" t="inlineStr">
        <is>
          <t>Компания «АВ-Групп» — лидер в России по производству влажных салфеток для различных сфер применения, производитель дезинфицирующих средств и антисептиков, контрактное производство под вашей СТМ.</t>
        </is>
      </c>
      <c r="I400" s="1" t="inlineStr">
        <is>
          <t>Дезинфицирующие средства и материалы; Одноразовые медицинские изделия прочие</t>
        </is>
      </c>
      <c r="J400" s="1">
        <f>IFERROR(__xludf.DUMMYFUNCTION("AI(Prompt!$B$6, H445:I445)"),"Производитель")</f>
        <v/>
      </c>
      <c r="K400" s="1">
        <f>IFERROR(__xludf.DUMMYFUNCTION("AI(Prompt!$B$12, H445:J445)"),"OK")</f>
        <v/>
      </c>
      <c r="L400" s="1">
        <f>IFERROR(__xludf.DUMMYFUNCTION("AI(Prompt!$B$17, H445:I445)"),"влажные салфетки, дезинфицирующие средства и антисептики")</f>
        <v/>
      </c>
      <c r="M400" s="1">
        <f>IFERROR(__xludf.DUMMYFUNCTION("AI(Prompt!$B$21,A445)"),"Ав-Групп")</f>
        <v/>
      </c>
      <c r="N400" s="1" t="inlineStr">
        <is>
          <t>Здравоохранение-2025</t>
        </is>
      </c>
      <c r="O400" s="9" t="inlineStr">
        <is>
          <t>https://icatalog.expocentr.ru/ru/exhibitions/de590dc5-417d-11ee-80ce-a0d3c1fab97f</t>
        </is>
      </c>
    </row>
    <row r="401" ht="16" customHeight="1">
      <c r="A401" s="1" t="inlineStr">
        <is>
          <t>ВИТА-ПУЛ, ООО</t>
        </is>
      </c>
      <c r="B401" s="1" t="inlineStr">
        <is>
          <t>5C050</t>
        </is>
      </c>
      <c r="C401" s="1" t="inlineStr">
        <is>
          <t>Россия</t>
        </is>
      </c>
      <c r="D401" s="1" t="inlineStr">
        <is>
          <t>Москва</t>
        </is>
      </c>
      <c r="E401" s="1" t="inlineStr">
        <is>
          <t>Россия, 125212, г. Москва, ул. Выборгская, д. 16, стр. 1</t>
        </is>
      </c>
      <c r="F401" s="10" t="inlineStr">
        <is>
          <t>http://www.vitapool.ru</t>
        </is>
      </c>
      <c r="G401" s="1" t="inlineStr">
        <is>
          <t>info@vitapool.ru</t>
        </is>
      </c>
      <c r="H401" s="1" t="inlineStr">
        <is>
          <t>Оснащение центральных стерилизационных отделений оборудованием и расходными материалами для дезинфекции и стерилизации. Производство и реализация дезсредств, стерилизационной упаковки, эндошкафов.</t>
        </is>
      </c>
      <c r="I401" s="1" t="inlineStr">
        <is>
          <t>Оборудование и средства борьбы с внутрибольничной инфекцией; Оборудование для дезинфекции; Оборудование для стерилизации; Средства контроля стерилизации; Медицинская упаковка; Дезинфицирующие средства и материалы</t>
        </is>
      </c>
      <c r="J401" s="1">
        <f>IFERROR(__xludf.DUMMYFUNCTION("AI(Prompt!$B$6, H446:I446)"),"Производитель")</f>
        <v/>
      </c>
      <c r="K401" s="1">
        <f>IFERROR(__xludf.DUMMYFUNCTION("AI(Prompt!$B$12, H446:J446)"),"OK")</f>
        <v/>
      </c>
      <c r="L401" s="1">
        <f>IFERROR(__xludf.DUMMYFUNCTION("AI(Prompt!$B$17, H446:I446)"),"оборудование, дезсредства, упаковка и эндошкафы")</f>
        <v/>
      </c>
      <c r="M401" s="1">
        <f>IFERROR(__xludf.DUMMYFUNCTION("AI(Prompt!$B$21,A446)"),"Вита-Пул")</f>
        <v/>
      </c>
      <c r="N401" s="1" t="inlineStr">
        <is>
          <t>Здравоохранение-2025</t>
        </is>
      </c>
      <c r="O401" s="9" t="inlineStr">
        <is>
          <t>https://icatalog.expocentr.ru/ru/exhibitions/de590dc5-417d-11ee-80ce-a0d3c1fab97f</t>
        </is>
      </c>
    </row>
    <row r="402" ht="16" customHeight="1">
      <c r="A402" s="1" t="inlineStr">
        <is>
          <t>СТЕРИПАК СЕРВИС, ООО</t>
        </is>
      </c>
      <c r="B402" s="1" t="inlineStr">
        <is>
          <t>5B100</t>
        </is>
      </c>
      <c r="C402" s="1" t="inlineStr">
        <is>
          <t>Россия</t>
        </is>
      </c>
      <c r="D402" s="1" t="inlineStr">
        <is>
          <t>Москва</t>
        </is>
      </c>
      <c r="E402" s="1" t="inlineStr">
        <is>
          <t>Россия, 117246, г. Москва, Научный пр-д, д. 10, комн. 319</t>
        </is>
      </c>
      <c r="F402" s="10" t="inlineStr">
        <is>
          <t>http://steri-pack.ru</t>
        </is>
      </c>
      <c r="G402" s="1" t="inlineStr">
        <is>
          <t>info@steri-pack.ru</t>
        </is>
      </c>
      <c r="H402" s="1" t="inlineStr">
        <is>
          <t>Услуги для производителей медизделий и ЛПУ:— стерилизация мединструментов для ЛПУ;— контрактное производство в чистых помещениях;— стерилизация газом, паром, плазмой;— валидация, лабораторные испытания.</t>
        </is>
      </c>
      <c r="I402" s="1" t="inlineStr">
        <is>
          <t>Оборудование и средства борьбы с внутрибольничной инфекцией; Средства контроля стерилизации; Медицинская упаковка; Чистые помещения; Проектирование, производство, монтаж, валидация чистых операционных и реанимационных; Производство медицинских изделий</t>
        </is>
      </c>
      <c r="J402" s="1">
        <f>IFERROR(__xludf.DUMMYFUNCTION("AI(Prompt!$B$6, H447:I447)"),"Производитель")</f>
        <v/>
      </c>
      <c r="K402" s="1">
        <f>IFERROR(__xludf.DUMMYFUNCTION("AI(Prompt!$B$12, H447:J447)"),"OK")</f>
        <v/>
      </c>
      <c r="L402" s="1">
        <f>IFERROR(__xludf.DUMMYFUNCTION("AI(Prompt!$B$17, H447:I447)"),"медицинские изделия, оборудование, упаковка и средства контроля")</f>
        <v/>
      </c>
      <c r="M402" s="1">
        <f>IFERROR(__xludf.DUMMYFUNCTION("AI(Prompt!$B$21,A447)"),"Стерипак Сервис")</f>
        <v/>
      </c>
      <c r="N402" s="1" t="inlineStr">
        <is>
          <t>Здравоохранение-2025</t>
        </is>
      </c>
      <c r="O402" s="9" t="inlineStr">
        <is>
          <t>https://icatalog.expocentr.ru/ru/exhibitions/de590dc5-417d-11ee-80ce-a0d3c1fab97f</t>
        </is>
      </c>
    </row>
    <row r="403" ht="16" customHeight="1">
      <c r="A403" s="1" t="inlineStr">
        <is>
          <t>МЕДЭКС, НПК</t>
        </is>
      </c>
      <c r="B403" s="1" t="inlineStr">
        <is>
          <t>5C085</t>
        </is>
      </c>
      <c r="C403" s="1" t="inlineStr">
        <is>
          <t>Россия</t>
        </is>
      </c>
      <c r="D403" s="1" t="inlineStr">
        <is>
          <t>Москва</t>
        </is>
      </c>
      <c r="E403" s="1" t="inlineStr">
        <is>
          <t>Россия, 117105, г. Москва, Новоданиловская наб., д. 12</t>
        </is>
      </c>
      <c r="F403" s="10" t="inlineStr">
        <is>
          <t>http://npkmedex.ru</t>
        </is>
      </c>
      <c r="G403" s="1" t="inlineStr">
        <is>
          <t>info@npkmedex.ru</t>
        </is>
      </c>
      <c r="H403" s="1" t="inlineStr">
        <is>
          <t>Научно-производственная компания «Медэкс» занимается разработкой и поставкойдезинфицирующих средств в различные медицинские учреждения, а также производит профессиональную линейку бытовой химии Luir.</t>
        </is>
      </c>
      <c r="I403" s="1" t="inlineStr">
        <is>
          <t>Дезинфицирующие средства и материалы</t>
        </is>
      </c>
      <c r="J403" s="1">
        <f>IFERROR(__xludf.DUMMYFUNCTION("AI(Prompt!$B$6, H448:I448)"),"Производитель")</f>
        <v/>
      </c>
      <c r="K403" s="1">
        <f>IFERROR(__xludf.DUMMYFUNCTION("AI(Prompt!$B$12, H448:J448)"),"OK")</f>
        <v/>
      </c>
      <c r="L403" s="1">
        <f>IFERROR(__xludf.DUMMYFUNCTION("AI(Prompt!$B$17, H448:I448)"),"дезинфицирующие средства и бытовая химия")</f>
        <v/>
      </c>
      <c r="M403" s="1">
        <f>IFERROR(__xludf.DUMMYFUNCTION("AI(Prompt!$B$21,A448)"),"МЕДЭКС НПК")</f>
        <v/>
      </c>
      <c r="N403" s="1" t="inlineStr">
        <is>
          <t>Здравоохранение-2025</t>
        </is>
      </c>
      <c r="O403" s="9" t="inlineStr">
        <is>
          <t>https://icatalog.expocentr.ru/ru/exhibitions/de590dc5-417d-11ee-80ce-a0d3c1fab97f</t>
        </is>
      </c>
    </row>
    <row r="404" ht="16" customHeight="1">
      <c r="A404" s="1" t="inlineStr">
        <is>
          <t>ВОЛГАМЕД, ООО</t>
        </is>
      </c>
      <c r="B404" s="1" t="inlineStr">
        <is>
          <t>5C005</t>
        </is>
      </c>
      <c r="C404" s="1" t="inlineStr">
        <is>
          <t>Россия</t>
        </is>
      </c>
      <c r="D404" s="1" t="inlineStr">
        <is>
          <t>Чебоксары</t>
        </is>
      </c>
      <c r="E404" s="1" t="inlineStr">
        <is>
          <t>Россия, 428033, Чувашская Республика, г. Чебоксары, ул. Урукова, д. 7</t>
        </is>
      </c>
      <c r="F404" s="10" t="inlineStr">
        <is>
          <t>http://www.volgamedrf.ru</t>
        </is>
      </c>
      <c r="G404" s="1" t="inlineStr">
        <is>
          <t>ooo.volgamed@gmail.com</t>
        </is>
      </c>
      <c r="H404" s="1" t="inlineStr">
        <is>
          <t>ООО «ВолгаМед» — эксклюзивный дистрибьютор компании Med Tip (Турция). Представляет на российском рынке газовые стерилизаторы ZEOSS — оборудование для низкотемпературной стерилизации этиленоксидом.</t>
        </is>
      </c>
      <c r="I404" s="1" t="inlineStr">
        <is>
          <t>Оборудование для стерилизации; Средства химической дезинфекции и стерилизации; Производство медицинских изделий; Стерилизаторы; Инструменты и принадлежности для эндоскопии; Принадлежности для хирургических аппаратов</t>
        </is>
      </c>
      <c r="J404" s="1">
        <f>IFERROR(__xludf.DUMMYFUNCTION("AI(Prompt!$B$6, H449:I449)"),"Дилер")</f>
        <v/>
      </c>
      <c r="K404" s="1">
        <f>IFERROR(__xludf.DUMMYFUNCTION("AI(Prompt!$B$12, H449:J449)"),"OK")</f>
        <v/>
      </c>
      <c r="L404" s="1">
        <f>IFERROR(__xludf.DUMMYFUNCTION("AI(Prompt!$B$17, H449:I449)"),"стерилизаторы, средства дезинфекции и принадлежности для аппаратов")</f>
        <v/>
      </c>
      <c r="M404" s="1">
        <f>IFERROR(__xludf.DUMMYFUNCTION("AI(Prompt!$B$21,A449)"),"Волгамед")</f>
        <v/>
      </c>
      <c r="N404" s="1" t="inlineStr">
        <is>
          <t>Здравоохранение-2025</t>
        </is>
      </c>
      <c r="O404" s="9" t="inlineStr">
        <is>
          <t>https://icatalog.expocentr.ru/ru/exhibitions/de590dc5-417d-11ee-80ce-a0d3c1fab97f</t>
        </is>
      </c>
    </row>
    <row r="405" ht="16" customHeight="1">
      <c r="A405" s="1" t="inlineStr">
        <is>
          <t>МЕДИАНА-ФИЛЬТР НПК, АО</t>
        </is>
      </c>
      <c r="B405" s="1" t="inlineStr">
        <is>
          <t>5C045</t>
        </is>
      </c>
      <c r="C405" s="1" t="inlineStr">
        <is>
          <t>Россия</t>
        </is>
      </c>
      <c r="D405" s="1" t="inlineStr">
        <is>
          <t>Москва</t>
        </is>
      </c>
      <c r="E405" s="1" t="inlineStr">
        <is>
          <t>Россия, 105318, г. Москва, вн. тер. г. м. о. Соколиная Гора, ул. Ткацкая, д. 1, этаж 9, пом. XVIII, комн. 31</t>
        </is>
      </c>
      <c r="F405" s="10" t="inlineStr">
        <is>
          <t>http://www.mediana-filter.ru</t>
        </is>
      </c>
      <c r="G405" s="1" t="inlineStr">
        <is>
          <t>info@mediana-filter.ru</t>
        </is>
      </c>
      <c r="H405" s="1" t="inlineStr">
        <is>
          <t>АО «НПК МЕДИАНА-ФИЛЬТР» — ведущий производитель систем очистки воды для аптек, стерилизационных, эндоскопических, дезинфекционных отделений, для медицинских лабораторий, отделений гемодиализа.</t>
        </is>
      </c>
      <c r="I405" s="1" t="inlineStr">
        <is>
          <t>Чистые помещения; Поставка медицинского оборудования и расходных материалов; Прочие изделия для лабораторий; Оборудование и расходные материалы для проведения гемосорбции, гемодиализа и плазмофереза</t>
        </is>
      </c>
      <c r="J405" s="1">
        <f>IFERROR(__xludf.DUMMYFUNCTION("AI(Prompt!$B$6, H450:I450)"),"Производитель")</f>
        <v/>
      </c>
      <c r="K405" s="1">
        <f>IFERROR(__xludf.DUMMYFUNCTION("AI(Prompt!$B$12, H450:J450)"),"OK")</f>
        <v/>
      </c>
      <c r="L405" s="1">
        <f>IFERROR(__xludf.DUMMYFUNCTION("AI(Prompt!$B$17, H450:I450)"),"системы очистки воды, медицинское оборудование, расходные материалы и изделия для лабораторий")</f>
        <v/>
      </c>
      <c r="M405" s="1">
        <f>IFERROR(__xludf.DUMMYFUNCTION("AI(Prompt!$B$21,A450)"),"Медиана-Фильтр НПК")</f>
        <v/>
      </c>
      <c r="N405" s="1" t="inlineStr">
        <is>
          <t>Здравоохранение-2025</t>
        </is>
      </c>
      <c r="O405" s="9" t="inlineStr">
        <is>
          <t>https://icatalog.expocentr.ru/ru/exhibitions/de590dc5-417d-11ee-80ce-a0d3c1fab97f</t>
        </is>
      </c>
    </row>
    <row r="406" ht="16" customHeight="1">
      <c r="A406" s="1" t="inlineStr">
        <is>
          <t>СИСТЕМЫ ПОДДЕРЖАНИЯ СТЕРИЛЬНОСТИ (СПДС), ООО</t>
        </is>
      </c>
      <c r="B406" s="1" t="inlineStr">
        <is>
          <t>5B075</t>
        </is>
      </c>
      <c r="C406" s="1" t="inlineStr">
        <is>
          <t>Россия</t>
        </is>
      </c>
      <c r="D406" s="1" t="inlineStr">
        <is>
          <t>Ярославль</t>
        </is>
      </c>
      <c r="E406" s="1" t="inlineStr">
        <is>
          <t>Россия, 150067, г. Ярославль, ул. Университетская, д. 21</t>
        </is>
      </c>
      <c r="F406" s="10" t="inlineStr">
        <is>
          <t>http://www.sterilnost.ru</t>
        </is>
      </c>
      <c r="G406" s="1" t="inlineStr">
        <is>
          <t>spds@sterilnost.ru</t>
        </is>
      </c>
      <c r="H406" s="1" t="inlineStr">
        <is>
          <t>ООО «СПДС» производит специализированное медицинское оборудование. За 20 лет компания зарекомендовала себя надежным производителем на российском и международном рынках. Все изделия зарегистрированы.</t>
        </is>
      </c>
      <c r="I406" s="1" t="inlineStr">
        <is>
          <t>Оборудование и средства борьбы с внутрибольничной инфекцией; Оборудование для дезинфекции; Производство медицинских изделий; Оборудование для электротерапии; Эндоскопические комплексы и системы; Инструменты и принадлежности для эндоскопии</t>
        </is>
      </c>
      <c r="J406" s="1">
        <f>IFERROR(__xludf.DUMMYFUNCTION("AI(Prompt!$B$6, H451:I451)"),"Производитель")</f>
        <v/>
      </c>
      <c r="K406" s="1">
        <f>IFERROR(__xludf.DUMMYFUNCTION("AI(Prompt!$B$12, H451:J451)"),"OK")</f>
        <v/>
      </c>
      <c r="L406" s="1">
        <f>IFERROR(__xludf.DUMMYFUNCTION("AI(Prompt!$B$17, H451:I451)"),"медицинское оборудование, инструменты, эндоскопические комплексы и системы")</f>
        <v/>
      </c>
      <c r="M406" s="1">
        <f>IFERROR(__xludf.DUMMYFUNCTION("AI(Prompt!$B$21,A451)"),"СПДС")</f>
        <v/>
      </c>
      <c r="N406" s="1" t="inlineStr">
        <is>
          <t>Здравоохранение-2025</t>
        </is>
      </c>
      <c r="O406" s="9" t="inlineStr">
        <is>
          <t>https://icatalog.expocentr.ru/ru/exhibitions/de590dc5-417d-11ee-80ce-a0d3c1fab97f</t>
        </is>
      </c>
    </row>
    <row r="407" ht="16" customHeight="1">
      <c r="A407" s="1" t="inlineStr">
        <is>
          <t>БАНДЕК — МЕДИЦИНСКИЕ СИСТЕМЫ, ООО</t>
        </is>
      </c>
      <c r="B407" s="1" t="inlineStr">
        <is>
          <t>5D090</t>
        </is>
      </c>
      <c r="C407" s="1" t="inlineStr">
        <is>
          <t>Россия</t>
        </is>
      </c>
      <c r="D407" s="1" t="inlineStr">
        <is>
          <t>Москва</t>
        </is>
      </c>
      <c r="E407" s="1" t="inlineStr">
        <is>
          <t>Россия, 108811, г. Москва, 22-й км (Киевское ш.), д. 4, стр. 2, корп. В, этаж 7, оф. 714В</t>
        </is>
      </c>
      <c r="F407" s="10" t="inlineStr">
        <is>
          <t>http://www.bandeq.ru</t>
        </is>
      </c>
      <c r="G407" s="1" t="inlineStr">
        <is>
          <t>info@bandeq.ru</t>
        </is>
      </c>
      <c r="H407" s="1" t="inlineStr">
        <is>
          <t>Компания «Бандек — Медицинские Системы» уже более 20 лет является одним из признанных лидеров в области поставок оборудования для автоматизированной дезинфекции, сушки и хранения гибких эндоскопов.Правообладатель торговой марки BANDEQ в России. С 2015 года – российский производитель высокотехнологичного медицинского оборудования "Устройство автоматизированной сушки и хранения гибких эндоскопов «ЭНДОКАБ».</t>
        </is>
      </c>
      <c r="I407" s="1" t="inlineStr">
        <is>
          <t>Оборудование и средства борьбы с внутрибольничной инфекцией; Оборудование для дезинфекции; Расходные материалы для медицинского оборудования; Производство медицинских изделий; Эндоскопы гибкие; Инструменты и принадлежности для эндоскопии</t>
        </is>
      </c>
      <c r="J407" s="1">
        <f>IFERROR(__xludf.DUMMYFUNCTION("AI(Prompt!$B$6, H452:I452)"),"Производитель")</f>
        <v/>
      </c>
      <c r="K407" s="1">
        <f>IFERROR(__xludf.DUMMYFUNCTION("AI(Prompt!$B$12, H452:J452)"),"OK")</f>
        <v/>
      </c>
      <c r="L407" s="1">
        <f>IFERROR(__xludf.DUMMYFUNCTION("AI(Prompt!$B$17, H452:I452)"),"оборудование, эндоскопы, расходные материалы и инструменты")</f>
        <v/>
      </c>
      <c r="M407" s="1">
        <f>IFERROR(__xludf.DUMMYFUNCTION("AI(Prompt!$B$21,A452)"),"Бандек Медицинские Системы")</f>
        <v/>
      </c>
      <c r="N407" s="1" t="inlineStr">
        <is>
          <t>Здравоохранение-2025</t>
        </is>
      </c>
      <c r="O407" s="9" t="inlineStr">
        <is>
          <t>https://icatalog.expocentr.ru/ru/exhibitions/de590dc5-417d-11ee-80ce-a0d3c1fab97f</t>
        </is>
      </c>
    </row>
    <row r="408" ht="16" customHeight="1">
      <c r="A408" s="1" t="inlineStr">
        <is>
          <t>Д-МИКРО, ООО</t>
        </is>
      </c>
      <c r="B408" s="1" t="inlineStr">
        <is>
          <t>5B140</t>
        </is>
      </c>
      <c r="C408" s="1" t="inlineStr">
        <is>
          <t>Россия</t>
        </is>
      </c>
      <c r="D408" s="1" t="inlineStr">
        <is>
          <t>Химки</t>
        </is>
      </c>
      <c r="E408" s="1" t="inlineStr">
        <is>
          <t>Россия, 141402, Московская обл., г. Химки, ул. Ленинградская, д. 1, корп. Д, оф. 312</t>
        </is>
      </c>
      <c r="F408" s="10" t="inlineStr">
        <is>
          <t>http://www.dmicro.ru</t>
        </is>
      </c>
      <c r="G408" s="1" t="inlineStr">
        <is>
          <t>info@dmicro.ru</t>
        </is>
      </c>
      <c r="H408" s="1" t="inlineStr">
        <is>
          <t>Компания «Д-микро» специализируется на подборе и поставках микроскопов, систем визуализации, измерительного оборудования. Производим ремонт и сервисное обслуживание, модернизацию микроскопов.</t>
        </is>
      </c>
      <c r="I408" s="1" t="inlineStr">
        <is>
          <t>Стоматологическое оборудование и инструменты; Производство медицинских изделий; Лабораторное оборудование</t>
        </is>
      </c>
      <c r="J408" s="1">
        <f>IFERROR(__xludf.DUMMYFUNCTION("AI(Prompt!$B$6, H453:I453)"),"Производитель")</f>
        <v/>
      </c>
      <c r="K408" s="1">
        <f>IFERROR(__xludf.DUMMYFUNCTION("AI(Prompt!$B$12, H453:J453)"),"OK")</f>
        <v/>
      </c>
      <c r="L408" s="1">
        <f>IFERROR(__xludf.DUMMYFUNCTION("AI(Prompt!$B$17, H453:I453)"),"микроскопы, оборудование и инструменты")</f>
        <v/>
      </c>
      <c r="M408" s="1">
        <f>IFERROR(__xludf.DUMMYFUNCTION("AI(Prompt!$B$21,A453)"),"Д-Микро")</f>
        <v/>
      </c>
      <c r="N408" s="1" t="inlineStr">
        <is>
          <t>Здравоохранение-2025</t>
        </is>
      </c>
      <c r="O408" s="9" t="inlineStr">
        <is>
          <t>https://icatalog.expocentr.ru/ru/exhibitions/de590dc5-417d-11ee-80ce-a0d3c1fab97f</t>
        </is>
      </c>
    </row>
    <row r="409" ht="16" customHeight="1">
      <c r="A409" s="1" t="inlineStr">
        <is>
          <t>АЛДЕЗ, ООО</t>
        </is>
      </c>
      <c r="B409" s="1" t="inlineStr">
        <is>
          <t>5B145</t>
        </is>
      </c>
      <c r="C409" s="1" t="inlineStr">
        <is>
          <t>Россия</t>
        </is>
      </c>
      <c r="D409" s="1" t="inlineStr">
        <is>
          <t>Москва</t>
        </is>
      </c>
      <c r="E409" s="1" t="inlineStr">
        <is>
          <t>Россия, 115035, г. Москва, вн. тер. г. м. о. Замоскворечье, Космодамианская наб., д. 4/22, корп. Б, этаж 1, пом. VIII, комн. 2, оф. 204</t>
        </is>
      </c>
      <c r="F409" s="10" t="inlineStr">
        <is>
          <t>http://www.aldez.ru</t>
        </is>
      </c>
      <c r="G409" s="1" t="inlineStr">
        <is>
          <t>info@aldez.ru</t>
        </is>
      </c>
      <c r="H409" s="1" t="inlineStr">
        <is>
          <t>Разработка, производство, реализация дезинфицирующих средств, бытовой химии. Бренды «АБСОЛЮЦИД», «АБСОЛЮСЕПТ», «АБСОЛЮСЕЙФ». Контрактное производство дезинфицирующей и косметической продукции.</t>
        </is>
      </c>
      <c r="I409" s="1" t="inlineStr">
        <is>
          <t>Средства химической дезинфекции и стерилизации; Дезинфицирующие средства и материалы</t>
        </is>
      </c>
      <c r="J409" s="1">
        <f>IFERROR(__xludf.DUMMYFUNCTION("AI(Prompt!$B$6, H454:I454)"),"Производитель")</f>
        <v/>
      </c>
      <c r="K409" s="1">
        <f>IFERROR(__xludf.DUMMYFUNCTION("AI(Prompt!$B$12, H454:J454)"),"OK")</f>
        <v/>
      </c>
      <c r="L409" s="1">
        <f>IFERROR(__xludf.DUMMYFUNCTION("AI(Prompt!$B$17, H454:I454)"),"дезинфицирующие средства, бытовая химия и косметическая продукция")</f>
        <v/>
      </c>
      <c r="M409" s="1">
        <f>IFERROR(__xludf.DUMMYFUNCTION("AI(Prompt!$B$21,A454)"),"Алдез")</f>
        <v/>
      </c>
      <c r="N409" s="1" t="inlineStr">
        <is>
          <t>Здравоохранение-2025</t>
        </is>
      </c>
      <c r="O409" s="9" t="inlineStr">
        <is>
          <t>https://icatalog.expocentr.ru/ru/exhibitions/de590dc5-417d-11ee-80ce-a0d3c1fab97f</t>
        </is>
      </c>
    </row>
    <row r="410" ht="16" customHeight="1">
      <c r="A410" s="1" t="inlineStr">
        <is>
          <t>ТЕРРАМЕД, КОМПАНИЯ</t>
        </is>
      </c>
      <c r="B410" s="1" t="inlineStr">
        <is>
          <t>5B090</t>
        </is>
      </c>
      <c r="C410" s="1" t="inlineStr">
        <is>
          <t>Россия</t>
        </is>
      </c>
      <c r="D410" s="1" t="inlineStr">
        <is>
          <t>Химки</t>
        </is>
      </c>
      <c r="E410" s="1" t="inlineStr">
        <is>
          <t>Россия, 141401, Московская обл., г. Химки, ул. Московская, д. 14, пом. 001</t>
        </is>
      </c>
      <c r="F410" s="10" t="inlineStr">
        <is>
          <t>https://terramed.pro</t>
        </is>
      </c>
      <c r="G410" s="1" t="inlineStr">
        <is>
          <t>info@medterra.ru</t>
        </is>
      </c>
      <c r="H410" s="1" t="inlineStr">
        <is>
          <t>Компания «ТерраМед» является передовой в Российской Федерации компанией в сфере контроля дезинфекционно-стерилизационных мероприятий.Наши разработки (индикаторы контроля стерилизации, упаковочный материал, биологические индикаторы) имеют многопрофильную направленность, мы производим изделия медицинского назначения,которые находят успешное применение не только в лечебно-профилактических организациях,но и в стоматологических кабинетах, салонах красоты, лабораториях и ветеринарных клиниках.</t>
        </is>
      </c>
      <c r="I410" s="1" t="inlineStr">
        <is>
          <t>Системы утилизации отходов; Оборудование для дезинфекции; Оборудование для стерилизации; Средства контроля стерилизации; Средства химической дезинфекции и стерилизации; Стерилизаторы</t>
        </is>
      </c>
      <c r="J410" s="1">
        <f>IFERROR(__xludf.DUMMYFUNCTION("AI(Prompt!$B$6, H455:I455)"),"Производитель")</f>
        <v/>
      </c>
      <c r="K410" s="1">
        <f>IFERROR(__xludf.DUMMYFUNCTION("AI(Prompt!$B$12, H455:J455)"),"OK")</f>
        <v/>
      </c>
      <c r="L410" s="1">
        <f>IFERROR(__xludf.DUMMYFUNCTION("AI(Prompt!$B$17, H455:I455)"),"индикаторы, упаковочные материалы и оборудование")</f>
        <v/>
      </c>
      <c r="M410" s="1">
        <f>IFERROR(__xludf.DUMMYFUNCTION("AI(Prompt!$B$21,A455)"),"Террамед")</f>
        <v/>
      </c>
      <c r="N410" s="1" t="inlineStr">
        <is>
          <t>Здравоохранение-2025</t>
        </is>
      </c>
      <c r="O410" s="9" t="inlineStr">
        <is>
          <t>https://icatalog.expocentr.ru/ru/exhibitions/de590dc5-417d-11ee-80ce-a0d3c1fab97f</t>
        </is>
      </c>
    </row>
    <row r="411" ht="16" customHeight="1">
      <c r="A411" s="1" t="inlineStr">
        <is>
          <t>МЕДИКОН НПФ, ООО</t>
        </is>
      </c>
      <c r="B411" s="1" t="inlineStr">
        <is>
          <t>5B070</t>
        </is>
      </c>
      <c r="C411" s="1" t="inlineStr">
        <is>
          <t>Россия</t>
        </is>
      </c>
      <c r="D411" s="1" t="inlineStr">
        <is>
          <t>Казань</t>
        </is>
      </c>
      <c r="E411" s="1" t="inlineStr">
        <is>
          <t>Россия, 420037, Республика Татарстан, г. Казань, ул. Симонова, д. 14/41, пом. 3Н</t>
        </is>
      </c>
      <c r="F411" s="10" t="inlineStr">
        <is>
          <t>http://www.ooomedikon.ru</t>
        </is>
      </c>
      <c r="G411" s="1" t="inlineStr">
        <is>
          <t>medikon@bk.ru</t>
        </is>
      </c>
      <c r="H411" s="1" t="inlineStr">
        <is>
          <t>Основной сферой деятельности компании является изготовление медицинских инструментов из нержавеющей стали для дезинфекции и стерилизации.</t>
        </is>
      </c>
      <c r="I411" s="1" t="inlineStr">
        <is>
          <t>Оборудование для дезинфекции; Оборудование для стерилизации; Средства химической дезинфекции и стерилизации; Медицинская упаковка; Производство медицинских изделий</t>
        </is>
      </c>
      <c r="J411" s="1">
        <f>IFERROR(__xludf.DUMMYFUNCTION("AI(Prompt!$B$6, H456:I456)"),"Производитель")</f>
        <v/>
      </c>
      <c r="K411" s="1">
        <f>IFERROR(__xludf.DUMMYFUNCTION("AI(Prompt!$B$12, H456:J456)"),"OK")</f>
        <v/>
      </c>
      <c r="L411" s="1">
        <f>IFERROR(__xludf.DUMMYFUNCTION("AI(Prompt!$B$17, H456:I456)"),"медицинские инструменты, оборудование для дезинфекции и стерилизации, медицинская упаковка")</f>
        <v/>
      </c>
      <c r="M411" s="1">
        <f>IFERROR(__xludf.DUMMYFUNCTION("AI(Prompt!$B$21,A456)"),"Медикон НПФ")</f>
        <v/>
      </c>
      <c r="N411" s="1" t="inlineStr">
        <is>
          <t>Здравоохранение-2025</t>
        </is>
      </c>
      <c r="O411" s="9" t="inlineStr">
        <is>
          <t>https://icatalog.expocentr.ru/ru/exhibitions/de590dc5-417d-11ee-80ce-a0d3c1fab97f</t>
        </is>
      </c>
    </row>
    <row r="412" ht="16" customHeight="1">
      <c r="A412" s="1" t="inlineStr">
        <is>
          <t>ТЕСТ МИ, ООО</t>
        </is>
      </c>
      <c r="B412" s="1" t="inlineStr">
        <is>
          <t>5B138</t>
        </is>
      </c>
      <c r="C412" s="1" t="inlineStr">
        <is>
          <t>Россия</t>
        </is>
      </c>
      <c r="D412" s="1" t="inlineStr">
        <is>
          <t>Москва</t>
        </is>
      </c>
      <c r="E412" s="1" t="inlineStr">
        <is>
          <t>Россия, 124498, г. Москва, г. Зеленоград, 4922-й пр-д, д. 4, стр. 5, этаж 4, комн. 48</t>
        </is>
      </c>
      <c r="F412" s="10" t="inlineStr">
        <is>
          <t>http://www.test-me.co</t>
        </is>
      </c>
      <c r="G412" s="1" t="inlineStr">
        <is>
          <t>info@test-me.co</t>
        </is>
      </c>
      <c r="H412" s="1" t="inlineStr">
        <is>
          <t>Испытательная лаборатория ООО «Тест МИ» специализируется на проведении испытаний медицинских изделий и изделий для in vitro-диагностики. Отдельным направлением деятельности является проведение вебинаров на различные темы: проведения испытаний на ЭМС, электробезопасность, клинических испытаний, обзор новых правил регистрации по ПП 1684 и т. д. Ссылки на вебинары публикуются в тг-канале (введите в поисковой строке в тг «Тест МИ»). Уникальный номер записи RA.RU21OC32 в реестре ФСА. Аккредитована в Фонде «Сколково».</t>
        </is>
      </c>
      <c r="I412" s="1" t="inlineStr">
        <is>
          <t>Испытательные лаборатории, органы по сертификации, метрологические центры; Производство медицинских изделий; Лабораторное оборудование; Реагенты и расходные материалы для лабораторной диагностики; Генетика и молекулярная генетика; ПЦР-диагностика</t>
        </is>
      </c>
      <c r="J412" s="1">
        <f>IFERROR(__xludf.DUMMYFUNCTION("AI(Prompt!$B$6, H457:I457)"),"Производитель")</f>
        <v/>
      </c>
      <c r="K412" s="14" t="inlineStr">
        <is>
          <t>OK</t>
        </is>
      </c>
      <c r="L412" s="1">
        <f>IFERROR(__xludf.DUMMYFUNCTION("AI(Prompt!$B$17, H457:I457)"),"лабораторное оборудование, реагенты и расходные материалы")</f>
        <v/>
      </c>
      <c r="M412" s="1">
        <f>IFERROR(__xludf.DUMMYFUNCTION("AI(Prompt!$B$21,A457)"),"Тест Ми")</f>
        <v/>
      </c>
      <c r="N412" s="1" t="inlineStr">
        <is>
          <t>Здравоохранение-2025</t>
        </is>
      </c>
      <c r="O412" s="9" t="inlineStr">
        <is>
          <t>https://icatalog.expocentr.ru/ru/exhibitions/de590dc5-417d-11ee-80ce-a0d3c1fab97f</t>
        </is>
      </c>
    </row>
    <row r="413" ht="16" customHeight="1">
      <c r="A413" s="1" t="inlineStr">
        <is>
          <t>САМАРСКИЙ ЗАВОД ПОЛИМЕРНЫХ ИЗДЕЛИЙ, ООО</t>
        </is>
      </c>
      <c r="B413" s="1" t="inlineStr">
        <is>
          <t>5A094</t>
        </is>
      </c>
      <c r="C413" s="1" t="inlineStr">
        <is>
          <t>Россия</t>
        </is>
      </c>
      <c r="D413" s="1" t="inlineStr">
        <is>
          <t>Самара</t>
        </is>
      </c>
      <c r="E413" s="1" t="inlineStr">
        <is>
          <t>Россия, 443017, г. Самара, ул. 5-й поселок Киркомбината, д. 12, корп. 3</t>
        </is>
      </c>
      <c r="F413" s="10" t="inlineStr">
        <is>
          <t>http://www.medutil.ru</t>
        </is>
      </c>
      <c r="G413" s="1" t="inlineStr">
        <is>
          <t>office@medutil.ru</t>
        </is>
      </c>
      <c r="H413" s="1" t="inlineStr">
        <is>
          <t>Производство и поставка расходных материалов для безопасного сбора и утилизации медицинских отходов. Делаем мир чище и безопаснее.</t>
        </is>
      </c>
      <c r="I413" s="1" t="inlineStr">
        <is>
          <t>Системы утилизации отходов; Оборудование для дезинфекции; Средства химической дезинфекции и стерилизации; Медицинская упаковка; Одноразовые медицинские изделия прочие; Расходные материалы для медицинского оборудования</t>
        </is>
      </c>
      <c r="J413" s="1">
        <f>IFERROR(__xludf.DUMMYFUNCTION("AI(Prompt!$B$6, H458:I458)"),"Производитель")</f>
        <v/>
      </c>
      <c r="K413" s="1">
        <f>IFERROR(__xludf.DUMMYFUNCTION("AI(Prompt!$B$12, H458:J458)"),"OK")</f>
        <v/>
      </c>
      <c r="L413" s="1">
        <f>IFERROR(__xludf.DUMMYFUNCTION("AI(Prompt!$B$17, H458:I458)"),"расходные материалы, системы утилизации, оборудование для дезинфекции и медицинские изделия")</f>
        <v/>
      </c>
      <c r="M413" s="1">
        <f>IFERROR(__xludf.DUMMYFUNCTION("AI(Prompt!$B$21,A458)"),"Самарский Завод Полимерных Изделий")</f>
        <v/>
      </c>
      <c r="N413" s="1" t="inlineStr">
        <is>
          <t>Здравоохранение-2025</t>
        </is>
      </c>
      <c r="O413" s="9" t="inlineStr">
        <is>
          <t>https://icatalog.expocentr.ru/ru/exhibitions/de590dc5-417d-11ee-80ce-a0d3c1fab97f</t>
        </is>
      </c>
    </row>
    <row r="414" hidden="1" ht="16" customHeight="1">
      <c r="A414" s="1" t="inlineStr">
        <is>
          <t>САНИТАРНАЯ ОБОРОНА, ЗАО</t>
        </is>
      </c>
      <c r="B414" s="1" t="inlineStr">
        <is>
          <t>5B105</t>
        </is>
      </c>
      <c r="C414" s="1" t="inlineStr">
        <is>
          <t>Республика Беларусь</t>
        </is>
      </c>
      <c r="E414" s="1" t="inlineStr">
        <is>
          <t>Республика Беларусь, 223017, Минский р-н, Новодворский с/с, д. 77, агрогородок Гатово</t>
        </is>
      </c>
      <c r="F414" s="10" t="inlineStr">
        <is>
          <t>http://sanoborona.by</t>
        </is>
      </c>
      <c r="G414" s="1" t="inlineStr">
        <is>
          <t>info@sanoborona.by</t>
        </is>
      </c>
      <c r="H414" s="1" t="inlineStr">
        <is>
          <t>Белорусский производитель профессиональных дезинфицирующих, антисептических, моющих и чистящих средств. Продукция имеет высокую эффективность, экологичность и идеальное соотношение цены и качества.</t>
        </is>
      </c>
      <c r="I414" s="1" t="inlineStr">
        <is>
          <t>Оборудование и средства борьбы с внутрибольничной инфекцией; Оборудование для стерилизации; Средства химической дезинфекции и стерилизации; Средства для чистки и детергенты; Дезинфицирующие средства и материалы</t>
        </is>
      </c>
      <c r="J414" s="1">
        <f>IFERROR(__xludf.DUMMYFUNCTION("AI(Prompt!$B$6, H459:I459)"),"Производитель")</f>
        <v/>
      </c>
      <c r="K414" s="1">
        <f>IFERROR(__xludf.DUMMYFUNCTION("AI(Prompt!$B$12, H459:J459)"),"OK")</f>
        <v/>
      </c>
      <c r="L414" s="1">
        <f>IFERROR(__xludf.DUMMYFUNCTION("AI(Prompt!$B$17, H459:I459)"),"дезинфицирующие средства, антисептики, моющие и чистящие средства, оборудование для стерилизации")</f>
        <v/>
      </c>
      <c r="M414" s="1">
        <f>IFERROR(__xludf.DUMMYFUNCTION("AI(Prompt!$B$21,A459)"),"Санитарная Оборона")</f>
        <v/>
      </c>
      <c r="N414" s="1" t="inlineStr">
        <is>
          <t>Здравоохранение-2025</t>
        </is>
      </c>
      <c r="O414" s="9" t="inlineStr">
        <is>
          <t>https://icatalog.expocentr.ru/ru/exhibitions/de590dc5-417d-11ee-80ce-a0d3c1fab97f</t>
        </is>
      </c>
    </row>
    <row r="415" ht="16" customHeight="1">
      <c r="A415" s="1" t="inlineStr">
        <is>
          <t>АЭРОЛАЙФ</t>
        </is>
      </c>
      <c r="B415" s="1" t="inlineStr">
        <is>
          <t>5C100</t>
        </is>
      </c>
      <c r="C415" s="1" t="inlineStr">
        <is>
          <t>Россия</t>
        </is>
      </c>
      <c r="D415" s="1" t="inlineStr">
        <is>
          <t>Москва</t>
        </is>
      </c>
      <c r="E415" s="1" t="inlineStr">
        <is>
          <t>Россия, 119607, г. Москва, Раменский б-р, д. 1</t>
        </is>
      </c>
      <c r="F415" s="10" t="inlineStr">
        <is>
          <t>http://airlife.ru</t>
        </is>
      </c>
      <c r="G415" s="1" t="inlineStr">
        <is>
          <t>info@airlife.ru</t>
        </is>
      </c>
      <c r="H415" s="1" t="inlineStr">
        <is>
          <t>Разработка и производство систем очистки и обеззараживания воздуха в медицинских помещениях всех классов чистоты. Фильтрация аэрозолей, инактивация микроорганизмов, обеззараживание воздуха.</t>
        </is>
      </c>
      <c r="I415" s="1" t="inlineStr">
        <is>
          <t>Прочее общебольничное оборудование; Оборудование и средства борьбы с внутрибольничной инфекцией; Оборудование для дезинфекции; Оборудование для стерилизации; Чистые помещения</t>
        </is>
      </c>
      <c r="J415" s="1">
        <f>IFERROR(__xludf.DUMMYFUNCTION("AI(Prompt!$B$6, H460:I460)"),"Производитель")</f>
        <v/>
      </c>
      <c r="K415" s="1">
        <f>IFERROR(__xludf.DUMMYFUNCTION("AI(Prompt!$B$12, H460:J460)"),"OK")</f>
        <v/>
      </c>
      <c r="L415" s="1">
        <f>IFERROR(__xludf.DUMMYFUNCTION("AI(Prompt!$B$17, H460:I460)"),"системы очистки и оборудование")</f>
        <v/>
      </c>
      <c r="M415" s="1">
        <f>IFERROR(__xludf.DUMMYFUNCTION("AI(Prompt!$B$21,A460)"),"Аэролайф")</f>
        <v/>
      </c>
      <c r="N415" s="1" t="inlineStr">
        <is>
          <t>Здравоохранение-2025</t>
        </is>
      </c>
      <c r="O415" s="9" t="inlineStr">
        <is>
          <t>https://icatalog.expocentr.ru/ru/exhibitions/de590dc5-417d-11ee-80ce-a0d3c1fab97f</t>
        </is>
      </c>
    </row>
    <row r="416" ht="16" customHeight="1">
      <c r="A416" s="1" t="inlineStr">
        <is>
          <t>СТЕРИПРО, ООО</t>
        </is>
      </c>
      <c r="B416" s="1" t="inlineStr">
        <is>
          <t>5C035</t>
        </is>
      </c>
      <c r="C416" s="1" t="inlineStr">
        <is>
          <t>Россия</t>
        </is>
      </c>
      <c r="D416" s="1" t="inlineStr">
        <is>
          <t>Москва</t>
        </is>
      </c>
      <c r="E416" s="1" t="inlineStr">
        <is>
          <t>Россия, 117246, г. Москва, Научный пр-д, д. 10, пом. 3, комн. 312</t>
        </is>
      </c>
      <c r="F416" s="10" t="inlineStr">
        <is>
          <t>http://steri-pro.ru</t>
        </is>
      </c>
      <c r="G416" s="1" t="inlineStr">
        <is>
          <t>info@steri-pro.ru</t>
        </is>
      </c>
      <c r="H416" s="1" t="inlineStr">
        <is>
          <t>ООО «СтериПро» специализируется на производстве газовых этиленоксидных стерилизаторов, картриджей с оксидом этилена под маркой ETO-Gas, а также индикаторов контроля качества стерилизации.</t>
        </is>
      </c>
      <c r="I416" s="1" t="inlineStr">
        <is>
          <t>Оборудование для стерилизации; Средства контроля стерилизации</t>
        </is>
      </c>
      <c r="J416" s="1">
        <f>IFERROR(__xludf.DUMMYFUNCTION("AI(Prompt!$B$6, H461:I461)"),"Производитель")</f>
        <v/>
      </c>
      <c r="K416" s="1">
        <f>IFERROR(__xludf.DUMMYFUNCTION("AI(Prompt!$B$12, H461:J461)"),"OK")</f>
        <v/>
      </c>
      <c r="L416" s="1">
        <f>IFERROR(__xludf.DUMMYFUNCTION("AI(Prompt!$B$17, H461:I461)"),"стерилизаторы, картриджи и индикаторы")</f>
        <v/>
      </c>
      <c r="M416" s="1">
        <f>IFERROR(__xludf.DUMMYFUNCTION("AI(Prompt!$B$21,A461)"),"Стерипро")</f>
        <v/>
      </c>
      <c r="N416" s="1" t="inlineStr">
        <is>
          <t>Здравоохранение-2025</t>
        </is>
      </c>
      <c r="O416" s="9" t="inlineStr">
        <is>
          <t>https://icatalog.expocentr.ru/ru/exhibitions/de590dc5-417d-11ee-80ce-a0d3c1fab97f</t>
        </is>
      </c>
    </row>
    <row r="417" ht="16" customHeight="1">
      <c r="A417" s="1" t="inlineStr">
        <is>
          <t>КРОНТ-М, АО</t>
        </is>
      </c>
      <c r="B417" s="11" t="n">
        <v>50000000000</v>
      </c>
      <c r="C417" s="1" t="inlineStr">
        <is>
          <t>Россия</t>
        </is>
      </c>
      <c r="D417" s="1" t="inlineStr">
        <is>
          <t>Химки</t>
        </is>
      </c>
      <c r="E417" s="1" t="inlineStr">
        <is>
          <t>Россия, 141402, Московская обл., г. Химки, ул. Спартаковская, д. 9, пом. 1</t>
        </is>
      </c>
      <c r="F417" s="10" t="inlineStr">
        <is>
          <t>http://www.kront.com</t>
        </is>
      </c>
      <c r="G417" s="1" t="inlineStr">
        <is>
          <t>info@kront.com</t>
        </is>
      </c>
      <c r="H417" s="1" t="inlineStr">
        <is>
          <t>АО «КРОНТ-М» является ведущим производителем медицинских изделий в России, более 30 лет на рынке. Производим ультрафиолетовые облучатели-рециркуляторы серии «ДЕЗАР». Преимущества — качество и надежность.</t>
        </is>
      </c>
      <c r="I417" s="1" t="inlineStr">
        <is>
          <t>Средства перевозки (перемещения) пациентов, оборудования и материалов; Прочее общебольничное оборудование; Оборудование и средства борьбы с внутрибольничной инфекцией; Оборудование для дезинфекции; Производство медицинских изделий; Эндоскопические комплексы и системы</t>
        </is>
      </c>
      <c r="J417" s="1">
        <f>IFERROR(__xludf.DUMMYFUNCTION("AI(Prompt!$B$6, H462:I462)"),"Производитель")</f>
        <v/>
      </c>
      <c r="K417" s="1">
        <f>IFERROR(__xludf.DUMMYFUNCTION("AI(Prompt!$B$12, H462:J462)"),"OK")</f>
        <v/>
      </c>
      <c r="L417" s="1">
        <f>IFERROR(__xludf.DUMMYFUNCTION("AI(Prompt!$B$17, H462:I462)"),"медицинские изделия и облучатели")</f>
        <v/>
      </c>
      <c r="M417" s="1">
        <f>IFERROR(__xludf.DUMMYFUNCTION("AI(Prompt!$B$21,A462)"),"КРОНТ-М")</f>
        <v/>
      </c>
      <c r="N417" s="1" t="inlineStr">
        <is>
          <t>Здравоохранение-2025</t>
        </is>
      </c>
      <c r="O417" s="9" t="inlineStr">
        <is>
          <t>https://icatalog.expocentr.ru/ru/exhibitions/de590dc5-417d-11ee-80ce-a0d3c1fab97f</t>
        </is>
      </c>
    </row>
    <row r="418" ht="16" customHeight="1">
      <c r="A418" s="1" t="inlineStr">
        <is>
          <t>ЕВРОТАЙП РУС, ООО</t>
        </is>
      </c>
      <c r="B418" s="1" t="inlineStr">
        <is>
          <t>5C090</t>
        </is>
      </c>
      <c r="C418" s="1" t="inlineStr">
        <is>
          <t>Россия</t>
        </is>
      </c>
      <c r="D418" s="1" t="inlineStr">
        <is>
          <t>Москва</t>
        </is>
      </c>
      <c r="E418" s="1" t="inlineStr">
        <is>
          <t>Россия, 119334, г. Москва, вн. тер. г. м. о. Донской, 5-й Донской пр-д, д. 17, пом. 3/4</t>
        </is>
      </c>
      <c r="F418" s="10" t="inlineStr">
        <is>
          <t>http://www.eurotype.biz</t>
        </is>
      </c>
      <c r="G418" s="1" t="inlineStr">
        <is>
          <t>danilova@eurotype.biz</t>
        </is>
      </c>
      <c r="H418" s="1" t="inlineStr">
        <is>
          <t>Компания «ЕвроТайп Рус» является производителем и поставщиком расходных материалов медицинского назначения. Рулоны, пакеты для паровой, газовой, плазменной стерилизации и многое другое.</t>
        </is>
      </c>
      <c r="I418" s="1" t="inlineStr">
        <is>
          <t>Расходные материалы для медицинского оборудования</t>
        </is>
      </c>
      <c r="J418" s="1">
        <f>IFERROR(__xludf.DUMMYFUNCTION("AI(Prompt!$B$6, H463:I463)"),"Производитель")</f>
        <v/>
      </c>
      <c r="K418" s="1">
        <f>IFERROR(__xludf.DUMMYFUNCTION("AI(Prompt!$B$12, H463:J463)"),"OK")</f>
        <v/>
      </c>
      <c r="L418" s="1">
        <f>IFERROR(__xludf.DUMMYFUNCTION("AI(Prompt!$B$17, H463:I463)"),"расходные материалы, рулоны и пакеты")</f>
        <v/>
      </c>
      <c r="M418" s="1">
        <f>IFERROR(__xludf.DUMMYFUNCTION("AI(Prompt!$B$21,A463)"),"Евротайп Рус")</f>
        <v/>
      </c>
      <c r="N418" s="1" t="inlineStr">
        <is>
          <t>Здравоохранение-2025</t>
        </is>
      </c>
      <c r="O418" s="9" t="inlineStr">
        <is>
          <t>https://icatalog.expocentr.ru/ru/exhibitions/de590dc5-417d-11ee-80ce-a0d3c1fab97f</t>
        </is>
      </c>
    </row>
    <row r="419" ht="16" customHeight="1">
      <c r="A419" s="1" t="inlineStr">
        <is>
          <t>САРАЯ СНГ, ООО</t>
        </is>
      </c>
      <c r="B419" s="1" t="inlineStr">
        <is>
          <t>5D040</t>
        </is>
      </c>
      <c r="C419" s="1" t="inlineStr">
        <is>
          <t>Россия</t>
        </is>
      </c>
      <c r="D419" s="1" t="inlineStr">
        <is>
          <t>Москва</t>
        </is>
      </c>
      <c r="E419" s="1" t="inlineStr">
        <is>
          <t>Россия, 115054, г. Москва, ул. Зацепа, д. 28, стр. 1</t>
        </is>
      </c>
      <c r="F419" s="10" t="inlineStr">
        <is>
          <t>http://www.saraya-cis.ru</t>
        </is>
      </c>
      <c r="G419" s="1" t="inlineStr">
        <is>
          <t>dernovaya@saraya-cis.ru</t>
        </is>
      </c>
      <c r="H419" s="1" t="inlineStr">
        <is>
          <t>Антисептики, дезинфицирующие салфетки, мыло, сенсорные дозаторы, СИЗ и многое другое — на стенде компании Saraya.</t>
        </is>
      </c>
      <c r="I419" s="1" t="inlineStr">
        <is>
          <t>Оборудование и средства борьбы с внутрибольничной инфекцией; Оборудование для дезинфекции; Средства химической дезинфекции и стерилизации; Дезинфицирующие средства и материалы; Гигиенические изделия для больниц</t>
        </is>
      </c>
      <c r="J419" s="1">
        <f>IFERROR(__xludf.DUMMYFUNCTION("AI(Prompt!$B$6, H464:I464)"),"Производитель")</f>
        <v/>
      </c>
      <c r="K419" s="1">
        <f>IFERROR(__xludf.DUMMYFUNCTION("AI(Prompt!$B$12, H464:J464)"),"OK")</f>
        <v/>
      </c>
      <c r="L419" s="1">
        <f>IFERROR(__xludf.DUMMYFUNCTION("AI(Prompt!$B$17, H464:I464)"),"антисептики, салфетки, мыло, дозаторы и СИЗ")</f>
        <v/>
      </c>
      <c r="M419" s="1">
        <f>IFERROR(__xludf.DUMMYFUNCTION("AI(Prompt!$B$21,A464)"),"Сарая СНГ")</f>
        <v/>
      </c>
      <c r="N419" s="1" t="inlineStr">
        <is>
          <t>Здравоохранение-2025</t>
        </is>
      </c>
      <c r="O419" s="9" t="inlineStr">
        <is>
          <t>https://icatalog.expocentr.ru/ru/exhibitions/de590dc5-417d-11ee-80ce-a0d3c1fab97f</t>
        </is>
      </c>
    </row>
    <row r="420" ht="16" customHeight="1">
      <c r="A420" s="1" t="inlineStr">
        <is>
          <t>СМОЛЕНСКИЙ ЗАВОД МОРОЗИЛЬНИКОВ, ООО</t>
        </is>
      </c>
      <c r="B420" s="1" t="inlineStr">
        <is>
          <t>5A092</t>
        </is>
      </c>
      <c r="C420" s="1" t="inlineStr">
        <is>
          <t>Россия</t>
        </is>
      </c>
      <c r="D420" s="1" t="inlineStr">
        <is>
          <t>Смоленск</t>
        </is>
      </c>
      <c r="E420" s="1" t="inlineStr">
        <is>
          <t>Россия, 214000, г. Смоленск, ул. Докучаева, д. 11а, оф. А</t>
        </is>
      </c>
      <c r="F420" s="10" t="inlineStr">
        <is>
          <t>http://www.sfcrus.com</t>
        </is>
      </c>
      <c r="G420" s="1" t="inlineStr">
        <is>
          <t>cp@ctsrus.com</t>
        </is>
      </c>
      <c r="H420" s="1" t="inlineStr">
        <is>
          <t>Смоленский завод морозильников – российский производитель низкотемпературных иультранизкотемпературных устройств для лабораторий, медучреждений и промышленности.</t>
        </is>
      </c>
      <c r="I420" s="1" t="inlineStr">
        <is>
          <t>Прочее общебольничное оборудование; Аренда (лизинг) медицинского оборудования; Производство медицинских изделий; Лабораторное оборудование; Холодильники; ПЦР-диагностика</t>
        </is>
      </c>
      <c r="J420" s="1">
        <f>IFERROR(__xludf.DUMMYFUNCTION("AI(Prompt!$B$6, H465:I465)"),"Производитель")</f>
        <v/>
      </c>
      <c r="K420" s="1">
        <f>IFERROR(__xludf.DUMMYFUNCTION("AI(Prompt!$B$12, H465:J465)"),"OK")</f>
        <v/>
      </c>
      <c r="L420" s="1">
        <f>IFERROR(__xludf.DUMMYFUNCTION("AI(Prompt!$B$17, H465:I465)"),"морозильники, холодильники, оборудование")</f>
        <v/>
      </c>
      <c r="M420" s="1">
        <f>IFERROR(__xludf.DUMMYFUNCTION("AI(Prompt!$B$21,A465)"),"Смоленский Завод Морозильников")</f>
        <v/>
      </c>
      <c r="N420" s="1" t="inlineStr">
        <is>
          <t>Здравоохранение-2025</t>
        </is>
      </c>
      <c r="O420" s="9" t="inlineStr">
        <is>
          <t>https://icatalog.expocentr.ru/ru/exhibitions/de590dc5-417d-11ee-80ce-a0d3c1fab97f</t>
        </is>
      </c>
    </row>
    <row r="421" ht="16" customHeight="1">
      <c r="A421" s="1" t="inlineStr">
        <is>
          <t>ЛАБОРАТОРНЫЕ РЕШЕНИЯ, ООО</t>
        </is>
      </c>
      <c r="B421" s="1" t="inlineStr">
        <is>
          <t>5C020</t>
        </is>
      </c>
      <c r="C421" s="1" t="inlineStr">
        <is>
          <t>Россия</t>
        </is>
      </c>
      <c r="D421" s="1" t="inlineStr">
        <is>
          <t>Барнаул</t>
        </is>
      </c>
      <c r="E421" s="1" t="inlineStr">
        <is>
          <t>Россия, 656037, Алтайский край, г. Барнаул, просп. Калинина, зд. 116/43</t>
        </is>
      </c>
      <c r="F421" s="1" t="inlineStr">
        <is>
          <t>http://www.лаб-решение.рф</t>
        </is>
      </c>
      <c r="G421" s="1" t="inlineStr">
        <is>
          <t>sales@lab-solution.ru</t>
        </is>
      </c>
      <c r="H421" s="1" t="inlineStr">
        <is>
          <t>Современные технологии в области гемостазиологии, широкая линейка приборов и наборов, а также сервис на высоком уровне. Миссия компании — оснащение лабораторий гемостаза любого уровня под ключ.</t>
        </is>
      </c>
      <c r="I421" s="1" t="inlineStr">
        <is>
          <t>Лабораторное оборудование; Анализаторы; Реагенты и расходные материалы для лабораторной диагностики; Гематология</t>
        </is>
      </c>
      <c r="J421" s="1">
        <f>IFERROR(__xludf.DUMMYFUNCTION("AI(Prompt!$B$6, H466:I466)"),"Поставщик услуг")</f>
        <v/>
      </c>
      <c r="K421" s="1">
        <f>IFERROR(__xludf.DUMMYFUNCTION("AI(Prompt!$B$12, H466:J466)"),"OK")</f>
        <v/>
      </c>
      <c r="L421" s="1">
        <f>IFERROR(__xludf.DUMMYFUNCTION("AI(Prompt!$B$17, H466:I466)"),"приборы, анализаторы, реагенты и материалы")</f>
        <v/>
      </c>
      <c r="M421" s="1">
        <f>IFERROR(__xludf.DUMMYFUNCTION("AI(Prompt!$B$21,A466)"),"Лабораторные Решения")</f>
        <v/>
      </c>
      <c r="N421" s="1" t="inlineStr">
        <is>
          <t>Здравоохранение-2025</t>
        </is>
      </c>
      <c r="O421" s="9" t="inlineStr">
        <is>
          <t>https://icatalog.expocentr.ru/ru/exhibitions/de590dc5-417d-11ee-80ce-a0d3c1fab97f</t>
        </is>
      </c>
    </row>
    <row r="422" ht="16" customHeight="1">
      <c r="A422" s="1" t="inlineStr">
        <is>
          <t>МЕДИТЕК ЗНАМЯ ТРУДА, АО</t>
        </is>
      </c>
      <c r="B422" s="1" t="inlineStr">
        <is>
          <t>5C110</t>
        </is>
      </c>
      <c r="C422" s="1" t="inlineStr">
        <is>
          <t>Россия</t>
        </is>
      </c>
      <c r="D422" s="1" t="inlineStr">
        <is>
          <t>Санкт-Петербург</t>
        </is>
      </c>
      <c r="E422" s="1" t="inlineStr">
        <is>
          <t>Россия, 195027, г. Санкт-Петербург, ул. Магнитогорская, д. 11, литера А</t>
        </is>
      </c>
      <c r="F422" s="10" t="inlineStr">
        <is>
          <t>http://www.mediteczt.ru</t>
        </is>
      </c>
      <c r="G422" s="1" t="inlineStr">
        <is>
          <t>info@mediteczt.ru</t>
        </is>
      </c>
      <c r="H422" s="1" t="inlineStr">
        <is>
          <t>Мы разрабатываем, патентуем и производим изделия медицинского назначения(оборудование и расходные материалы).Эксклюзивный импортер изделий для биопсии (Италия).</t>
        </is>
      </c>
      <c r="I422" s="1" t="inlineStr">
        <is>
          <t>Оборудование для стерилизации; Перевязочные средства; Расходные материалы для медицинских приборов; Инструменты и принадлежности для инъекций  и взятия крови</t>
        </is>
      </c>
      <c r="J422" s="1">
        <f>IFERROR(__xludf.DUMMYFUNCTION("AI(Prompt!$B$6, H467:I467)"),"Производитель")</f>
        <v/>
      </c>
      <c r="K422" s="1">
        <f>IFERROR(__xludf.DUMMYFUNCTION("AI(Prompt!$B$12, H467:J467)"),"OK")</f>
        <v/>
      </c>
      <c r="L422" s="1">
        <f>IFERROR(__xludf.DUMMYFUNCTION("AI(Prompt!$B$17, H467:I467)"),"оборудование, расходные материалы, перевязочные средства и инструменты")</f>
        <v/>
      </c>
      <c r="M422" s="1">
        <f>IFERROR(__xludf.DUMMYFUNCTION("AI(Prompt!$B$21,A467)"),"Медитек Знамя Труда")</f>
        <v/>
      </c>
      <c r="N422" s="1" t="inlineStr">
        <is>
          <t>Здравоохранение-2025</t>
        </is>
      </c>
      <c r="O422" s="9" t="inlineStr">
        <is>
          <t>https://icatalog.expocentr.ru/ru/exhibitions/de590dc5-417d-11ee-80ce-a0d3c1fab97f</t>
        </is>
      </c>
    </row>
    <row r="423" ht="16" customHeight="1">
      <c r="A423" s="1" t="inlineStr">
        <is>
          <t>ПРИНТ ПОЛИМЕР ПЭКЭДЖИНГ, ООО</t>
        </is>
      </c>
      <c r="B423" s="1" t="inlineStr">
        <is>
          <t>5B120</t>
        </is>
      </c>
      <c r="C423" s="1" t="inlineStr">
        <is>
          <t>Россия</t>
        </is>
      </c>
      <c r="D423" s="1" t="inlineStr">
        <is>
          <t>Воронеж</t>
        </is>
      </c>
      <c r="E423" s="1" t="inlineStr">
        <is>
          <t>Россия, 394040, г. Воронеж, ул. Латненская, д. 3а</t>
        </is>
      </c>
      <c r="F423" s="10" t="inlineStr">
        <is>
          <t>https://don-polymer.ru</t>
        </is>
      </c>
      <c r="G423" s="1" t="inlineStr">
        <is>
          <t>zakaz@don-polymer.ru</t>
        </is>
      </c>
      <c r="H423" s="1" t="inlineStr">
        <is>
          <t>Единственный производитель автоматизированных термобахил из пленки ПВХ в России и продажа аппаратов для их надевания.</t>
        </is>
      </c>
      <c r="I423" s="1" t="inlineStr">
        <is>
          <t>Оборудование для дезинфекции</t>
        </is>
      </c>
      <c r="J423" s="1">
        <f>IFERROR(__xludf.DUMMYFUNCTION("AI(Prompt!$B$6, H468:I468)"),"Производитель")</f>
        <v/>
      </c>
      <c r="K423" s="1">
        <f>IFERROR(__xludf.DUMMYFUNCTION("AI(Prompt!$B$12, H468:J468)"),"OK")</f>
        <v/>
      </c>
      <c r="L423" s="1">
        <f>IFERROR(__xludf.DUMMYFUNCTION("AI(Prompt!$B$17, H468:I468)"),"термобахилы и аппараты")</f>
        <v/>
      </c>
      <c r="M423" s="1">
        <f>IFERROR(__xludf.DUMMYFUNCTION("AI(Prompt!$B$21,A468)"),"Принт Полимер Пэкэджинг")</f>
        <v/>
      </c>
      <c r="N423" s="1" t="inlineStr">
        <is>
          <t>Здравоохранение-2025</t>
        </is>
      </c>
      <c r="O423" s="9" t="inlineStr">
        <is>
          <t>https://icatalog.expocentr.ru/ru/exhibitions/de590dc5-417d-11ee-80ce-a0d3c1fab97f</t>
        </is>
      </c>
    </row>
    <row r="424" hidden="1" ht="16" customHeight="1">
      <c r="A424" s="1" t="inlineStr">
        <is>
          <t>ЛИТОПЛАСТ-МЕД, УП</t>
        </is>
      </c>
      <c r="B424" s="1" t="inlineStr">
        <is>
          <t>5C130</t>
        </is>
      </c>
      <c r="C424" s="1" t="inlineStr">
        <is>
          <t>Республика Беларусь</t>
        </is>
      </c>
      <c r="D424" s="1" t="inlineStr">
        <is>
          <t>Заславль</t>
        </is>
      </c>
      <c r="E424" s="1" t="inlineStr">
        <is>
          <t>Республика Беларусь, 223034, Минская обл., г. Заславль, ул. Путейко, д. 31, корп. 7</t>
        </is>
      </c>
      <c r="F424" s="10" t="inlineStr">
        <is>
          <t>http://www.litoplast.by</t>
        </is>
      </c>
      <c r="G424" s="1" t="inlineStr">
        <is>
          <t>med@litoplast.by</t>
        </is>
      </c>
      <c r="H424" s="1" t="inlineStr">
        <is>
          <t>Белорусский производитель изделий медицинского назначения из пластмассы высочайшего качества. Продукция отлично зарекомендовала себя в лабораториях и медицинских учреждениях Беларуси и стран СНГ.</t>
        </is>
      </c>
      <c r="I424" s="1" t="inlineStr">
        <is>
          <t>Инструменты гинекологические; Оборудование для дезинфекции; Расходные материалы для медицинских приборов; Одноразовые медицинские изделия прочие; Расходные материалы для медицинского оборудования; Производство медицинских изделий</t>
        </is>
      </c>
      <c r="J424" s="1">
        <f>IFERROR(__xludf.DUMMYFUNCTION("AI(Prompt!$B$6, H469:I469)"),"Производитель")</f>
        <v/>
      </c>
      <c r="K424" s="1">
        <f>IFERROR(__xludf.DUMMYFUNCTION("AI(Prompt!$B$12, H469:J469)"),"OK")</f>
        <v/>
      </c>
      <c r="L424" s="1">
        <f>IFERROR(__xludf.DUMMYFUNCTION("AI(Prompt!$B$17, H469:I469)"),"изделия медицинского назначения, инструменты гинекологические, расходные материалы и одноразовые изделия")</f>
        <v/>
      </c>
      <c r="M424" s="1">
        <f>IFERROR(__xludf.DUMMYFUNCTION("AI(Prompt!$B$21,A469)"),"Литопласт-Мед")</f>
        <v/>
      </c>
      <c r="N424" s="1" t="inlineStr">
        <is>
          <t>Здравоохранение-2025</t>
        </is>
      </c>
      <c r="O424" s="9" t="inlineStr">
        <is>
          <t>https://icatalog.expocentr.ru/ru/exhibitions/de590dc5-417d-11ee-80ce-a0d3c1fab97f</t>
        </is>
      </c>
    </row>
    <row r="425" hidden="1" ht="16" customHeight="1">
      <c r="A425" s="1" t="inlineStr">
        <is>
          <t>МИНИСТЕРСТВО ОБРАЗОВАНИЯ РЕСПУБЛИКИ БЕЛАРУСЬ</t>
        </is>
      </c>
      <c r="B425" s="1" t="inlineStr">
        <is>
          <t>5A010</t>
        </is>
      </c>
      <c r="C425" s="1" t="inlineStr">
        <is>
          <t>Республика Беларусь</t>
        </is>
      </c>
      <c r="D425" s="1" t="inlineStr">
        <is>
          <t>Минск</t>
        </is>
      </c>
      <c r="E425" s="1" t="inlineStr">
        <is>
          <t>Республика Беларусь, 220010, г. Минск, ул. Советская, д. 9</t>
        </is>
      </c>
      <c r="F425" s="10" t="inlineStr">
        <is>
          <t>http://www.edu.gov.by</t>
        </is>
      </c>
      <c r="G425" s="1" t="inlineStr">
        <is>
          <t>root@edu.gov.by</t>
        </is>
      </c>
      <c r="H425" s="1" t="inlineStr">
        <is>
          <t>Представляет новые перспективные разработки белорусских университетов в области медицины.</t>
        </is>
      </c>
      <c r="I425" s="1" t="inlineStr">
        <is>
          <t>Пульмонологические мониторные системы; Производство медицинских изделий; Ортопедия и травматология; Лабораторное оборудование; Онкология; Аппараты и материалы для сердечно-сосудистой хирургии; Ортопедическое оборудование и инструменты; Эндопротезы и имплантаты</t>
        </is>
      </c>
      <c r="J425" s="1">
        <f>IFERROR(__xludf.DUMMYFUNCTION("AI(Prompt!$B$6, H470:I470)"),"Производитель")</f>
        <v/>
      </c>
      <c r="K425" s="1">
        <f>IFERROR(__xludf.DUMMYFUNCTION("AI(Prompt!$B$12, H470:J470)"),"OK")</f>
        <v/>
      </c>
      <c r="L425" s="1">
        <f>IFERROR(__xludf.DUMMYFUNCTION("AI(Prompt!$B$17, H470:I470)"),"медицинские изделия, эндопротезы, имплантаты и оборудование")</f>
        <v/>
      </c>
      <c r="M425" s="1">
        <f>IFERROR(__xludf.DUMMYFUNCTION("AI(Prompt!$B$21,A470)"),"Министерство Образования")</f>
        <v/>
      </c>
      <c r="N425" s="1" t="inlineStr">
        <is>
          <t>Здравоохранение-2025</t>
        </is>
      </c>
      <c r="O425" s="9" t="inlineStr">
        <is>
          <t>https://icatalog.expocentr.ru/ru/exhibitions/de590dc5-417d-11ee-80ce-a0d3c1fab97f</t>
        </is>
      </c>
    </row>
    <row r="426" ht="16" customHeight="1">
      <c r="A426" s="1" t="inlineStr">
        <is>
          <t>ТИОН</t>
        </is>
      </c>
      <c r="B426" s="1" t="inlineStr">
        <is>
          <t>5D060</t>
        </is>
      </c>
      <c r="C426" s="1" t="inlineStr">
        <is>
          <t>Россия</t>
        </is>
      </c>
      <c r="D426" s="1" t="inlineStr">
        <is>
          <t>Бердск</t>
        </is>
      </c>
      <c r="E426" s="1" t="inlineStr">
        <is>
          <t>Россия, 633009, Новосибирская обл., г. Бердск, ул. Зеленая Роща, д. 7/1</t>
        </is>
      </c>
      <c r="F426" s="10" t="inlineStr">
        <is>
          <t>https://pro.tion.ru</t>
        </is>
      </c>
      <c r="G426" s="1" t="inlineStr">
        <is>
          <t>info@tion.info</t>
        </is>
      </c>
      <c r="H426" s="1" t="inlineStr">
        <is>
          <t>ГК «ТИОН» обеспечивает полный цикл создания профессионального оборудования для умной и энергоэффективной вентиляции, очистки и обеззараживания воздуха, а также инжиниринга комплексов чистых помещений.</t>
        </is>
      </c>
      <c r="I426" s="1" t="inlineStr">
        <is>
          <t>Оборудование и средства борьбы с внутрибольничной инфекцией; Чистые помещения; Проектирование и оснащение медицинских учреждений под ключ; Медицинский инжиниринг; Поставка медицинского оборудования и расходных материалов; Производство медицинских изделий</t>
        </is>
      </c>
      <c r="J426" s="1">
        <f>IFERROR(__xludf.DUMMYFUNCTION("AI(Prompt!$B$6, H471:I471)"),"Производитель")</f>
        <v/>
      </c>
      <c r="K426" s="1">
        <f>IFERROR(__xludf.DUMMYFUNCTION("AI(Prompt!$B$12, H471:J471)"),"OK")</f>
        <v/>
      </c>
      <c r="L426" s="1">
        <f>IFERROR(__xludf.DUMMYFUNCTION("AI(Prompt!$B$17, H471:I471)"),"оборудование, изделия и материалы")</f>
        <v/>
      </c>
      <c r="M426" s="1">
        <f>IFERROR(__xludf.DUMMYFUNCTION("AI(Prompt!$B$21,A471)"),"Тион")</f>
        <v/>
      </c>
      <c r="N426" s="1" t="inlineStr">
        <is>
          <t>Здравоохранение-2025</t>
        </is>
      </c>
      <c r="O426" s="9" t="inlineStr">
        <is>
          <t>https://icatalog.expocentr.ru/ru/exhibitions/de590dc5-417d-11ee-80ce-a0d3c1fab97f</t>
        </is>
      </c>
    </row>
    <row r="427" ht="16" customHeight="1">
      <c r="A427" s="1" t="inlineStr">
        <is>
          <t>КОМПАНИЯ СТЛ, ООО</t>
        </is>
      </c>
      <c r="B427" s="1" t="inlineStr">
        <is>
          <t>5B001</t>
        </is>
      </c>
      <c r="C427" s="1" t="inlineStr">
        <is>
          <t>Россия</t>
        </is>
      </c>
      <c r="D427" s="1" t="inlineStr">
        <is>
          <t>Москва</t>
        </is>
      </c>
      <c r="E427" s="1" t="inlineStr">
        <is>
          <t>Россия, 109387, г. Москва, ул. Люблинская, д. 42, оф. 229</t>
        </is>
      </c>
      <c r="F427" s="10" t="inlineStr">
        <is>
          <t>http://www.stl-comp.ru</t>
        </is>
      </c>
      <c r="G427" s="1" t="inlineStr">
        <is>
          <t>info@stl-comp.ru</t>
        </is>
      </c>
      <c r="H427" s="1" t="inlineStr">
        <is>
          <t>Компания «СТЛ» является поставщиком медицинского оборудования, направленного на профилактику и лечение заболеваний опорно-двигательного аппарата, нервной системы, реабилитации после операций.</t>
        </is>
      </c>
      <c r="I427" s="1" t="inlineStr">
        <is>
          <t>Физиотерапия и реабилитация; Оборудование для магнитотерапии; Оборудование для комбинированной физиотерапии; Оборудование для радиоволновой и ультразвуковой терапии; Оборудование для эстетической медицины; Медицинские изделия для домашнего применения</t>
        </is>
      </c>
      <c r="J427" s="1">
        <f>IFERROR(__xludf.DUMMYFUNCTION("AI(Prompt!$B$6, H472:I472)"),"Дилер")</f>
        <v/>
      </c>
      <c r="K427" s="1">
        <f>IFERROR(__xludf.DUMMYFUNCTION("AI(Prompt!$B$12, H472:J472)"),"OK")</f>
        <v/>
      </c>
      <c r="L427" s="1">
        <f>IFERROR(__xludf.DUMMYFUNCTION("AI(Prompt!$B$17, H472:I472)"),"медицинское оборудование, изделия для домашнего применения")</f>
        <v/>
      </c>
      <c r="M427" s="1">
        <f>IFERROR(__xludf.DUMMYFUNCTION("AI(Prompt!$B$21,A472)"),"Компания СТЛ")</f>
        <v/>
      </c>
      <c r="N427" s="1" t="inlineStr">
        <is>
          <t>Здравоохранение-2025</t>
        </is>
      </c>
      <c r="O427" s="9" t="inlineStr">
        <is>
          <t>https://icatalog.expocentr.ru/ru/exhibitions/de590dc5-417d-11ee-80ce-a0d3c1fab97f</t>
        </is>
      </c>
    </row>
    <row r="428" ht="16" customHeight="1">
      <c r="A428" s="1" t="inlineStr">
        <is>
          <t>ДЭЛЕКСА, ООО</t>
        </is>
      </c>
      <c r="B428" s="1" t="inlineStr">
        <is>
          <t>5B098</t>
        </is>
      </c>
      <c r="C428" s="1" t="inlineStr">
        <is>
          <t>Россия</t>
        </is>
      </c>
      <c r="E428" s="1" t="inlineStr">
        <is>
          <t>Россия, 453010, Республика Башкортостан, Кармаскалинский р-н, дер. Улукулево, ул. Ленина, д. 7</t>
        </is>
      </c>
      <c r="F428" s="10" t="inlineStr">
        <is>
          <t>https://deleksa.ru</t>
        </is>
      </c>
      <c r="G428" s="1" t="inlineStr">
        <is>
          <t>daleksa-ufa@mail.ru</t>
        </is>
      </c>
      <c r="H428" s="1" t="inlineStr">
        <is>
          <t>ООО «ДЭЛЕКСА» — российский производитель дезинфицирующих и моющих средств, на рынке с 2011 года. Более 30 продуктов, собственная база, лаборатория и современное производство. Работаем по всей России.</t>
        </is>
      </c>
      <c r="I428" s="1" t="inlineStr">
        <is>
          <t>Средства контроля стерилизации; Средства химической дезинфекции и стерилизации; Дезинфицирующие средства и материалы</t>
        </is>
      </c>
      <c r="J428" s="1">
        <f>IFERROR(__xludf.DUMMYFUNCTION("AI(Prompt!$B$6, H473:I473)"),"Производитель")</f>
        <v/>
      </c>
      <c r="K428" s="1">
        <f>IFERROR(__xludf.DUMMYFUNCTION("AI(Prompt!$B$12, H473:J473)"),"OK")</f>
        <v/>
      </c>
      <c r="L428" s="1">
        <f>IFERROR(__xludf.DUMMYFUNCTION("AI(Prompt!$B$17, H473:I473)"),"дезинфицирующие средства, моющие средства и средства контроля стерилизации")</f>
        <v/>
      </c>
      <c r="M428" s="1">
        <f>IFERROR(__xludf.DUMMYFUNCTION("AI(Prompt!$B$21,A473)"),"Дэлекса")</f>
        <v/>
      </c>
      <c r="N428" s="1" t="inlineStr">
        <is>
          <t>Здравоохранение-2025</t>
        </is>
      </c>
      <c r="O428" s="9" t="inlineStr">
        <is>
          <t>https://icatalog.expocentr.ru/ru/exhibitions/de590dc5-417d-11ee-80ce-a0d3c1fab97f</t>
        </is>
      </c>
    </row>
    <row r="429" ht="16" customHeight="1">
      <c r="A429" s="1" t="inlineStr">
        <is>
          <t>ХИМЛАБ, ООО</t>
        </is>
      </c>
      <c r="B429" s="1" t="inlineStr">
        <is>
          <t>5A020</t>
        </is>
      </c>
      <c r="C429" s="1" t="inlineStr">
        <is>
          <t>Россия</t>
        </is>
      </c>
      <c r="D429" s="1" t="inlineStr">
        <is>
          <t>Санкт-Петербург</t>
        </is>
      </c>
      <c r="E429" s="1" t="inlineStr">
        <is>
          <t>Россия, 190020, г. Санкт-Петербург, ул. Бумажная, д. 17, литера А, пом. 215</t>
        </is>
      </c>
      <c r="F429" s="10" t="inlineStr">
        <is>
          <t>http://www.sterius.ru</t>
        </is>
      </c>
      <c r="G429" s="1" t="inlineStr">
        <is>
          <t>sterius@mail.ru</t>
        </is>
      </c>
      <c r="H429" s="1" t="inlineStr">
        <is>
          <t>Российский производитель оборудования для обеззараживания медицинских отходов классов Б и В — микроволновых установок «Стериус», пресс-деструктора и измельчителя медицинских отходов «Бобёр».</t>
        </is>
      </c>
      <c r="I429" s="1" t="inlineStr">
        <is>
          <t>Оборудование и средства борьбы с внутрибольничной инфекцией; Оборудование для дезинфекции</t>
        </is>
      </c>
      <c r="J429" s="1">
        <f>IFERROR(__xludf.DUMMYFUNCTION("AI(Prompt!$B$6, H474:I474)"),"Производитель")</f>
        <v/>
      </c>
      <c r="K429" s="1">
        <f>IFERROR(__xludf.DUMMYFUNCTION("AI(Prompt!$B$12, H474:J474)"),"OK")</f>
        <v/>
      </c>
      <c r="L429" s="1">
        <f>IFERROR(__xludf.DUMMYFUNCTION("AI(Prompt!$B$17, H474:I474)"),"оборудование для обеззараживания, пресс-деструкторы и измельчители")</f>
        <v/>
      </c>
      <c r="M429" s="1">
        <f>IFERROR(__xludf.DUMMYFUNCTION("AI(Prompt!$B$21,A474)"),"Химлаб")</f>
        <v/>
      </c>
      <c r="N429" s="1" t="inlineStr">
        <is>
          <t>Здравоохранение-2025</t>
        </is>
      </c>
      <c r="O429" s="9" t="inlineStr">
        <is>
          <t>https://icatalog.expocentr.ru/ru/exhibitions/de590dc5-417d-11ee-80ce-a0d3c1fab97f</t>
        </is>
      </c>
    </row>
    <row r="430" ht="16" customHeight="1">
      <c r="A430" s="1" t="inlineStr">
        <is>
          <t>ЛИТ НПО, ООО</t>
        </is>
      </c>
      <c r="B430" s="1" t="inlineStr">
        <is>
          <t>5B065</t>
        </is>
      </c>
      <c r="C430" s="1" t="inlineStr">
        <is>
          <t>Россия</t>
        </is>
      </c>
      <c r="D430" s="1" t="inlineStr">
        <is>
          <t>Москва</t>
        </is>
      </c>
      <c r="E430" s="1" t="inlineStr">
        <is>
          <t>Россия, 129090, г. Москва, Протопоповский пер., д. 25, корп. Б, этаж 4, пом. I, комн. 30</t>
        </is>
      </c>
      <c r="F430" s="10" t="inlineStr">
        <is>
          <t>https://www.lit-uv.ru</t>
        </is>
      </c>
      <c r="G430" s="1" t="inlineStr">
        <is>
          <t>lit@lit-uv.ru</t>
        </is>
      </c>
      <c r="H430" s="1" t="inlineStr">
        <is>
          <t>НПО «ЛИТ» разрабатывает и производит медицинское УФ-оборудование и является одной из ведущих компаний на российском и мировом рынке систем УФ-обеззараживания.</t>
        </is>
      </c>
      <c r="I430" s="1" t="inlineStr">
        <is>
          <t>Оборудование и средства борьбы с внутрибольничной инфекцией; Оборудование для дезинфекции; Чистые помещения; Проектирование, производство, монтаж, валидация чистых операционных и реанимационных; Проектирование и оснащение медицинских учреждений под ключ; Оборудование для медицинских газов</t>
        </is>
      </c>
      <c r="J430" s="1">
        <f>IFERROR(__xludf.DUMMYFUNCTION("AI(Prompt!$B$6, H475:I475)"),"Производитель")</f>
        <v/>
      </c>
      <c r="K430" s="1">
        <f>IFERROR(__xludf.DUMMYFUNCTION("AI(Prompt!$B$12, H475:J475)"),"OK")</f>
        <v/>
      </c>
      <c r="L430" s="1">
        <f>IFERROR(__xludf.DUMMYFUNCTION("AI(Prompt!$B$17, H475:I475)"),"УФ-оборудование, средства борьбы с инфекцией и оборудование для газов")</f>
        <v/>
      </c>
      <c r="M430" s="1">
        <f>IFERROR(__xludf.DUMMYFUNCTION("AI(Prompt!$B$21,A475)"),"Лит НПО")</f>
        <v/>
      </c>
      <c r="N430" s="1" t="inlineStr">
        <is>
          <t>Здравоохранение-2025</t>
        </is>
      </c>
      <c r="O430" s="9" t="inlineStr">
        <is>
          <t>https://icatalog.expocentr.ru/ru/exhibitions/de590dc5-417d-11ee-80ce-a0d3c1fab97f</t>
        </is>
      </c>
    </row>
    <row r="431" ht="16" customHeight="1">
      <c r="A431" s="1" t="inlineStr">
        <is>
          <t>РИТЕЙЛСНАБ, ООО</t>
        </is>
      </c>
      <c r="B431" s="1" t="inlineStr">
        <is>
          <t>5A014</t>
        </is>
      </c>
      <c r="C431" s="1" t="inlineStr">
        <is>
          <t>Россия</t>
        </is>
      </c>
      <c r="D431" s="1" t="inlineStr">
        <is>
          <t>Красноармейск</t>
        </is>
      </c>
      <c r="E431" s="1" t="inlineStr">
        <is>
          <t>Россия, 141290, Московская обл., г. Красноармейск, г. о. Пушкинский, ул. Чкалова, д. 3</t>
        </is>
      </c>
      <c r="F431" s="10" t="inlineStr">
        <is>
          <t>http://flexfresh.ru</t>
        </is>
      </c>
      <c r="G431" s="1" t="inlineStr">
        <is>
          <t>ma@flexfresh.ru</t>
        </is>
      </c>
      <c r="H431" s="1" t="inlineStr">
        <is>
          <t>«РитейлСнаб» является производителем бытовой химии, дезинфицирующих средств и средств госпитальной гигиены на территории России. Оптовая и розничная продажа моющих и чистящих средств от производителя.</t>
        </is>
      </c>
      <c r="I431" s="1" t="inlineStr">
        <is>
          <t>Средства для чистки и детергенты; Дезинфицирующие средства и материалы; Одноразовые медицинские изделия прочие; Средства личной гигиены; Средства для личной гигиены и ухода</t>
        </is>
      </c>
      <c r="J431" s="1">
        <f>IFERROR(__xludf.DUMMYFUNCTION("AI(Prompt!$B$6, H476:I476)"),"Производитель")</f>
        <v/>
      </c>
      <c r="K431" s="1">
        <f>IFERROR(__xludf.DUMMYFUNCTION("AI(Prompt!$B$12, H476:J476)"),"OK")</f>
        <v/>
      </c>
      <c r="L431" s="1">
        <f>IFERROR(__xludf.DUMMYFUNCTION("AI(Prompt!$B$17, H476:I476)"),"бытовая химия, дезинфицирующие средства, моющие и чистящие средства, и медицинские изделия")</f>
        <v/>
      </c>
      <c r="M431" s="1">
        <f>IFERROR(__xludf.DUMMYFUNCTION("AI(Prompt!$B$21,A476)"),"Ритейлснаб")</f>
        <v/>
      </c>
      <c r="N431" s="1" t="inlineStr">
        <is>
          <t>Здравоохранение-2025</t>
        </is>
      </c>
      <c r="O431" s="9" t="inlineStr">
        <is>
          <t>https://icatalog.expocentr.ru/ru/exhibitions/de590dc5-417d-11ee-80ce-a0d3c1fab97f</t>
        </is>
      </c>
    </row>
    <row r="432" ht="16" customHeight="1">
      <c r="A432" s="1" t="inlineStr">
        <is>
          <t>НАБЛЮДАТЕЛЬНЫЕ ПРИБОРЫ, ООО</t>
        </is>
      </c>
      <c r="B432" s="1" t="inlineStr">
        <is>
          <t>5B085</t>
        </is>
      </c>
      <c r="C432" s="1" t="inlineStr">
        <is>
          <t>Россия</t>
        </is>
      </c>
      <c r="D432" s="1" t="inlineStr">
        <is>
          <t>Санкт-Петербург</t>
        </is>
      </c>
      <c r="E432" s="1" t="inlineStr">
        <is>
          <t>Россия, 194021, г. Санкт-Петербург, вн. тер. г. м. о. Пискарёвка, ул. Новороссийская, д. 53, литера Б, пом. 74</t>
        </is>
      </c>
      <c r="F432" s="10" t="inlineStr">
        <is>
          <t>https://micromed-spb.ru</t>
        </is>
      </c>
      <c r="G432" s="1" t="inlineStr">
        <is>
          <t>info@micromed-spb.ru</t>
        </is>
      </c>
      <c r="H432" s="1" t="inlineStr">
        <is>
          <t>«Микромед» – надежный бренд микроскопов и аксессуаров, на рынке с 2008 г. Микроскопы отвечают всем современным требованиям, сервисный центр имеет лицензию Минздрава. Товары в наличии на складах в Москве и СПб.</t>
        </is>
      </c>
      <c r="I432" s="1" t="inlineStr">
        <is>
          <t>Лабораторное оборудование; Микроскопы</t>
        </is>
      </c>
      <c r="J432" s="1">
        <f>IFERROR(__xludf.DUMMYFUNCTION("AI(Prompt!$B$6, H477:I477)"),"Производитель")</f>
        <v/>
      </c>
      <c r="K432" s="1">
        <f>IFERROR(__xludf.DUMMYFUNCTION("AI(Prompt!$B$12, H477:J477)"),"OK")</f>
        <v/>
      </c>
      <c r="L432" s="1">
        <f>IFERROR(__xludf.DUMMYFUNCTION("AI(Prompt!$B$17, H477:I477)"),"микроскопы и аксессуары")</f>
        <v/>
      </c>
      <c r="M432" s="1">
        <f>IFERROR(__xludf.DUMMYFUNCTION("AI(Prompt!$B$21,A477)"),"Наблюдательные Приборы")</f>
        <v/>
      </c>
      <c r="N432" s="1" t="inlineStr">
        <is>
          <t>Здравоохранение-2025</t>
        </is>
      </c>
      <c r="O432" s="9" t="inlineStr">
        <is>
          <t>https://icatalog.expocentr.ru/ru/exhibitions/de590dc5-417d-11ee-80ce-a0d3c1fab97f</t>
        </is>
      </c>
    </row>
    <row r="433" ht="16" customHeight="1">
      <c r="A433" s="1" t="inlineStr">
        <is>
          <t>ЛКС</t>
        </is>
      </c>
      <c r="B433" s="1" t="inlineStr">
        <is>
          <t>5B134</t>
        </is>
      </c>
      <c r="C433" s="1" t="inlineStr">
        <is>
          <t>Россия</t>
        </is>
      </c>
      <c r="D433" s="1" t="inlineStr">
        <is>
          <t>Москва</t>
        </is>
      </c>
      <c r="E433" s="1" t="inlineStr">
        <is>
          <t>Россия, г. Москва, ул. 1-я Фрезерная, д. 2/1, стр. 41</t>
        </is>
      </c>
      <c r="F433" s="10" t="inlineStr">
        <is>
          <t>http://www.lks.ru</t>
        </is>
      </c>
      <c r="G433" s="1" t="inlineStr">
        <is>
          <t>lks@lks.ru</t>
        </is>
      </c>
      <c r="H433" s="1" t="inlineStr">
        <is>
          <t>Биомедицинские морозильные камеры DAIHAN® (Южная Корея) с РУ (от -95 °C, wi-fi, контроль через приложение для Android и iOs). Лабораторное оборудование и мебель от ведущих мировых производителей. Полное сопровождение сделок по 44-ФЗ, 223-ФЗ, коммерческим закупкам. Поставка, сборка, монтаж, пусконаладка, валидация (IQ/OQ), поддержка и сервис по всей России. Выставочный зал в Москве. Приглашаем дилеров. Работаем с 2001 года.</t>
        </is>
      </c>
      <c r="I433" s="1" t="inlineStr">
        <is>
          <t>Прочее общебольничное оборудование; Холодильники; Лабораторная мебель; Прочие изделия для лабораторий; Оборудование для заготовки и хранения донорской крови и ее компонентов; Оборудование для банков крови</t>
        </is>
      </c>
      <c r="J433" s="1">
        <f>IFERROR(__xludf.DUMMYFUNCTION("AI(Prompt!$B$6, H478:I478)"),"Дилер")</f>
        <v/>
      </c>
      <c r="K433" s="1">
        <f>IFERROR(__xludf.DUMMYFUNCTION("AI(Prompt!$B$12, H478:J478)"),"OK")</f>
        <v/>
      </c>
      <c r="L433" s="1">
        <f>IFERROR(__xludf.DUMMYFUNCTION("AI(Prompt!$B$17, H478:I478)"),"морозильные камеры, оборудование и мебель")</f>
        <v/>
      </c>
      <c r="M433" s="1">
        <f>IFERROR(__xludf.DUMMYFUNCTION("AI(Prompt!$B$21,A478)"),"ЛКС")</f>
        <v/>
      </c>
      <c r="N433" s="1" t="inlineStr">
        <is>
          <t>Здравоохранение-2025</t>
        </is>
      </c>
      <c r="O433" s="9" t="inlineStr">
        <is>
          <t>https://icatalog.expocentr.ru/ru/exhibitions/de590dc5-417d-11ee-80ce-a0d3c1fab97f</t>
        </is>
      </c>
    </row>
    <row r="434" ht="16" customHeight="1">
      <c r="A434" s="1" t="inlineStr">
        <is>
          <t>АМС МЕДИКАЛ, ООО</t>
        </is>
      </c>
      <c r="B434" s="11" t="n">
        <v>5e+30</v>
      </c>
      <c r="C434" s="1" t="inlineStr">
        <is>
          <t>Россия</t>
        </is>
      </c>
      <c r="D434" s="1" t="inlineStr">
        <is>
          <t>Казань</t>
        </is>
      </c>
      <c r="E434" s="1" t="inlineStr">
        <is>
          <t>Россия, 420061, Республика Татарстан, г. Казань, ул. Сеченова, д. 19Б, пом. 212Б</t>
        </is>
      </c>
      <c r="F434" s="10" t="inlineStr">
        <is>
          <t>http://www.ams-medical.ru</t>
        </is>
      </c>
      <c r="G434" s="1" t="inlineStr">
        <is>
          <t>info@ams-medical.ru</t>
        </is>
      </c>
      <c r="H434" s="1" t="inlineStr">
        <is>
          <t>ООО «АМС Медикал» – производитель и поставщик термозапаивающих машин. Ваш надежный партнер в сфере профессионального оборудования для стерилизации.</t>
        </is>
      </c>
      <c r="I434" s="1" t="inlineStr">
        <is>
          <t>Оборудование для дезинфекции; Оборудование для стерилизации; Медицинская упаковка; Дезинфицирующие средства и материалы</t>
        </is>
      </c>
      <c r="J434" s="1">
        <f>IFERROR(__xludf.DUMMYFUNCTION("AI(Prompt!$B$6, H480:I480)"),"Производитель")</f>
        <v/>
      </c>
      <c r="K434" s="1">
        <f>IFERROR(__xludf.DUMMYFUNCTION("AI(Prompt!$B$12, H480:J480)"),"OK")</f>
        <v/>
      </c>
      <c r="L434" s="1">
        <f>IFERROR(__xludf.DUMMYFUNCTION("AI(Prompt!$B$17, H480:I480)"),"термозапаивающие машины, оборудование для стерилизации, медицинская упаковка и дезинфицирующие средства")</f>
        <v/>
      </c>
      <c r="M434" s="1">
        <f>IFERROR(__xludf.DUMMYFUNCTION("AI(Prompt!$B$21,A480)"),"АМС Медикал")</f>
        <v/>
      </c>
      <c r="N434" s="1" t="inlineStr">
        <is>
          <t>Здравоохранение-2025</t>
        </is>
      </c>
      <c r="O434" s="9" t="inlineStr">
        <is>
          <t>https://icatalog.expocentr.ru/ru/exhibitions/de590dc5-417d-11ee-80ce-a0d3c1fab97f</t>
        </is>
      </c>
    </row>
    <row r="435" ht="16" customHeight="1">
      <c r="A435" s="1" t="inlineStr">
        <is>
          <t>РАСТЕР, ООО</t>
        </is>
      </c>
      <c r="B435" s="1" t="inlineStr">
        <is>
          <t>5C132</t>
        </is>
      </c>
      <c r="C435" s="1" t="inlineStr">
        <is>
          <t>Россия</t>
        </is>
      </c>
      <c r="D435" s="1" t="inlineStr">
        <is>
          <t>Екатеринбург</t>
        </is>
      </c>
      <c r="E435" s="1" t="inlineStr">
        <is>
          <t>Россия, г. Екатеринбург, ул. Ключевская, д. 15</t>
        </is>
      </c>
      <c r="F435" s="10" t="inlineStr">
        <is>
          <t>http://www.raster.ru</t>
        </is>
      </c>
      <c r="G435" s="1" t="inlineStr">
        <is>
          <t>hello@raster.ru</t>
        </is>
      </c>
      <c r="H435" s="1" t="inlineStr">
        <is>
          <t>Производство дезинфицирующих средств и кожных антисептиков, оборудования для обработки воздуха. Оказание услуг по дезинфекции, дезинсекции, дератизации и деструкции воздуха.</t>
        </is>
      </c>
      <c r="I435" s="1" t="inlineStr">
        <is>
          <t>Оборудование и средства борьбы с внутрибольничной инфекцией; Средства химической дезинфекции и стерилизации; Средства для чистки и детергенты; Дезинфицирующие средства и материалы; Производство медицинских изделий</t>
        </is>
      </c>
      <c r="J435" s="1">
        <f>IFERROR(__xludf.DUMMYFUNCTION("AI(Prompt!$B$6, H481:I481)"),"Производитель")</f>
        <v/>
      </c>
      <c r="K435" s="1">
        <f>IFERROR(__xludf.DUMMYFUNCTION("AI(Prompt!$B$12, H481:J481)"),"OK")</f>
        <v/>
      </c>
      <c r="L435" s="1">
        <f>IFERROR(__xludf.DUMMYFUNCTION("AI(Prompt!$B$17, H481:I481)"),"дезинфицирующие средства, антисептики и оборудование")</f>
        <v/>
      </c>
      <c r="M435" s="1">
        <f>IFERROR(__xludf.DUMMYFUNCTION("AI(Prompt!$B$21,A481)"),"Растер")</f>
        <v/>
      </c>
      <c r="N435" s="1" t="inlineStr">
        <is>
          <t>Здравоохранение-2025</t>
        </is>
      </c>
      <c r="O435" s="9" t="inlineStr">
        <is>
          <t>https://icatalog.expocentr.ru/ru/exhibitions/de590dc5-417d-11ee-80ce-a0d3c1fab97f</t>
        </is>
      </c>
    </row>
    <row r="436" ht="16" customHeight="1">
      <c r="A436" s="1" t="inlineStr">
        <is>
          <t>БИРЮЗА, ООО</t>
        </is>
      </c>
      <c r="B436" s="1" t="inlineStr">
        <is>
          <t>5B080</t>
        </is>
      </c>
      <c r="C436" s="1" t="inlineStr">
        <is>
          <t>Россия</t>
        </is>
      </c>
      <c r="D436" s="1" t="inlineStr">
        <is>
          <t>Тольятти</t>
        </is>
      </c>
      <c r="E436" s="1" t="inlineStr">
        <is>
          <t>Россия, 445054, Самарская обл., г. Тольятти, ул. Горького, д. 57, кв. 90</t>
        </is>
      </c>
      <c r="F436" s="10" t="inlineStr">
        <is>
          <t>http://biryuza-med.com</t>
        </is>
      </c>
      <c r="G436" s="1" t="inlineStr">
        <is>
          <t>biryuza163@mail.ru</t>
        </is>
      </c>
      <c r="H436" s="1" t="inlineStr">
        <is>
          <t>Производство и продажа эффективных дезинфицирующих средств, соответствующих высоким стандартам качества и выпускаемых по самым современным технологиям.</t>
        </is>
      </c>
      <c r="I436" s="1" t="inlineStr">
        <is>
          <t>Дезинфицирующие средства и материалы; Производство медицинских изделий</t>
        </is>
      </c>
      <c r="J436" s="1">
        <f>IFERROR(__xludf.DUMMYFUNCTION("AI(Prompt!$B$6, H482:I482)"),"Производитель")</f>
        <v/>
      </c>
      <c r="K436" s="1">
        <f>IFERROR(__xludf.DUMMYFUNCTION("AI(Prompt!$B$12, H482:J482)"),"OK")</f>
        <v/>
      </c>
      <c r="L436" s="1">
        <f>IFERROR(__xludf.DUMMYFUNCTION("AI(Prompt!$B$17, H482:I482)"),"дезинфицирующие средства и материалы, медицинские изделия")</f>
        <v/>
      </c>
      <c r="M436" s="1">
        <f>IFERROR(__xludf.DUMMYFUNCTION("AI(Prompt!$B$21,A482)"),"Бирюза")</f>
        <v/>
      </c>
      <c r="N436" s="1" t="inlineStr">
        <is>
          <t>Здравоохранение-2025</t>
        </is>
      </c>
      <c r="O436" s="9" t="inlineStr">
        <is>
          <t>https://icatalog.expocentr.ru/ru/exhibitions/de590dc5-417d-11ee-80ce-a0d3c1fab97f</t>
        </is>
      </c>
    </row>
    <row r="437" ht="16" customHeight="1">
      <c r="A437" s="1" t="inlineStr">
        <is>
          <t>ВЛАДХИМПРОМ, ООО</t>
        </is>
      </c>
      <c r="B437" s="1" t="inlineStr">
        <is>
          <t>5D110</t>
        </is>
      </c>
      <c r="C437" s="1" t="inlineStr">
        <is>
          <t>Россия</t>
        </is>
      </c>
      <c r="D437" s="1" t="inlineStr">
        <is>
          <t>Тольятти</t>
        </is>
      </c>
      <c r="E437" s="1" t="inlineStr">
        <is>
          <t>Россия, 445007, Самарская обл., г. Тольятти, ул. Ларина, д. 145, оф. 7</t>
        </is>
      </c>
      <c r="F437" s="10" t="inlineStr">
        <is>
          <t>http://vladhimprom.com</t>
        </is>
      </c>
      <c r="G437" s="1" t="inlineStr">
        <is>
          <t>vladhimprom@mail.ru</t>
        </is>
      </c>
      <c r="H437" s="1" t="inlineStr">
        <is>
          <t>Производитель профессиональных дезинфицирующих средств.</t>
        </is>
      </c>
      <c r="I437" s="1" t="inlineStr">
        <is>
          <t>Оборудование для стерилизации; Средства контроля стерилизации; Средства химической дезинфекции и стерилизации; Дезинфицирующие средства и материалы</t>
        </is>
      </c>
      <c r="J437" s="1">
        <f>IFERROR(__xludf.DUMMYFUNCTION("AI(Prompt!$B$6, H483:I483)"),"Производитель")</f>
        <v/>
      </c>
      <c r="K437" s="1">
        <f>IFERROR(__xludf.DUMMYFUNCTION("AI(Prompt!$B$12, H483:J483)"),"OK")</f>
        <v/>
      </c>
      <c r="L437" s="1">
        <f>IFERROR(__xludf.DUMMYFUNCTION("AI(Prompt!$B$17, H483:I483)"),"оборудование для стерилизации, средства контроля стерилизации и дезинфицирующие средства")</f>
        <v/>
      </c>
      <c r="M437" s="1">
        <f>IFERROR(__xludf.DUMMYFUNCTION("AI(Prompt!$B$21,A483)"),"Владхимпром")</f>
        <v/>
      </c>
      <c r="N437" s="1" t="inlineStr">
        <is>
          <t>Здравоохранение-2025</t>
        </is>
      </c>
      <c r="O437" s="9" t="inlineStr">
        <is>
          <t>https://icatalog.expocentr.ru/ru/exhibitions/de590dc5-417d-11ee-80ce-a0d3c1fab97f</t>
        </is>
      </c>
    </row>
    <row r="438" ht="16" customHeight="1">
      <c r="A438" s="1" t="inlineStr">
        <is>
          <t>СМТРАСТ, ООО</t>
        </is>
      </c>
      <c r="B438" s="1" t="inlineStr">
        <is>
          <t>5A060</t>
        </is>
      </c>
      <c r="C438" s="1" t="inlineStr">
        <is>
          <t>Россия</t>
        </is>
      </c>
      <c r="D438" s="1" t="inlineStr">
        <is>
          <t>Москва</t>
        </is>
      </c>
      <c r="E438" s="1" t="inlineStr">
        <is>
          <t>Россия, 109202, г. Москва, вн. тер. г. м. о. Нижегородский, ул. 2-я Карачаровская, д. 1, стр. 1, пом. 1Н/2</t>
        </is>
      </c>
      <c r="F438" s="10" t="inlineStr">
        <is>
          <t>http://www.smtrust.ru</t>
        </is>
      </c>
      <c r="G438" s="1" t="inlineStr">
        <is>
          <t>info@smtrust.ru</t>
        </is>
      </c>
      <c r="H438" s="1" t="inlineStr">
        <is>
          <t>«СМТраст» — поставщик товаров для гистологических лабораторий. Сегодня мы продолжаем осуществлять поставки продукции итальянской компании DiaPath. Оптимальные цены и сроки! Непрерывность обслуживания.</t>
        </is>
      </c>
      <c r="I438" s="1" t="inlineStr">
        <is>
          <t>Оборудование для патологоанатомических отделений; Лабораторное оборудование; Окрашивающие автоматы; Лабораторная мебель; Реагенты и расходные материалы для лабораторной диагностики; Генетика и молекулярная генетика; Онкология; Цитохимия</t>
        </is>
      </c>
      <c r="J438" s="1">
        <f>IFERROR(__xludf.DUMMYFUNCTION("AI(Prompt!$B$6, H484:I484)"),"Дилер")</f>
        <v/>
      </c>
      <c r="K438" s="1">
        <f>IFERROR(__xludf.DUMMYFUNCTION("AI(Prompt!$B$12, H484:J484)"),"OK")</f>
        <v/>
      </c>
      <c r="L438" s="1">
        <f>IFERROR(__xludf.DUMMYFUNCTION("AI(Prompt!$B$17, H484:I484)"),"оборудование, мебель, реагенты и материалы")</f>
        <v/>
      </c>
      <c r="M438" s="1">
        <f>IFERROR(__xludf.DUMMYFUNCTION("AI(Prompt!$B$21,A484)"),"Смтраст")</f>
        <v/>
      </c>
      <c r="N438" s="1" t="inlineStr">
        <is>
          <t>Здравоохранение-2025</t>
        </is>
      </c>
      <c r="O438" s="9" t="inlineStr">
        <is>
          <t>https://icatalog.expocentr.ru/ru/exhibitions/de590dc5-417d-11ee-80ce-a0d3c1fab97f</t>
        </is>
      </c>
    </row>
    <row r="439" ht="16" customHeight="1">
      <c r="A439" s="1" t="inlineStr">
        <is>
          <t>ТОРИМЕД, ООО</t>
        </is>
      </c>
      <c r="B439" s="1" t="inlineStr">
        <is>
          <t>5D010</t>
        </is>
      </c>
      <c r="C439" s="1" t="inlineStr">
        <is>
          <t>Россия</t>
        </is>
      </c>
      <c r="D439" s="1" t="inlineStr">
        <is>
          <t>Раменское</t>
        </is>
      </c>
      <c r="E439" s="1" t="inlineStr">
        <is>
          <t>Россия, 140100, Московская обл., г. Раменское, ул. Карла Маркса, д. 5, комн. 13</t>
        </is>
      </c>
      <c r="F439" s="10" t="inlineStr">
        <is>
          <t>http://www.torimed.ru</t>
        </is>
      </c>
      <c r="G439" s="1" t="inlineStr">
        <is>
          <t>info@torimed.ru</t>
        </is>
      </c>
      <c r="H439" s="1" t="inlineStr">
        <is>
          <t>«ТориМед» — ведущая компания с собственным производственным комплексом и многолетним опытом. Широкий ассортимент нашей продукции премиального качества используется по всей стране на протяжении 15 лет.</t>
        </is>
      </c>
      <c r="I439" s="1" t="inlineStr">
        <is>
          <t>Средства химической дезинфекции и стерилизации; Средства для чистки и детергенты; Дезинфицирующие средства и материалы; Расходные материалы для медицинских приборов; Эндоскопы жесткие; Эндоскопы гибкие</t>
        </is>
      </c>
      <c r="J439" s="1">
        <f>IFERROR(__xludf.DUMMYFUNCTION("AI(Prompt!$B$6, H485:I485)"),"Производитель")</f>
        <v/>
      </c>
      <c r="K439" s="1">
        <f>IFERROR(__xludf.DUMMYFUNCTION("AI(Prompt!$B$12, H485:J485)"),"OK")</f>
        <v/>
      </c>
      <c r="L439" s="1">
        <f>IFERROR(__xludf.DUMMYFUNCTION("AI(Prompt!$B$17, H485:I485)"),"средства дезинфекции, детергенты и эндоскопы")</f>
        <v/>
      </c>
      <c r="M439" s="1">
        <f>IFERROR(__xludf.DUMMYFUNCTION("AI(Prompt!$B$21,A485)"),"Торимед")</f>
        <v/>
      </c>
      <c r="N439" s="1" t="inlineStr">
        <is>
          <t>Здравоохранение-2025</t>
        </is>
      </c>
      <c r="O439" s="9" t="inlineStr">
        <is>
          <t>https://icatalog.expocentr.ru/ru/exhibitions/de590dc5-417d-11ee-80ce-a0d3c1fab97f</t>
        </is>
      </c>
    </row>
    <row r="440" ht="16" customHeight="1">
      <c r="A440" s="1" t="inlineStr">
        <is>
          <t>ПОТОК ИНТЕР, НПФ, ООO</t>
        </is>
      </c>
      <c r="B440" s="1" t="inlineStr">
        <is>
          <t>5B025</t>
        </is>
      </c>
      <c r="C440" s="1" t="inlineStr">
        <is>
          <t>Россия</t>
        </is>
      </c>
      <c r="D440" s="1" t="inlineStr">
        <is>
          <t>Москва</t>
        </is>
      </c>
      <c r="E440" s="1" t="inlineStr">
        <is>
          <t>Россия, 115162, г. Москва, ул. Хавская, д. 18, корп. 2</t>
        </is>
      </c>
      <c r="F440" s="10" t="inlineStr">
        <is>
          <t>http://www.potok.com</t>
        </is>
      </c>
      <c r="G440" s="1" t="inlineStr">
        <is>
          <t>post@potok.com</t>
        </is>
      </c>
      <c r="H440" s="1" t="inlineStr">
        <is>
          <t>Производство оборудования по обеззараживанию воздуха для борьбы с инфекциями, связанными с оказанием медицинской помощи по российской патентованной технологии «Поток».</t>
        </is>
      </c>
      <c r="I440" s="1" t="inlineStr">
        <is>
          <t>Оборудование и средства борьбы с внутрибольничной инфекцией; Оборудование для дезинфекции; Производство медицинских изделий</t>
        </is>
      </c>
      <c r="J440" s="1">
        <f>IFERROR(__xludf.DUMMYFUNCTION("AI(Prompt!$B$6, H486:I486)"),"Производитель")</f>
        <v/>
      </c>
      <c r="K440" s="1">
        <f>IFERROR(__xludf.DUMMYFUNCTION("AI(Prompt!$B$12, H486:J486)"),"OK")</f>
        <v/>
      </c>
      <c r="L440" s="1">
        <f>IFERROR(__xludf.DUMMYFUNCTION("AI(Prompt!$B$17, H486:I486)"),"оборудование и медицинские изделия")</f>
        <v/>
      </c>
      <c r="M440" s="1">
        <f>IFERROR(__xludf.DUMMYFUNCTION("AI(Prompt!$B$21,A486)"),"Поток Интер")</f>
        <v/>
      </c>
      <c r="N440" s="1" t="inlineStr">
        <is>
          <t>Здравоохранение-2025</t>
        </is>
      </c>
      <c r="O440" s="9" t="inlineStr">
        <is>
          <t>https://icatalog.expocentr.ru/ru/exhibitions/de590dc5-417d-11ee-80ce-a0d3c1fab97f</t>
        </is>
      </c>
    </row>
    <row r="441" ht="16" customHeight="1">
      <c r="A441" s="1" t="inlineStr">
        <is>
          <t>ДЕЗНЭТ, ООО</t>
        </is>
      </c>
      <c r="B441" s="1" t="inlineStr">
        <is>
          <t>5B095</t>
        </is>
      </c>
      <c r="C441" s="1" t="inlineStr">
        <is>
          <t>Россия</t>
        </is>
      </c>
      <c r="D441" s="1" t="inlineStr">
        <is>
          <t>Москва</t>
        </is>
      </c>
      <c r="E441" s="1" t="inlineStr">
        <is>
          <t>Россия, 115516, г. Москва, Кавказский б-р, д. 60, стр. 1</t>
        </is>
      </c>
      <c r="F441" s="10" t="inlineStr">
        <is>
          <t>http://www.deznet.ru</t>
        </is>
      </c>
      <c r="G441" s="1" t="inlineStr">
        <is>
          <t>info@deznet.ru</t>
        </is>
      </c>
      <c r="H441" s="1" t="inlineStr">
        <is>
          <t>ООО «ДЕЗНЭТ» — российский производитель дезинфицирующих средств. 20 лет на рынке. Преимущества компании — доступность выбора, высокое качество продукции, широкий ассортимент. Полная поддержка клиентов на всех этапах сотрудничества.</t>
        </is>
      </c>
      <c r="I441" s="1" t="inlineStr">
        <is>
          <t>Средства химической дезинфекции и стерилизации; Дезинфицирующие средства и материалы; Гигиенические изделия для больниц</t>
        </is>
      </c>
      <c r="J441" s="1">
        <f>IFERROR(__xludf.DUMMYFUNCTION("AI(Prompt!$B$6, H487:I487)"),"Производитель")</f>
        <v/>
      </c>
      <c r="K441" s="1">
        <f>IFERROR(__xludf.DUMMYFUNCTION("AI(Prompt!$B$12, H487:J487)"),"OK")</f>
        <v/>
      </c>
      <c r="L441" s="1">
        <f>IFERROR(__xludf.DUMMYFUNCTION("AI(Prompt!$B$17, H487:I487)"),"дезинфицирующие средства, материалы и гигиенические изделия")</f>
        <v/>
      </c>
      <c r="M441" s="1">
        <f>IFERROR(__xludf.DUMMYFUNCTION("AI(Prompt!$B$21,A487)"),"Дезнэт")</f>
        <v/>
      </c>
      <c r="N441" s="1" t="inlineStr">
        <is>
          <t>Здравоохранение-2025</t>
        </is>
      </c>
      <c r="O441" s="9" t="inlineStr">
        <is>
          <t>https://icatalog.expocentr.ru/ru/exhibitions/de590dc5-417d-11ee-80ce-a0d3c1fab97f</t>
        </is>
      </c>
    </row>
    <row r="442" ht="16" customHeight="1">
      <c r="A442" s="1" t="inlineStr">
        <is>
          <t>МЕЛИУС, Группа Компаний</t>
        </is>
      </c>
      <c r="B442" s="1" t="inlineStr">
        <is>
          <t>5C120</t>
        </is>
      </c>
      <c r="C442" s="1" t="inlineStr">
        <is>
          <t>Россия</t>
        </is>
      </c>
      <c r="D442" s="1" t="inlineStr">
        <is>
          <t>Москва</t>
        </is>
      </c>
      <c r="E442" s="1" t="inlineStr">
        <is>
          <t>Россия, 125124, г. Москва, вн. тер. г. м. о. Беговой, ул. 3-я Ямского Поля, д. 2, корп. 26</t>
        </is>
      </c>
      <c r="F442" s="10" t="inlineStr">
        <is>
          <t>http://www.melius-team.ru</t>
        </is>
      </c>
      <c r="G442" s="1" t="inlineStr">
        <is>
          <t>medical@melius-ltd.ru</t>
        </is>
      </c>
      <c r="H442" s="1" t="inlineStr">
        <is>
          <t>«МЕЛИУС» — группа компаний, оснащающих социально значимые предприятия. Мы поставляем современное оборудование и комплексные решения для медицины, HoReCa и научно-исследовательских лабораторий.</t>
        </is>
      </c>
      <c r="I442" s="1" t="inlineStr">
        <is>
          <t>Оборудование для прачечных; Оборудование для пищеблока; Системы утилизации отходов; Оборудование для дезинфекции; Оборудование для стерилизации; Средства химической дезинфекции и стерилизации</t>
        </is>
      </c>
      <c r="J442" s="1">
        <f>IFERROR(__xludf.DUMMYFUNCTION("AI(Prompt!$B$6, H488:I488)"),"Дилер")</f>
        <v/>
      </c>
      <c r="K442" s="1">
        <f>IFERROR(__xludf.DUMMYFUNCTION("AI(Prompt!$B$12, H488:J488)"),"OK")</f>
        <v/>
      </c>
      <c r="L442" s="1">
        <f>IFERROR(__xludf.DUMMYFUNCTION("AI(Prompt!$B$17, H488:I488)"),"оборудование, системы утилизации и химические средства")</f>
        <v/>
      </c>
      <c r="M442" s="1">
        <f>IFERROR(__xludf.DUMMYFUNCTION("AI(Prompt!$B$21,A488)"),"Мелиус")</f>
        <v/>
      </c>
      <c r="N442" s="1" t="inlineStr">
        <is>
          <t>Здравоохранение-2025</t>
        </is>
      </c>
      <c r="O442" s="9" t="inlineStr">
        <is>
          <t>https://icatalog.expocentr.ru/ru/exhibitions/de590dc5-417d-11ee-80ce-a0d3c1fab97f</t>
        </is>
      </c>
    </row>
    <row r="443" ht="16" customHeight="1">
      <c r="A443" s="1" t="inlineStr">
        <is>
          <t>ЗПТ Москва, ООО</t>
        </is>
      </c>
      <c r="B443" s="1" t="inlineStr">
        <is>
          <t>5C010</t>
        </is>
      </c>
      <c r="C443" s="1" t="inlineStr">
        <is>
          <t>Россия</t>
        </is>
      </c>
      <c r="D443" s="1" t="inlineStr">
        <is>
          <t>Одинцово</t>
        </is>
      </c>
      <c r="E443" s="1" t="inlineStr">
        <is>
          <t>Россия, 143005, Московская обл., г. Одинцово, ул. Вокзальная, д. 51а, пом. 21</t>
        </is>
      </c>
      <c r="F443" s="10" t="inlineStr">
        <is>
          <t>http://zpt-medicall.ru</t>
        </is>
      </c>
      <c r="G443" s="1" t="inlineStr">
        <is>
          <t>info@zpt-medicall.ru</t>
        </is>
      </c>
      <c r="H443" s="1" t="inlineStr">
        <is>
          <t>Проектируем, производим и поставляем системы палатной сигнализации ZPT Medicall для больниц и поликлиник.</t>
        </is>
      </c>
      <c r="I443" s="1" t="inlineStr">
        <is>
          <t>IT-инфраструктура / компьютерное оборудование / системы mHealth; Системы eHealth, телемедицина; Информационные системы администрирования / программное обеспечение; Медицинские информационные системы / программные решения; Коммуникационные системы</t>
        </is>
      </c>
      <c r="J443" s="1">
        <f>IFERROR(__xludf.DUMMYFUNCTION("AI(Prompt!$B$6, H489:I489)"),"Производитель")</f>
        <v/>
      </c>
      <c r="K443" s="1">
        <f>IFERROR(__xludf.DUMMYFUNCTION("AI(Prompt!$B$12, H489:J489)"),"OK")</f>
        <v/>
      </c>
      <c r="L443" s="1">
        <f>IFERROR(__xludf.DUMMYFUNCTION("AI(Prompt!$B$17, H489:I489)"),"системы сигнализации")</f>
        <v/>
      </c>
      <c r="M443" s="1">
        <f>IFERROR(__xludf.DUMMYFUNCTION("AI(Prompt!$B$21,A489)"),"ЗПТ Москва")</f>
        <v/>
      </c>
      <c r="N443" s="1" t="inlineStr">
        <is>
          <t>Здравоохранение-2025</t>
        </is>
      </c>
      <c r="O443" s="9" t="inlineStr">
        <is>
          <t>https://icatalog.expocentr.ru/ru/exhibitions/de590dc5-417d-11ee-80ce-a0d3c1fab97f</t>
        </is>
      </c>
    </row>
    <row r="444" ht="16" customHeight="1">
      <c r="A444" s="1" t="inlineStr">
        <is>
          <t>НЕВОХИМ</t>
        </is>
      </c>
      <c r="B444" s="1" t="inlineStr">
        <is>
          <t>5C075</t>
        </is>
      </c>
      <c r="C444" s="1" t="inlineStr">
        <is>
          <t>Россия</t>
        </is>
      </c>
      <c r="D444" s="1" t="inlineStr">
        <is>
          <t>Санкт-Петербург</t>
        </is>
      </c>
      <c r="E444" s="1" t="inlineStr">
        <is>
          <t>Россия, г. Санкт-Петербург</t>
        </is>
      </c>
      <c r="F444" s="10" t="inlineStr">
        <is>
          <t>http://www.nevohim.com</t>
        </is>
      </c>
      <c r="G444" s="1" t="inlineStr">
        <is>
          <t>info@nevohim.com</t>
        </is>
      </c>
      <c r="H444" s="1" t="inlineStr">
        <is>
          <t>Производство дезинфицирующих средств ТМ «ДЕЗЗПОЙНТ»: для очистки поверхностей в лечебных учреждениях, гигиенической обработки рук персонала. Сухие и влажные салфетки для уборки и дезинфекции.</t>
        </is>
      </c>
      <c r="I444" s="1" t="inlineStr">
        <is>
          <t>Дезинфицирующие средства и материалы; Гигиенические изделия для больниц; Одноразовые медицинские изделия прочие; Расходные материалы для медицинского оборудования</t>
        </is>
      </c>
      <c r="J444" s="1">
        <f>IFERROR(__xludf.DUMMYFUNCTION("AI(Prompt!$B$6, H490:I490)"),"Производитель")</f>
        <v/>
      </c>
      <c r="K444" s="1">
        <f>IFERROR(__xludf.DUMMYFUNCTION("AI(Prompt!$B$12, H490:J490)"),"OK")</f>
        <v/>
      </c>
      <c r="L444" s="1">
        <f>IFERROR(__xludf.DUMMYFUNCTION("AI(Prompt!$B$17, H490:I490)"),"дезинфицирующие средства, салфетки и гигиенические изделия")</f>
        <v/>
      </c>
      <c r="M444" s="1">
        <f>IFERROR(__xludf.DUMMYFUNCTION("AI(Prompt!$B$21,A490)"),"Невохим")</f>
        <v/>
      </c>
      <c r="N444" s="1" t="inlineStr">
        <is>
          <t>Здравоохранение-2025</t>
        </is>
      </c>
      <c r="O444" s="9" t="inlineStr">
        <is>
          <t>https://icatalog.expocentr.ru/ru/exhibitions/de590dc5-417d-11ee-80ce-a0d3c1fab97f</t>
        </is>
      </c>
    </row>
    <row r="445" ht="16" customHeight="1">
      <c r="A445" s="1" t="inlineStr">
        <is>
          <t>РАМТЭК, ООО</t>
        </is>
      </c>
      <c r="B445" s="1" t="inlineStr">
        <is>
          <t>5A016</t>
        </is>
      </c>
      <c r="C445" s="1" t="inlineStr">
        <is>
          <t>Россия</t>
        </is>
      </c>
      <c r="D445" s="1" t="inlineStr">
        <is>
          <t>Москва</t>
        </is>
      </c>
      <c r="E445" s="1" t="inlineStr">
        <is>
          <t>Россия, 123060, г. Москва, ул. Маршала Соколовского, д. 3</t>
        </is>
      </c>
      <c r="F445" s="10" t="inlineStr">
        <is>
          <t>http://www.ramtec.ru</t>
        </is>
      </c>
      <c r="G445" s="1" t="inlineStr">
        <is>
          <t>info@ramtec.ru</t>
        </is>
      </c>
      <c r="H445" s="1" t="inlineStr">
        <is>
          <t>Компания «Рамтэк» эксклюзивно поставляет медицинское оборудование для дезинфекции и стерилизации, моющие и дезинфицирующие средства от передовых производителей Sodel, Franklab, Eurotab, Aort и другие.</t>
        </is>
      </c>
      <c r="I445" s="1" t="inlineStr">
        <is>
          <t>Оборудование для дезинфекции; Оборудование для стерилизации; Средства химической дезинфекции и стерилизации; Средства для чистки и детергенты; Дезинфицирующие средства и материалы</t>
        </is>
      </c>
      <c r="J445" s="1">
        <f>IFERROR(__xludf.DUMMYFUNCTION("AI(Prompt!$B$6, H491:I491)"),"Дилер")</f>
        <v/>
      </c>
      <c r="K445" s="1">
        <f>IFERROR(__xludf.DUMMYFUNCTION("AI(Prompt!$B$12, H491:J491)"),"OK")</f>
        <v/>
      </c>
      <c r="L445" s="1">
        <f>IFERROR(__xludf.DUMMYFUNCTION("AI(Prompt!$B$17, H491:I491)"),"медицинское оборудование, моющие, дезинфицирующие и стерилизационные средства")</f>
        <v/>
      </c>
      <c r="M445" s="1">
        <f>IFERROR(__xludf.DUMMYFUNCTION("AI(Prompt!$B$21,A491)"),"РАМТЭК")</f>
        <v/>
      </c>
      <c r="N445" s="1" t="inlineStr">
        <is>
          <t>Здравоохранение-2025</t>
        </is>
      </c>
      <c r="O445" s="9" t="inlineStr">
        <is>
          <t>https://icatalog.expocentr.ru/ru/exhibitions/de590dc5-417d-11ee-80ce-a0d3c1fab97f</t>
        </is>
      </c>
    </row>
    <row r="446" ht="16" customHeight="1">
      <c r="A446" s="1" t="inlineStr">
        <is>
          <t>АВРОРА СЕРВИС, ООО</t>
        </is>
      </c>
      <c r="B446" s="1" t="inlineStr">
        <is>
          <t>5A115</t>
        </is>
      </c>
      <c r="C446" s="1" t="inlineStr">
        <is>
          <t>Россия</t>
        </is>
      </c>
      <c r="D446" s="1" t="inlineStr">
        <is>
          <t>Москва</t>
        </is>
      </c>
      <c r="E446" s="1" t="inlineStr">
        <is>
          <t>Россия, 117393, г. Москва, ул. Архитектора Власова, д. 33</t>
        </is>
      </c>
      <c r="F446" s="10" t="inlineStr">
        <is>
          <t>https://hemostar.ru</t>
        </is>
      </c>
      <c r="G446" s="1" t="inlineStr">
        <is>
          <t>med@avrora-lab.com</t>
        </is>
      </c>
      <c r="H446" s="1" t="inlineStr">
        <is>
          <t>Компания «АВРОРА СЕРВИС» предлагает анализаторы гликированного гемоглобина HbA1C «ГЕМОСТАР». Анализаторы «ГЕМОСТАР-2» и «ГЕМОСТАР-6» разрабатывались с целью обеспечения оптимального соотношения цена — качество.</t>
        </is>
      </c>
      <c r="I446" s="1" t="inlineStr">
        <is>
          <t>Лабораторное оборудование; Анализаторы; Хроматографы</t>
        </is>
      </c>
      <c r="J446" s="1">
        <f>IFERROR(__xludf.DUMMYFUNCTION("AI(Prompt!$B$6, H492:I492)"),"Производитель")</f>
        <v/>
      </c>
      <c r="K446" s="1">
        <f>IFERROR(__xludf.DUMMYFUNCTION("AI(Prompt!$B$12, H492:J492)"),"OK")</f>
        <v/>
      </c>
      <c r="L446" s="1">
        <f>IFERROR(__xludf.DUMMYFUNCTION("AI(Prompt!$B$17, H492:I492)"),"анализаторы, хроматографы и лабораторное оборудование")</f>
        <v/>
      </c>
      <c r="M446" s="1">
        <f>IFERROR(__xludf.DUMMYFUNCTION("AI(Prompt!$B$21,A492)"),"Аврора Сервис")</f>
        <v/>
      </c>
      <c r="N446" s="1" t="inlineStr">
        <is>
          <t>Здравоохранение-2025</t>
        </is>
      </c>
      <c r="O446" s="9" t="inlineStr">
        <is>
          <t>https://icatalog.expocentr.ru/ru/exhibitions/de590dc5-417d-11ee-80ce-a0d3c1fab97f</t>
        </is>
      </c>
    </row>
    <row r="447" ht="16" customHeight="1">
      <c r="A447" s="1" t="inlineStr">
        <is>
          <t>ЭУР-МЕД ДЕНТАЛДЕПО, АО</t>
        </is>
      </c>
      <c r="B447" s="1" t="inlineStr">
        <is>
          <t>5D070</t>
        </is>
      </c>
      <c r="C447" s="1" t="inlineStr">
        <is>
          <t>Россия</t>
        </is>
      </c>
      <c r="D447" s="1" t="inlineStr">
        <is>
          <t>Апрелевка</t>
        </is>
      </c>
      <c r="E447" s="1" t="inlineStr">
        <is>
          <t>Россия, 143360, Московская обл., г. Апрелевка, Наро-Фоминский р-н, ул. Октябрьская, д. 9</t>
        </is>
      </c>
      <c r="F447" s="10" t="inlineStr">
        <is>
          <t>http://www.eurmed.ru</t>
        </is>
      </c>
      <c r="G447" s="1" t="inlineStr">
        <is>
          <t>info@eurmed.ru</t>
        </is>
      </c>
      <c r="H447" s="1" t="inlineStr">
        <is>
          <t>Компания «ЭУР-МЕД Денталдепо» основана в 1995 году; является официальным и эксклюзивным дистрибьютором производителя китайских медицинских автоклавов класса В — ICANCLAVE (РУ на весь ассортимент).</t>
        </is>
      </c>
      <c r="I447" s="1" t="inlineStr">
        <is>
          <t>Стоматологическое оборудование и инструменты; Зуботехническое оборудование и инструменты; Материалы для реставрации зубов; Оборудование и средства борьбы с внутрибольничной инфекцией; Оборудование для дезинфекции; Оборудование для стерилизации</t>
        </is>
      </c>
      <c r="J447" s="1">
        <f>IFERROR(__xludf.DUMMYFUNCTION("AI(Prompt!$B$6, H493:I493)"),"Дилер")</f>
        <v/>
      </c>
      <c r="K447" s="1">
        <f>IFERROR(__xludf.DUMMYFUNCTION("AI(Prompt!$B$12, H493:J493)"),"OK")</f>
        <v/>
      </c>
      <c r="L447" s="1">
        <f>IFERROR(__xludf.DUMMYFUNCTION("AI(Prompt!$B$17, H493:I493)"),"оборудование, инструменты, материалы и автоклавы")</f>
        <v/>
      </c>
      <c r="M447" s="1">
        <f>IFERROR(__xludf.DUMMYFUNCTION("AI(Prompt!$B$21,A493)"),"Эур-Мед Денталдепо")</f>
        <v/>
      </c>
      <c r="N447" s="1" t="inlineStr">
        <is>
          <t>Здравоохранение-2025</t>
        </is>
      </c>
      <c r="O447" s="9" t="inlineStr">
        <is>
          <t>https://icatalog.expocentr.ru/ru/exhibitions/de590dc5-417d-11ee-80ce-a0d3c1fab97f</t>
        </is>
      </c>
    </row>
    <row r="448" ht="16" customHeight="1">
      <c r="A448" s="1" t="inlineStr">
        <is>
          <t>РУМЭКС МЕДИКАЛ, ООО</t>
        </is>
      </c>
      <c r="B448" s="1" t="inlineStr">
        <is>
          <t>5B040</t>
        </is>
      </c>
      <c r="C448" s="1" t="inlineStr">
        <is>
          <t>Россия</t>
        </is>
      </c>
      <c r="D448" s="1" t="inlineStr">
        <is>
          <t>Москва</t>
        </is>
      </c>
      <c r="E448" s="1" t="inlineStr">
        <is>
          <t>Россия, 123592, г. Москва, ул. Кулакова, д. 20, стр. 1Б, пом. IV, комн. 15-17, 33</t>
        </is>
      </c>
      <c r="F448" s="10" t="inlineStr">
        <is>
          <t>http://www.rumex.ru</t>
        </is>
      </c>
      <c r="G448" s="1" t="inlineStr">
        <is>
          <t>info@rumex.ru</t>
        </is>
      </c>
      <c r="H448" s="1" t="inlineStr">
        <is>
          <t>Поставщик медицинского оборудования и расходных материалов ведущих мировых производителей. Дистрибьютор плазменных стерилизаторов Sterlink (Plasmapp Co. Ltd., Южная Корея) – стерилизация от 7 минут.</t>
        </is>
      </c>
      <c r="I448" s="1" t="inlineStr">
        <is>
          <t>Оборудование для дезинфекции; Оборудование для стерилизации; Дезинфицирующие средства и материалы</t>
        </is>
      </c>
      <c r="J448" s="1">
        <f>IFERROR(__xludf.DUMMYFUNCTION("AI(Prompt!$B$6, H494:I494)"),"Дилер")</f>
        <v/>
      </c>
      <c r="K448" s="1">
        <f>IFERROR(__xludf.DUMMYFUNCTION("AI(Prompt!$B$12, H494:J494)"),"OK")</f>
        <v/>
      </c>
      <c r="L448" s="1">
        <f>IFERROR(__xludf.DUMMYFUNCTION("AI(Prompt!$B$17, H494:I494)"),"медицинское оборудование, расходные материалы, дезинфицирующие средства и материалы")</f>
        <v/>
      </c>
      <c r="M448" s="1">
        <f>IFERROR(__xludf.DUMMYFUNCTION("AI(Prompt!$B$21,A494)"),"Румэкс Медикал")</f>
        <v/>
      </c>
      <c r="N448" s="1" t="inlineStr">
        <is>
          <t>Здравоохранение-2025</t>
        </is>
      </c>
      <c r="O448" s="9" t="inlineStr">
        <is>
          <t>https://icatalog.expocentr.ru/ru/exhibitions/de590dc5-417d-11ee-80ce-a0d3c1fab97f</t>
        </is>
      </c>
    </row>
    <row r="449" ht="16" customHeight="1">
      <c r="A449" s="1" t="inlineStr">
        <is>
          <t>МЕД ТЕКО, ООО</t>
        </is>
      </c>
      <c r="B449" s="1" t="inlineStr">
        <is>
          <t>5C040</t>
        </is>
      </c>
      <c r="C449" s="1" t="inlineStr">
        <is>
          <t>Россия</t>
        </is>
      </c>
      <c r="D449" s="1" t="inlineStr">
        <is>
          <t>Мытищи</t>
        </is>
      </c>
      <c r="E449" s="1" t="inlineStr">
        <is>
          <t>Россия, 141009, Московская обл., г. Мытищи, Олимпийский просп., д. 16, корп. 2</t>
        </is>
      </c>
      <c r="F449" s="10" t="inlineStr">
        <is>
          <t>http://www.medteco.ru</t>
        </is>
      </c>
      <c r="G449" s="1" t="inlineStr">
        <is>
          <t>mrkt2@medteco.ru</t>
        </is>
      </c>
      <c r="H449" s="1" t="inlineStr">
        <is>
          <t>«Мед ТеКо» — российский разработчик и производитель медицинской техники, на рынке с 2001 года. Три направления: физиотерапия, стерилизация, дезинфекция воздуха. Продукция имеет РУ РЗН и сертификаты ИСО 9001, 13485.</t>
        </is>
      </c>
      <c r="I449" s="1" t="inlineStr">
        <is>
          <t>Оборудование для дезинфекции; Оборудование для стерилизации; Физиотерапия и реабилитация; Оборудование для комбинированной физиотерапии; Эндоскопические комплексы и системы; Плазменные хирургические аппараты</t>
        </is>
      </c>
      <c r="J449" s="1">
        <f>IFERROR(__xludf.DUMMYFUNCTION("AI(Prompt!$B$6, H495:I495)"),"Производитель")</f>
        <v/>
      </c>
      <c r="K449" s="1">
        <f>IFERROR(__xludf.DUMMYFUNCTION("AI(Prompt!$B$12, H495:J495)"),"OK")</f>
        <v/>
      </c>
      <c r="L449" s="1">
        <f>IFERROR(__xludf.DUMMYFUNCTION("AI(Prompt!$B$17, H495:I495)"),"оборудование для дезинфекции, оборудование для стерилизации, аппараты для физиотерапии, эндоскопические системы и плазменные аппараты")</f>
        <v/>
      </c>
      <c r="M449" s="1">
        <f>IFERROR(__xludf.DUMMYFUNCTION("AI(Prompt!$B$21,A495)"),"Мед Теко")</f>
        <v/>
      </c>
      <c r="N449" s="1" t="inlineStr">
        <is>
          <t>Здравоохранение-2025</t>
        </is>
      </c>
      <c r="O449" s="9" t="inlineStr">
        <is>
          <t>https://icatalog.expocentr.ru/ru/exhibitions/de590dc5-417d-11ee-80ce-a0d3c1fab97f</t>
        </is>
      </c>
    </row>
    <row r="450" ht="16" customHeight="1">
      <c r="A450" s="1" t="inlineStr">
        <is>
          <t>КЛИФФ МЕДИКАЛ, ООО</t>
        </is>
      </c>
      <c r="B450" s="1" t="inlineStr">
        <is>
          <t>5B003</t>
        </is>
      </c>
      <c r="C450" s="1" t="inlineStr">
        <is>
          <t>Россия</t>
        </is>
      </c>
      <c r="D450" s="1" t="inlineStr">
        <is>
          <t>Москва</t>
        </is>
      </c>
      <c r="E450" s="1" t="inlineStr">
        <is>
          <t>Россия, 121170, г. Москва, Кутузовский просп., д. 36, стр. 3</t>
        </is>
      </c>
      <c r="F450" s="10" t="inlineStr">
        <is>
          <t>https://cliffmedical.com</t>
        </is>
      </c>
      <c r="G450" s="1" t="inlineStr">
        <is>
          <t>cliff@cliff.ru</t>
        </is>
      </c>
      <c r="H450" s="16" t="inlineStr">
        <is>
          <t>Cliff Medical сопровождает регистрацию медицинских изделий в Росздравнадзоре на всех этапах — написание документов, испытания, работа с запросами РЗН. Надежный партнер на пути к РУ!</t>
        </is>
      </c>
      <c r="I450" s="1" t="inlineStr">
        <is>
          <t>Стоматологическое оборудование и инструменты; Одноразовые медицинские изделия прочие; Производство медицинских изделий; Лабораторное оборудование; Реагенты и расходные материалы для лабораторной диагностики; Ортопедическое оборудование и инструменты</t>
        </is>
      </c>
      <c r="J450" s="1">
        <f>IFERROR(__xludf.DUMMYFUNCTION("AI(Prompt!$B$6, H496:I496)"),"Поставщик услуг")</f>
        <v/>
      </c>
      <c r="K450" s="1">
        <f>IFERROR(__xludf.DUMMYFUNCTION("AI(Prompt!$B$12, H496:J496)"),"OK")</f>
        <v/>
      </c>
      <c r="L450" s="1">
        <f>IFERROR(__xludf.DUMMYFUNCTION("AI(Prompt!$B$17, H496:I496)"),"оборудование, инструменты, реагенты, расходные материалы и изделия")</f>
        <v/>
      </c>
      <c r="M450" s="1">
        <f>IFERROR(__xludf.DUMMYFUNCTION("AI(Prompt!$B$21,A496)"),"Клифф Медикал")</f>
        <v/>
      </c>
      <c r="N450" s="1" t="inlineStr">
        <is>
          <t>Здравоохранение-2025</t>
        </is>
      </c>
      <c r="O450" s="9" t="inlineStr">
        <is>
          <t>https://icatalog.expocentr.ru/ru/exhibitions/de590dc5-417d-11ee-80ce-a0d3c1fab97f</t>
        </is>
      </c>
    </row>
    <row r="451" hidden="1" ht="16" customHeight="1">
      <c r="A451" s="1" t="inlineStr">
        <is>
          <t>HANGZHOU BOCON MECHANICAL AND ELECTRICAL EQUIPMENT CO. LTD</t>
        </is>
      </c>
      <c r="B451" s="1" t="inlineStr">
        <is>
          <t>5D120</t>
        </is>
      </c>
      <c r="C451" s="1" t="inlineStr">
        <is>
          <t>Китай</t>
        </is>
      </c>
      <c r="E451" s="1" t="inlineStr">
        <is>
          <t>Китай</t>
        </is>
      </c>
      <c r="F451" s="10" t="inlineStr">
        <is>
          <t>http://www.hzbocon.com</t>
        </is>
      </c>
      <c r="G451" s="1" t="inlineStr">
        <is>
          <t>nancy.huang@hzbocon.com</t>
        </is>
      </c>
      <c r="H451" s="1" t="inlineStr">
        <is>
          <t>Стерилизаторы оксидом этилена, автоклавы, комнаты аэрации, предварительного кондиционирования, скрубберы ОЭ, горелки для утилизации ОЭ, модернизация систем управления стерилизатором, проекты под ключ.</t>
        </is>
      </c>
      <c r="I451" s="1" t="inlineStr">
        <is>
          <t>Оборудование для стерилизации; Средства контроля стерилизации; Стерилизаторы</t>
        </is>
      </c>
      <c r="J451" s="1">
        <f>IFERROR(__xludf.DUMMYFUNCTION("AI(Prompt!$B$6, H497:I497)"),"Производитель")</f>
        <v/>
      </c>
      <c r="K451" s="1">
        <f>IFERROR(__xludf.DUMMYFUNCTION("AI(Prompt!$B$12, H497:J497)"),"OK")</f>
        <v/>
      </c>
      <c r="L451" s="1">
        <f>IFERROR(__xludf.DUMMYFUNCTION("AI(Prompt!$B$17, H497:I497)"),"стерилизаторы, автоклавы, горелки и скрубберы")</f>
        <v/>
      </c>
      <c r="M451" s="1">
        <f>IFERROR(__xludf.DUMMYFUNCTION("AI(Prompt!$B$21,A497)"),"Hangzhou Bocon")</f>
        <v/>
      </c>
      <c r="N451" s="1" t="inlineStr">
        <is>
          <t>Здравоохранение-2025</t>
        </is>
      </c>
      <c r="O451" s="9" t="inlineStr">
        <is>
          <t>https://icatalog.expocentr.ru/ru/exhibitions/de590dc5-417d-11ee-80ce-a0d3c1fab97f</t>
        </is>
      </c>
    </row>
    <row r="452" ht="16" customHeight="1">
      <c r="A452" s="1" t="inlineStr">
        <is>
          <t>ЕЛАТОМСКИЙ ПРИБОРНЫЙ ЗАВОД, АО — ЕЛАМЕД</t>
        </is>
      </c>
      <c r="B452" s="1" t="inlineStr">
        <is>
          <t>5B115</t>
        </is>
      </c>
      <c r="C452" s="1" t="inlineStr">
        <is>
          <t>Россия</t>
        </is>
      </c>
      <c r="E452" s="1" t="inlineStr">
        <is>
          <t>Россия, 391351, Рязанская обл., м. о. Касимовский, р. п. Елатьма, ул. Янина, д. 25</t>
        </is>
      </c>
      <c r="F452" s="10" t="inlineStr">
        <is>
          <t>http://www.lpu.elamed.com</t>
        </is>
      </c>
      <c r="G452" s="1" t="inlineStr">
        <is>
          <t>lpu@lpu.elamed.com</t>
        </is>
      </c>
      <c r="H452" s="1" t="inlineStr">
        <is>
          <t>Основанная в 1980 году компания «ЕЛАМЕД» – один из лидеров по производству медицинской техники и продукции для комплексного оснащения лечебных учреждений.</t>
        </is>
      </c>
      <c r="I452" s="1" t="inlineStr">
        <is>
          <t>Медицинская мебель; Оборудование для дезинфекции; Инструменты и принадлежности для инъекций  и взятия крови; Проектирование и оснащение медицинских учреждений под ключ; Производство медицинских изделий; Оборудование для магнитотерапии</t>
        </is>
      </c>
      <c r="J452" s="1">
        <f>IFERROR(__xludf.DUMMYFUNCTION("AI(Prompt!$B$6, H498:I498)"),"Производитель")</f>
        <v/>
      </c>
      <c r="K452" s="1">
        <f>IFERROR(__xludf.DUMMYFUNCTION("AI(Prompt!$B$12, H498:J498)"),"OK")</f>
        <v/>
      </c>
      <c r="L452" s="1">
        <f>IFERROR(__xludf.DUMMYFUNCTION("AI(Prompt!$B$17, H498:I498)"),"мебель, инструменты, оборудование и изделия")</f>
        <v/>
      </c>
      <c r="M452" s="1">
        <f>IFERROR(__xludf.DUMMYFUNCTION("AI(Prompt!$B$21,A498)"),"Еламед")</f>
        <v/>
      </c>
      <c r="N452" s="1" t="inlineStr">
        <is>
          <t>Здравоохранение-2025</t>
        </is>
      </c>
      <c r="O452" s="9" t="inlineStr">
        <is>
          <t>https://icatalog.expocentr.ru/ru/exhibitions/de590dc5-417d-11ee-80ce-a0d3c1fab97f</t>
        </is>
      </c>
    </row>
    <row r="453" ht="16" customHeight="1">
      <c r="A453" s="1" t="inlineStr">
        <is>
          <t>ЭЛИД, ООО</t>
        </is>
      </c>
      <c r="B453" s="1" t="inlineStr">
        <is>
          <t>5A050</t>
        </is>
      </c>
      <c r="C453" s="1" t="inlineStr">
        <is>
          <t>Россия</t>
        </is>
      </c>
      <c r="D453" s="1" t="inlineStr">
        <is>
          <t>Ростов-на-Дону</t>
        </is>
      </c>
      <c r="E453" s="1" t="inlineStr">
        <is>
          <t>Россия, 344091, г. Ростов-на-Дону, просп. Стачки, д. 247, стр. 2</t>
        </is>
      </c>
      <c r="F453" s="10" t="inlineStr">
        <is>
          <t>https://elid-azov.ru</t>
        </is>
      </c>
      <c r="G453" s="1" t="inlineStr">
        <is>
          <t>elid-azov@mail.ru</t>
        </is>
      </c>
      <c r="H453" s="1" t="inlineStr">
        <is>
          <t>Ведущий завод-изготовитель облучателей-рециркуляторов медицинских бактерицидных. Высокое качество комплектующих. Алюминиевый долговечный корпус. Расширенный гарантийный срок.</t>
        </is>
      </c>
      <c r="I453" s="1" t="inlineStr">
        <is>
          <t>Оборудование и средства борьбы с внутрибольничной инфекцией; Оборудование для дезинфекции</t>
        </is>
      </c>
      <c r="J453" s="1">
        <f>IFERROR(__xludf.DUMMYFUNCTION("AI(Prompt!$B$6, H499:I499)"),"Производитель")</f>
        <v/>
      </c>
      <c r="K453" s="1">
        <f>IFERROR(__xludf.DUMMYFUNCTION("AI(Prompt!$B$12, H499:J499)"),"OK")</f>
        <v/>
      </c>
      <c r="L453" s="1">
        <f>IFERROR(__xludf.DUMMYFUNCTION("AI(Prompt!$B$17, H499:I499)"),"облучатели-рециркуляторы")</f>
        <v/>
      </c>
      <c r="M453" s="1">
        <f>IFERROR(__xludf.DUMMYFUNCTION("AI(Prompt!$B$21,A499)"),"Элид")</f>
        <v/>
      </c>
      <c r="N453" s="1" t="inlineStr">
        <is>
          <t>Здравоохранение-2025</t>
        </is>
      </c>
      <c r="O453" s="9" t="inlineStr">
        <is>
          <t>https://icatalog.expocentr.ru/ru/exhibitions/de590dc5-417d-11ee-80ce-a0d3c1fab97f</t>
        </is>
      </c>
    </row>
    <row r="454" ht="16" customHeight="1">
      <c r="A454" s="1" t="inlineStr">
        <is>
          <t>АНАС, ООО</t>
        </is>
      </c>
      <c r="B454" s="1" t="inlineStr">
        <is>
          <t>5A110</t>
        </is>
      </c>
      <c r="C454" s="1" t="inlineStr">
        <is>
          <t>Россия</t>
        </is>
      </c>
      <c r="D454" s="1" t="inlineStr">
        <is>
          <t>Москва</t>
        </is>
      </c>
      <c r="E454" s="1" t="inlineStr">
        <is>
          <t>Россия, 115035, г. Москва, вн. тер. г. м. о. Замоскворечье, ул. Садовническая, д. 20, стр. 24</t>
        </is>
      </c>
      <c r="F454" s="10" t="inlineStr">
        <is>
          <t>https://anas.ru</t>
        </is>
      </c>
      <c r="G454" s="1" t="inlineStr">
        <is>
          <t>info@anas.ru</t>
        </is>
      </c>
      <c r="H454" s="1" t="inlineStr">
        <is>
          <t>ООО «АНАС» с 2000 года поставляет в Россию медицинское и стоматологическое оборудование. Мы предлагаем высококачественную сертифицированную продукцию и услуги собственного сервисного центра.</t>
        </is>
      </c>
      <c r="I454" s="1" t="inlineStr">
        <is>
          <t>Стоматологическое оборудование и инструменты; Системы и инструменты для дентальной имплантации; Материалы и инструменты для костной пластики и челюстно-лицевой хирургии; Оборудование и средства борьбы с внутрибольничной инфекцией; Оборудование для дезинфекции; Дезинфицирующие средства и материалы</t>
        </is>
      </c>
      <c r="J454" s="1">
        <f>IFERROR(__xludf.DUMMYFUNCTION("AI(Prompt!$B$6, H500:I500)"),"Дилер")</f>
        <v/>
      </c>
      <c r="K454" s="1">
        <f>IFERROR(__xludf.DUMMYFUNCTION("AI(Prompt!$B$12, H500:J500)"),"OK")</f>
        <v/>
      </c>
      <c r="L454" s="1">
        <f>IFERROR(__xludf.DUMMYFUNCTION("AI(Prompt!$B$17, H500:I500)"),"оборудование, инструменты, материалы, средства")</f>
        <v/>
      </c>
      <c r="M454" s="1">
        <f>IFERROR(__xludf.DUMMYFUNCTION("AI(Prompt!$B$21,A500)"),"Анас")</f>
        <v/>
      </c>
      <c r="N454" s="1" t="inlineStr">
        <is>
          <t>Здравоохранение-2025</t>
        </is>
      </c>
      <c r="O454" s="9" t="inlineStr">
        <is>
          <t>https://icatalog.expocentr.ru/ru/exhibitions/de590dc5-417d-11ee-80ce-a0d3c1fab97f</t>
        </is>
      </c>
    </row>
    <row r="455" ht="16" customHeight="1">
      <c r="A455" s="1" t="inlineStr">
        <is>
          <t>КОССМЕД</t>
        </is>
      </c>
      <c r="B455" s="1" t="inlineStr">
        <is>
          <t>5B025</t>
        </is>
      </c>
      <c r="C455" s="1" t="inlineStr">
        <is>
          <t>Россия</t>
        </is>
      </c>
      <c r="D455" s="1" t="inlineStr">
        <is>
          <t>Москва</t>
        </is>
      </c>
      <c r="E455" s="1" t="inlineStr">
        <is>
          <t>Россия, 115487, г. Москва, ул. Садовники, д. 2</t>
        </is>
      </c>
      <c r="F455" s="10" t="inlineStr">
        <is>
          <t>http://kossmed.ru</t>
        </is>
      </c>
      <c r="G455" s="1" t="inlineStr">
        <is>
          <t>koss@kossmed.ru</t>
        </is>
      </c>
      <c r="H455" s="1" t="inlineStr">
        <is>
          <t>Производство высокотехнологичного медицинского оборудования и комплексных решений для чистых помещений, востребованных в медицине, фармацевтике и в других отраслях с высокими требованиями к чистоте.</t>
        </is>
      </c>
      <c r="I455" s="1" t="inlineStr">
        <is>
          <t>Оборудование для лечения онкологических заболеваний; Оборудование для пищеблока; Прочее общебольничное оборудование; Оборудование и средства борьбы с внутрибольничной инфекцией; Производство медицинских изделий</t>
        </is>
      </c>
      <c r="J455" s="1">
        <f>IFERROR(__xludf.DUMMYFUNCTION("AI(Prompt!$B$6, H501:I501)"),"Производитель")</f>
        <v/>
      </c>
      <c r="K455" s="1">
        <f>IFERROR(__xludf.DUMMYFUNCTION("AI(Prompt!$B$12, H501:J501)"),"OK")</f>
        <v/>
      </c>
      <c r="L455" s="1">
        <f>IFERROR(__xludf.DUMMYFUNCTION("AI(Prompt!$B$17, H501:I501)"),"медицинское оборудование, изделия, средства")</f>
        <v/>
      </c>
      <c r="M455" s="1">
        <f>IFERROR(__xludf.DUMMYFUNCTION("AI(Prompt!$B$21,A501)"),"Коссмед")</f>
        <v/>
      </c>
      <c r="N455" s="1" t="inlineStr">
        <is>
          <t>Здравоохранение-2025</t>
        </is>
      </c>
      <c r="O455" s="9" t="inlineStr">
        <is>
          <t>https://icatalog.expocentr.ru/ru/exhibitions/de590dc5-417d-11ee-80ce-a0d3c1fab97f</t>
        </is>
      </c>
    </row>
    <row r="456" ht="16" customHeight="1">
      <c r="A456" s="1" t="inlineStr">
        <is>
          <t>ИЭК ХОЛДИНГ, АО</t>
        </is>
      </c>
      <c r="B456" s="1" t="inlineStr">
        <is>
          <t>5B014</t>
        </is>
      </c>
      <c r="C456" s="1" t="inlineStr">
        <is>
          <t>Россия</t>
        </is>
      </c>
      <c r="D456" s="1" t="inlineStr">
        <is>
          <t>Подольск</t>
        </is>
      </c>
      <c r="E456" s="1" t="inlineStr">
        <is>
          <t>Россия, 142100, Московская обл., г. Подольск, просп. Ленина, д. 107/49, оф. 457</t>
        </is>
      </c>
      <c r="F456" s="10" t="inlineStr">
        <is>
          <t>http://www.iek.ru</t>
        </is>
      </c>
      <c r="G456" s="1" t="inlineStr">
        <is>
          <t>info@iek.ru</t>
        </is>
      </c>
      <c r="H456" s="1" t="inlineStr">
        <is>
          <t>IEK GROUP поставляет комплексные решения в сфере электротехнического оборудования для оснащения медучреждений: операционных, процедурных, физиотерапевтических кабинетов. Гарантирует надежность и безопасность.</t>
        </is>
      </c>
      <c r="I456" s="1" t="inlineStr">
        <is>
          <t>Осветительные приборы; Прочее общебольничное оборудование; Проектирование, производство, монтаж, валидация чистых операционных и реанимационных; Экологические чистые отделочные и строительные материалы; Комплектующие для производства медицинских изделий</t>
        </is>
      </c>
      <c r="J456" s="1">
        <f>IFERROR(__xludf.DUMMYFUNCTION("AI(Prompt!$B$6, H502:I502)"),"Производитель")</f>
        <v/>
      </c>
      <c r="K456" s="1">
        <f>IFERROR(__xludf.DUMMYFUNCTION("AI(Prompt!$B$12, H502:J502)"),"OK")</f>
        <v/>
      </c>
      <c r="L456" s="1">
        <f>IFERROR(__xludf.DUMMYFUNCTION("AI(Prompt!$B$17, H502:I502)"),"электрооборудование, осветительные приборы, строительные материалы и комплектующие")</f>
        <v/>
      </c>
      <c r="M456" s="1">
        <f>IFERROR(__xludf.DUMMYFUNCTION("AI(Prompt!$B$21,A502)"),"ИЭК Холдинг")</f>
        <v/>
      </c>
      <c r="N456" s="1" t="inlineStr">
        <is>
          <t>Здравоохранение-2025</t>
        </is>
      </c>
      <c r="O456" s="9" t="inlineStr">
        <is>
          <t>https://icatalog.expocentr.ru/ru/exhibitions/de590dc5-417d-11ee-80ce-a0d3c1fab97f</t>
        </is>
      </c>
    </row>
    <row r="457" ht="16" customHeight="1">
      <c r="A457" s="1" t="inlineStr">
        <is>
          <t>КЕМПЛАНТ, ООО</t>
        </is>
      </c>
      <c r="B457" s="1" t="inlineStr">
        <is>
          <t>5A045</t>
        </is>
      </c>
      <c r="C457" s="1" t="inlineStr">
        <is>
          <t>Россия</t>
        </is>
      </c>
      <c r="D457" s="1" t="inlineStr">
        <is>
          <t>Новоалтайск</t>
        </is>
      </c>
      <c r="E457" s="1" t="inlineStr">
        <is>
          <t>Россия, 658087, Алтайский край, г. Новоалтайск, ул. Октябренок, зд. 81</t>
        </is>
      </c>
      <c r="F457" s="10" t="inlineStr">
        <is>
          <t>http://www.chemplant.farm</t>
        </is>
      </c>
      <c r="G457" s="1" t="inlineStr">
        <is>
          <t>kovinko_ns@chemplant.farm</t>
        </is>
      </c>
      <c r="H457" s="1" t="inlineStr">
        <is>
          <t>Компания «КемПлант» — российская производственная компания, занимающаяся производством профессиональных дезинфицирующих средств и бытовой химии. Преимущество компании — высокое качество продукции.</t>
        </is>
      </c>
      <c r="I457" s="1" t="inlineStr">
        <is>
          <t>Дезинфицирующие средства и материалы; Расходные материалы для медицинского оборудования; Медицинские порталы; Медицинские газеты и журналы</t>
        </is>
      </c>
      <c r="J457" s="1">
        <f>IFERROR(__xludf.DUMMYFUNCTION("AI(Prompt!$B$6, H503:I503)"),"Производитель")</f>
        <v/>
      </c>
      <c r="K457" s="1">
        <f>IFERROR(__xludf.DUMMYFUNCTION("AI(Prompt!$B$12, H503:J503)"),"OK")</f>
        <v/>
      </c>
      <c r="L457" s="1">
        <f>IFERROR(__xludf.DUMMYFUNCTION("AI(Prompt!$B$17, H503:I503)"),"дезинфицирующие средства, бытовая химия и расходные материалы")</f>
        <v/>
      </c>
      <c r="M457" s="1">
        <f>IFERROR(__xludf.DUMMYFUNCTION("AI(Prompt!$B$21,A503)"),"Кемплант")</f>
        <v/>
      </c>
      <c r="N457" s="1" t="inlineStr">
        <is>
          <t>Здравоохранение-2025</t>
        </is>
      </c>
      <c r="O457" s="9" t="inlineStr">
        <is>
          <t>https://icatalog.expocentr.ru/ru/exhibitions/de590dc5-417d-11ee-80ce-a0d3c1fab97f</t>
        </is>
      </c>
    </row>
    <row r="458" ht="16" customHeight="1">
      <c r="A458" s="1" t="inlineStr">
        <is>
          <t>МЕДИЦИНСКИЕ ТЕХНОЛОГИИ, ООО</t>
        </is>
      </c>
      <c r="B458" s="1" t="inlineStr">
        <is>
          <t>5B130</t>
        </is>
      </c>
      <c r="C458" s="1" t="inlineStr">
        <is>
          <t>Россия</t>
        </is>
      </c>
      <c r="D458" s="1" t="inlineStr">
        <is>
          <t>Москва</t>
        </is>
      </c>
      <c r="E458" s="1" t="inlineStr">
        <is>
          <t>Россия, 108811, г. Москва, вн. тер. г. м. о. Солнцево, Киевское ш., 22-й км, д. 4, стр. 2, этаж 2, оф. 375Г</t>
        </is>
      </c>
      <c r="F458" s="10" t="inlineStr">
        <is>
          <t>https://allergychip.ru</t>
        </is>
      </c>
      <c r="G458" s="1" t="inlineStr">
        <is>
          <t>proallergychip@yandex.ru</t>
        </is>
      </c>
      <c r="H458" s="1" t="inlineStr">
        <is>
          <t>Компания ООО «Медицинские технологии» осуществила трансфер европейской методики для высококачественной in vitro-диагностики аллергии, первый российский аллергочип ProAllergy (РЗН 2024/23841).</t>
        </is>
      </c>
      <c r="I458" s="1" t="inlineStr">
        <is>
          <t>Дерматология; Аллергология; Иммунология</t>
        </is>
      </c>
      <c r="J458" s="1">
        <f>IFERROR(__xludf.DUMMYFUNCTION("AI(Prompt!$B$6, H504:I504)"),"Производитель")</f>
        <v/>
      </c>
      <c r="K458" s="1">
        <f>IFERROR(__xludf.DUMMYFUNCTION("AI(Prompt!$B$12, H504:J504)"),"OK")</f>
        <v/>
      </c>
      <c r="L458" s="1">
        <f>IFERROR(__xludf.DUMMYFUNCTION("AI(Prompt!$B$17, H504:I504)"),"аллергочипы")</f>
        <v/>
      </c>
      <c r="M458" s="1">
        <f>IFERROR(__xludf.DUMMYFUNCTION("AI(Prompt!$B$21,A504)"),"Медицинские Технологии")</f>
        <v/>
      </c>
      <c r="N458" s="1" t="inlineStr">
        <is>
          <t>Здравоохранение-2025</t>
        </is>
      </c>
      <c r="O458" s="9" t="inlineStr">
        <is>
          <t>https://icatalog.expocentr.ru/ru/exhibitions/de590dc5-417d-11ee-80ce-a0d3c1fab97f</t>
        </is>
      </c>
    </row>
    <row r="459" ht="16" customHeight="1">
      <c r="A459" s="1" t="inlineStr">
        <is>
          <t>ЦЕНТР СОДЕЙСТВИЯ РАЗВИТИЮ ПРЕДПРИНИМАТЕЛЬСТВА НОВОСИБИРСКОЙ ОБЛАСТИ, АНО</t>
        </is>
      </c>
      <c r="B459" s="1" t="inlineStr">
        <is>
          <t>5C030</t>
        </is>
      </c>
      <c r="C459" s="1" t="inlineStr">
        <is>
          <t>Россия</t>
        </is>
      </c>
      <c r="D459" s="1" t="inlineStr">
        <is>
          <t>Новосибирск</t>
        </is>
      </c>
      <c r="E459" s="1" t="inlineStr">
        <is>
          <t>Россия, 630007, г. Новосибирск, ул. Сибревкома, д. 9</t>
        </is>
      </c>
      <c r="F459" s="10" t="inlineStr">
        <is>
          <t>https://mbnso.ru</t>
        </is>
      </c>
      <c r="G459" s="1" t="inlineStr">
        <is>
          <t>info@mbnso.ru</t>
        </is>
      </c>
      <c r="H459" s="1" t="inlineStr">
        <is>
          <t>Услуга государственной поддержки субъектов МСП НСО (ООО «МедиКрафт», ИП Логинова Е.В., ООО «КС Трейд», ИП Редько К.А., ООО "НПК «Андроэксперт», ООО «Сибакадемтехнологии», ООО «К-Медика»).</t>
        </is>
      </c>
      <c r="I459" s="1" t="inlineStr">
        <is>
          <t>Одноразовые медицинские изделия прочие; Расходные материалы для медицинского оборудования; Технологии, оборудование и расходные материалы для спа и велнес; Фито- и ароматерапия; Одноразовые медицинские изделия; ПЦР-диагностика</t>
        </is>
      </c>
      <c r="J459" s="1">
        <f>IFERROR(__xludf.DUMMYFUNCTION("AI(Prompt!$B$6, H505:I505)"),"Поставщик услуг")</f>
        <v/>
      </c>
      <c r="K459" s="1">
        <f>IFERROR(__xludf.DUMMYFUNCTION("AI(Prompt!$B$12, H505:J505)"),"OK")</f>
        <v/>
      </c>
      <c r="L459" s="1">
        <f>IFERROR(__xludf.DUMMYFUNCTION("AI(Prompt!$B$17, H505:I505)"),"медицинские изделия, расходные материалы, оборудование и фито-средства")</f>
        <v/>
      </c>
      <c r="M459" s="1">
        <f>IFERROR(__xludf.DUMMYFUNCTION("AI(Prompt!$B$21,A505)"),"Центр Новосибирской")</f>
        <v/>
      </c>
      <c r="N459" s="1" t="inlineStr">
        <is>
          <t>Здравоохранение-2025</t>
        </is>
      </c>
      <c r="O459" s="9" t="inlineStr">
        <is>
          <t>https://icatalog.expocentr.ru/ru/exhibitions/de590dc5-417d-11ee-80ce-a0d3c1fab97f</t>
        </is>
      </c>
    </row>
    <row r="460" ht="16" customHeight="1">
      <c r="A460" s="1" t="inlineStr">
        <is>
          <t>ОРИОН-СИ, ООО</t>
        </is>
      </c>
      <c r="B460" s="1" t="inlineStr">
        <is>
          <t>5B010</t>
        </is>
      </c>
      <c r="C460" s="1" t="inlineStr">
        <is>
          <t>Россия</t>
        </is>
      </c>
      <c r="D460" s="1" t="inlineStr">
        <is>
          <t>Москва</t>
        </is>
      </c>
      <c r="E460" s="1" t="inlineStr">
        <is>
          <t>Россия, 115419, г. Москва, ул. Орджоникидзе, д. 11, стр. 1А, комн. 1, этаж 2, пом. VI</t>
        </is>
      </c>
      <c r="F460" s="10" t="inlineStr">
        <is>
          <t>http://www.orion-si.ru</t>
        </is>
      </c>
      <c r="G460" s="1" t="inlineStr">
        <is>
          <t>orionsi@yandex.ru</t>
        </is>
      </c>
      <c r="H460" s="1" t="inlineStr">
        <is>
          <t>Более 30 лет компания «Орион-СИ» является российским производителем медицинского оборудования на основе озоновых технологий. Основные направления — производство низкотемпературных озоновых стерилизаторов, терапевтических озонаторов и озонаторов для деконтаминации воздушной среды.</t>
        </is>
      </c>
      <c r="I460" s="1" t="inlineStr">
        <is>
          <t>Оборудование и средства борьбы с внутрибольничной инфекцией; Оборудование для стерилизации</t>
        </is>
      </c>
      <c r="J460" s="1">
        <f>IFERROR(__xludf.DUMMYFUNCTION("AI(Prompt!$B$6, H506:I506)"),"Производитель")</f>
        <v/>
      </c>
      <c r="K460" s="1">
        <f>IFERROR(__xludf.DUMMYFUNCTION("AI(Prompt!$B$12, H506:J506)"),"OK")</f>
        <v/>
      </c>
      <c r="L460" s="1">
        <f>IFERROR(__xludf.DUMMYFUNCTION("AI(Prompt!$B$17, H506:I506)"),"стерилизаторы, озонаторы")</f>
        <v/>
      </c>
      <c r="M460" s="1">
        <f>IFERROR(__xludf.DUMMYFUNCTION("AI(Prompt!$B$21,A506)"),"Орион Си")</f>
        <v/>
      </c>
      <c r="N460" s="1" t="inlineStr">
        <is>
          <t>Здравоохранение-2025</t>
        </is>
      </c>
      <c r="O460" s="9" t="inlineStr">
        <is>
          <t>https://icatalog.expocentr.ru/ru/exhibitions/de590dc5-417d-11ee-80ce-a0d3c1fab97f</t>
        </is>
      </c>
    </row>
    <row r="461" ht="16" customHeight="1">
      <c r="A461" s="1" t="inlineStr">
        <is>
          <t>ФЕРРОПЛАСТ МЕДИКАЛ, ООО</t>
        </is>
      </c>
      <c r="B461" s="1" t="inlineStr">
        <is>
          <t>5A012</t>
        </is>
      </c>
      <c r="C461" s="1" t="inlineStr">
        <is>
          <t>Россия</t>
        </is>
      </c>
      <c r="E461" s="1" t="inlineStr">
        <is>
          <t>Россия, 152260, Ярославская обл., Некрасовский р-н, пос. Приволжский</t>
        </is>
      </c>
      <c r="F461" s="10" t="inlineStr">
        <is>
          <t>https://www.ferroplast.ru</t>
        </is>
      </c>
      <c r="G461" s="1" t="inlineStr">
        <is>
          <t>ferroplast@mail.ru</t>
        </is>
      </c>
      <c r="H461" s="1" t="inlineStr">
        <is>
          <t>«Ферропласт Медикал» – российский производитель медицинского оборудования. Наши технологии сочетают методы очистки инструментов, обеспечивающие безопасность и стерильность в медицине и сфере красоты.</t>
        </is>
      </c>
      <c r="I461" s="1" t="inlineStr">
        <is>
          <t>Стоматологическое оборудование и инструменты; Прочее общебольничное оборудование; Оборудование и средства борьбы с внутрибольничной инфекцией; Оборудование для дезинфекции; Оборудование для стерилизации; Стерилизаторы</t>
        </is>
      </c>
      <c r="J461" s="1">
        <f>IFERROR(__xludf.DUMMYFUNCTION("AI(Prompt!$B$6, H507:I507)"),"Производитель")</f>
        <v/>
      </c>
      <c r="K461" s="1">
        <f>IFERROR(__xludf.DUMMYFUNCTION("AI(Prompt!$B$12, H507:J507)"),"OK")</f>
        <v/>
      </c>
      <c r="L461" s="1">
        <f>IFERROR(__xludf.DUMMYFUNCTION("AI(Prompt!$B$17, H507:I507)"),"медицинское оборудование, инструменты и стерилизаторы")</f>
        <v/>
      </c>
      <c r="M461" s="1">
        <f>IFERROR(__xludf.DUMMYFUNCTION("AI(Prompt!$B$21,A507)"),"Ферропласт Медикал")</f>
        <v/>
      </c>
      <c r="N461" s="1" t="inlineStr">
        <is>
          <t>Здравоохранение-2025</t>
        </is>
      </c>
      <c r="O461" s="9" t="inlineStr">
        <is>
          <t>https://icatalog.expocentr.ru/ru/exhibitions/de590dc5-417d-11ee-80ce-a0d3c1fab97f</t>
        </is>
      </c>
    </row>
    <row r="462" ht="16" customHeight="1">
      <c r="A462" s="1" t="inlineStr">
        <is>
          <t>АЦЕЯ</t>
        </is>
      </c>
      <c r="B462" s="1" t="inlineStr">
        <is>
          <t>5C080</t>
        </is>
      </c>
      <c r="C462" s="1" t="inlineStr">
        <is>
          <t>Россия</t>
        </is>
      </c>
      <c r="D462" s="1" t="inlineStr">
        <is>
          <t>Москва</t>
        </is>
      </c>
      <c r="E462" s="1" t="inlineStr">
        <is>
          <t>Россия, 105082, г. Москва, вн. тер. г. м. о. Басманный, Переведеновский пер., д. 13, стр. 18, пом. 21Н/3</t>
        </is>
      </c>
      <c r="F462" s="10" t="inlineStr">
        <is>
          <t>http://www.acearussia.com</t>
        </is>
      </c>
      <c r="G462" s="1" t="inlineStr">
        <is>
          <t>marketing@omniaproducts.ru</t>
        </is>
      </c>
      <c r="H462" s="1" t="inlineStr">
        <is>
          <t>«АЦЕЯ» – российское научно-производственное объединение, создающее профессиональныеантисептические, дезинфицирующие и гигиенические средства для медицины, соответствующие мировым стандартам качества.</t>
        </is>
      </c>
      <c r="I462" s="1" t="inlineStr">
        <is>
          <t>Оборудование и средства борьбы с внутрибольничной инфекцией; Средства контроля стерилизации; Средства химической дезинфекции и стерилизации; Средства для чистки и детергенты; Дезинфицирующие средства и материалы; Инструменты и принадлежности для инъекций  и взятия крови</t>
        </is>
      </c>
      <c r="J462" s="1">
        <f>IFERROR(__xludf.DUMMYFUNCTION("AI(Prompt!$B$6, H508:I508)"),"Производитель")</f>
        <v/>
      </c>
      <c r="K462" s="1">
        <f>IFERROR(__xludf.DUMMYFUNCTION("AI(Prompt!$B$12, H508:J508)"),"OK")</f>
        <v/>
      </c>
      <c r="L462" s="1">
        <f>IFERROR(__xludf.DUMMYFUNCTION("AI(Prompt!$B$17, H508:I508)"),"средства, материалы, инструменты и принадлежности")</f>
        <v/>
      </c>
      <c r="M462" s="1">
        <f>IFERROR(__xludf.DUMMYFUNCTION("AI(Prompt!$B$21,A508)"),"Ацея")</f>
        <v/>
      </c>
      <c r="N462" s="1" t="inlineStr">
        <is>
          <t>Здравоохранение-2025</t>
        </is>
      </c>
      <c r="O462" s="9" t="inlineStr">
        <is>
          <t>https://icatalog.expocentr.ru/ru/exhibitions/de590dc5-417d-11ee-80ce-a0d3c1fab97f</t>
        </is>
      </c>
    </row>
    <row r="463" ht="16" customHeight="1">
      <c r="A463" s="1" t="inlineStr">
        <is>
          <t>СИРИУС, ООО</t>
        </is>
      </c>
      <c r="B463" s="1" t="inlineStr">
        <is>
          <t>5B125</t>
        </is>
      </c>
      <c r="C463" s="1" t="inlineStr">
        <is>
          <t>Россия</t>
        </is>
      </c>
      <c r="D463" s="1" t="inlineStr">
        <is>
          <t>Москва</t>
        </is>
      </c>
      <c r="E463" s="1" t="inlineStr">
        <is>
          <t>Россия, 127051, г. Москва, Цветной б-р, д. 30, стр. 1, пом. 7, оф. 21</t>
        </is>
      </c>
      <c r="F463" s="10" t="inlineStr">
        <is>
          <t>http://www.siriuschem.ru</t>
        </is>
      </c>
      <c r="G463" s="1" t="inlineStr">
        <is>
          <t>sales@siriuschem.ru</t>
        </is>
      </c>
      <c r="H463" s="1" t="inlineStr">
        <is>
          <t>Производство и продажа дезинфицирующих средств в форме таблеток ТМ «ХлорЭксель»; контрактное производство.</t>
        </is>
      </c>
      <c r="I463" s="1" t="inlineStr">
        <is>
          <t>Средства химической дезинфекции и стерилизации; Дезинфицирующие средства и материалы</t>
        </is>
      </c>
      <c r="J463" s="1">
        <f>IFERROR(__xludf.DUMMYFUNCTION("AI(Prompt!$B$6, H510:I510)"),"Производитель")</f>
        <v/>
      </c>
      <c r="K463" s="1">
        <f>IFERROR(__xludf.DUMMYFUNCTION("AI(Prompt!$B$12, H510:J510)"),"OK")</f>
        <v/>
      </c>
      <c r="L463" s="1">
        <f>IFERROR(__xludf.DUMMYFUNCTION("AI(Prompt!$B$17, H510:I510)"),"дезинфицирующие средства и материалы")</f>
        <v/>
      </c>
      <c r="M463" s="1">
        <f>IFERROR(__xludf.DUMMYFUNCTION("AI(Prompt!$B$21,A510)"),"Сириус")</f>
        <v/>
      </c>
      <c r="N463" s="1" t="inlineStr">
        <is>
          <t>Здравоохранение-2025</t>
        </is>
      </c>
      <c r="O463" s="9" t="inlineStr">
        <is>
          <t>https://icatalog.expocentr.ru/ru/exhibitions/de590dc5-417d-11ee-80ce-a0d3c1fab97f</t>
        </is>
      </c>
    </row>
    <row r="464" ht="16" customHeight="1">
      <c r="A464" s="1" t="inlineStr">
        <is>
          <t>БИОВЕРИТАС, ООО</t>
        </is>
      </c>
      <c r="B464" s="1" t="inlineStr">
        <is>
          <t>5B022</t>
        </is>
      </c>
      <c r="C464" s="1" t="inlineStr">
        <is>
          <t>Россия</t>
        </is>
      </c>
      <c r="D464" s="1" t="inlineStr">
        <is>
          <t>Москва</t>
        </is>
      </c>
      <c r="E464" s="1" t="inlineStr">
        <is>
          <t>Россия, 127473, г. Москва, ул. Селезнёвская, д. 11а, стр. 2, пом. 1/2</t>
        </is>
      </c>
      <c r="F464" s="10" t="inlineStr">
        <is>
          <t>https://bioveritas.ru</t>
        </is>
      </c>
      <c r="G464" s="1" t="inlineStr">
        <is>
          <t>contact@bioveritas.ru</t>
        </is>
      </c>
      <c r="H464" s="1" t="inlineStr">
        <is>
          <t>Инновационный электронный атлас анатомии человека. Продвинутый инструмент нового поколения, способный визуализировать анатомическое строение человеческого тела и результаты медицинских исследований.</t>
        </is>
      </c>
      <c r="I464" s="1" t="inlineStr">
        <is>
          <t>Прочие диагностические устройства; Прочее общебольничное оборудование; Архивирование и документирование; IT-инфраструктура / компьютерное оборудование / системы mHealth; Системы eHealth, телемедицина; Вспомогательное оборудование</t>
        </is>
      </c>
      <c r="J464" s="1">
        <f>IFERROR(__xludf.DUMMYFUNCTION("AI(Prompt!$B$6, H512:I512)"),"Производитель")</f>
        <v/>
      </c>
      <c r="K464" s="1">
        <f>IFERROR(__xludf.DUMMYFUNCTION("AI(Prompt!$B$12, H512:J512)"),"OK")</f>
        <v/>
      </c>
      <c r="L464" s="1">
        <f>IFERROR(__xludf.DUMMYFUNCTION("AI(Prompt!$B$17, H512:I512)"),"диагностические устройства и оборудование")</f>
        <v/>
      </c>
      <c r="M464" s="1">
        <f>IFERROR(__xludf.DUMMYFUNCTION("AI(Prompt!$B$21,A512)"),"Биоверитас")</f>
        <v/>
      </c>
      <c r="N464" s="1" t="inlineStr">
        <is>
          <t>Здравоохранение-2025</t>
        </is>
      </c>
      <c r="O464" s="9" t="inlineStr">
        <is>
          <t>https://icatalog.expocentr.ru/ru/exhibitions/de590dc5-417d-11ee-80ce-a0d3c1fab97f</t>
        </is>
      </c>
    </row>
    <row r="465" ht="16" customHeight="1">
      <c r="A465" s="1" t="inlineStr">
        <is>
          <t>ADIABATICA</t>
        </is>
      </c>
      <c r="B465" s="1" t="inlineStr">
        <is>
          <t>5A001</t>
        </is>
      </c>
      <c r="C465" s="1" t="inlineStr">
        <is>
          <t>Россия</t>
        </is>
      </c>
      <c r="D465" s="1" t="inlineStr">
        <is>
          <t>Москва</t>
        </is>
      </c>
      <c r="E465" s="1" t="inlineStr">
        <is>
          <t>Россия, 109369, г. Москва, ул. Перерва, д. 32, пом. 20</t>
        </is>
      </c>
      <c r="F465" s="10" t="inlineStr">
        <is>
          <t>http://www.adiabatica.ru</t>
        </is>
      </c>
      <c r="G465" s="1" t="inlineStr">
        <is>
          <t>info@adiabatica.ru</t>
        </is>
      </c>
      <c r="H465" s="1" t="inlineStr">
        <is>
          <t>ADIABATICA — инновационная централизованная система увлажнения воздуха для многоэтажных жилых, медицинских и общественных зданий.</t>
        </is>
      </c>
      <c r="I465" s="1" t="inlineStr">
        <is>
          <t>Проектирование, производство, монтаж, валидация чистых операционных и реанимационных; Спортивные клубы, ассоциации, федерации; Технологии, оборудование и расходные материалы для спа и велнес; Методы и способы усиления иммунитета, повышения защитных функций организма; Социальные инвестиционные проекты, направленные на повышения уровня и качества жизни населения; Экология дома (ионизаторы воздуха, соляные лампы, воздухоочистители, увлажнители, кварцевые лампы и др.)</t>
        </is>
      </c>
      <c r="J465" s="1">
        <f>IFERROR(__xludf.DUMMYFUNCTION("AI(Prompt!$B$6, H513:I513)"),"Производитель")</f>
        <v/>
      </c>
      <c r="K465" s="1">
        <f>IFERROR(__xludf.DUMMYFUNCTION("AI(Prompt!$B$12, H513:J513)"),"OK")</f>
        <v/>
      </c>
      <c r="L465" s="1">
        <f>IFERROR(__xludf.DUMMYFUNCTION("AI(Prompt!$B$17, H513:I513)"),"системы увлажнения, воздухоочистители, ионизаторы и лампы")</f>
        <v/>
      </c>
      <c r="M465" s="1">
        <f>IFERROR(__xludf.DUMMYFUNCTION("AI(Prompt!$B$21,A513)"),"Adiabatica")</f>
        <v/>
      </c>
      <c r="N465" s="1" t="inlineStr">
        <is>
          <t>Здравоохранение-2025</t>
        </is>
      </c>
      <c r="O465" s="9" t="inlineStr">
        <is>
          <t>https://icatalog.expocentr.ru/ru/exhibitions/de590dc5-417d-11ee-80ce-a0d3c1fab97f</t>
        </is>
      </c>
    </row>
    <row r="466" ht="16" customHeight="1">
      <c r="A466" s="1" t="inlineStr">
        <is>
          <t>МЕДТЕХНИКА, НПФ, OOO</t>
        </is>
      </c>
      <c r="B466" s="1" t="inlineStr">
        <is>
          <t>5C012</t>
        </is>
      </c>
      <c r="C466" s="1" t="inlineStr">
        <is>
          <t>Россия</t>
        </is>
      </c>
      <c r="D466" s="1" t="inlineStr">
        <is>
          <t>Санкт-Петербург</t>
        </is>
      </c>
      <c r="E466" s="1" t="inlineStr">
        <is>
          <t>Россия, 198516, г. Санкт-Петербург, вн. тер. г. город Петергоф, ул. Конно-Гренадерская, д. 3, литера А, пом. 1-Н, комн. 1-5</t>
        </is>
      </c>
      <c r="F466" s="10" t="inlineStr">
        <is>
          <t>http://www.medtechnics.ru</t>
        </is>
      </c>
      <c r="G466" s="1" t="inlineStr">
        <is>
          <t>secret@medtechnics.ru</t>
        </is>
      </c>
      <c r="H466" s="1" t="inlineStr">
        <is>
          <t>ООО «НПФ «Медтехника» — активно развивающееся инновационно-коммерческое российское предприятие, осуществляющее производство и продажу линейки уникальных медицинских товаров и оборудования c 1995 г.</t>
        </is>
      </c>
      <c r="I466" s="1" t="inlineStr">
        <is>
          <t>Прочее общебольничное оборудование; Холодильники; Спасательное оборудование и снаряжение; Вакуумные экстракторы, аспираторы</t>
        </is>
      </c>
      <c r="J466" s="1">
        <f>IFERROR(__xludf.DUMMYFUNCTION("AI(Prompt!$B$6, H514:I514)"),"Производитель")</f>
        <v/>
      </c>
      <c r="K466" s="1">
        <f>IFERROR(__xludf.DUMMYFUNCTION("AI(Prompt!$B$12, H514:J514)"),"OK")</f>
        <v/>
      </c>
      <c r="L466" s="1">
        <f>IFERROR(__xludf.DUMMYFUNCTION("AI(Prompt!$B$17, H514:I514)"),"общебольничное оборудование, холодильники, спасательное снаряжение и аспираторы")</f>
        <v/>
      </c>
      <c r="M466" s="1">
        <f>IFERROR(__xludf.DUMMYFUNCTION("AI(Prompt!$B$21,A514)"),"МЕДТЕХНИКА НПФ")</f>
        <v/>
      </c>
      <c r="N466" s="1" t="inlineStr">
        <is>
          <t>Здравоохранение-2025</t>
        </is>
      </c>
      <c r="O466" s="9" t="inlineStr">
        <is>
          <t>https://icatalog.expocentr.ru/ru/exhibitions/de590dc5-417d-11ee-80ce-a0d3c1fab97f</t>
        </is>
      </c>
    </row>
    <row r="467" ht="16" customHeight="1">
      <c r="A467" s="1" t="inlineStr">
        <is>
          <t>СТЕРИМЕД, ООО</t>
        </is>
      </c>
      <c r="B467" s="1" t="inlineStr">
        <is>
          <t>5A025</t>
        </is>
      </c>
      <c r="C467" s="1" t="inlineStr">
        <is>
          <t>Россия</t>
        </is>
      </c>
      <c r="D467" s="1" t="inlineStr">
        <is>
          <t>Москва</t>
        </is>
      </c>
      <c r="E467" s="1" t="inlineStr">
        <is>
          <t>Россия, 109428, г. Москва, вн. тер. г. м. о. Рязанский, Рязанский просп., д. 10, стр. 18, пом. 35/3</t>
        </is>
      </c>
      <c r="F467" s="10" t="inlineStr">
        <is>
          <t>http://sterimedplus.ru</t>
        </is>
      </c>
      <c r="G467" s="1" t="inlineStr">
        <is>
          <t>s.minakov@sterimedplus.ru</t>
        </is>
      </c>
      <c r="H467" s="1" t="inlineStr">
        <is>
          <t>ООО «Стеримед» является отечественным производителем дезинфицирующих средств. Компания разрабатывает и производит универсальные и специализированные дезинфицирующие средства, кожные антисептики.</t>
        </is>
      </c>
      <c r="I467" s="1" t="inlineStr">
        <is>
          <t>Оборудование и средства борьбы с внутрибольничной инфекцией; Оборудование для дезинфекции; Дезинфицирующие средства и материалы</t>
        </is>
      </c>
      <c r="J467" s="1">
        <f>IFERROR(__xludf.DUMMYFUNCTION("AI(Prompt!$B$6, H515:I515)"),"Производитель")</f>
        <v/>
      </c>
      <c r="K467" s="1">
        <f>IFERROR(__xludf.DUMMYFUNCTION("AI(Prompt!$B$12, H515:J515)"),"OK")</f>
        <v/>
      </c>
      <c r="L467" s="1">
        <f>IFERROR(__xludf.DUMMYFUNCTION("AI(Prompt!$B$17, H515:I515)"),"дезинфицирующие средства и кожные антисептики")</f>
        <v/>
      </c>
      <c r="M467" s="1">
        <f>IFERROR(__xludf.DUMMYFUNCTION("AI(Prompt!$B$21,A515)"),"Стеримед")</f>
        <v/>
      </c>
      <c r="N467" s="1" t="inlineStr">
        <is>
          <t>Здравоохранение-2025</t>
        </is>
      </c>
      <c r="O467" s="9" t="inlineStr">
        <is>
          <t>https://icatalog.expocentr.ru/ru/exhibitions/de590dc5-417d-11ee-80ce-a0d3c1fab97f</t>
        </is>
      </c>
    </row>
    <row r="468" ht="16" customHeight="1">
      <c r="A468" s="1" t="inlineStr">
        <is>
          <t>ЦЕНТР ПОДДЕРЖКИ ЭКСПОРТА РЕСПУБЛИКИ ТАТАРСТАН, НМК</t>
        </is>
      </c>
      <c r="B468" s="1" t="inlineStr">
        <is>
          <t>5B060</t>
        </is>
      </c>
      <c r="C468" s="1" t="inlineStr">
        <is>
          <t>Россия</t>
        </is>
      </c>
      <c r="D468" s="1" t="inlineStr">
        <is>
          <t>Казань</t>
        </is>
      </c>
      <c r="E468" s="1" t="inlineStr">
        <is>
          <t>Россия, 420107, Республика Татарстан, г. Казань, ул. Петербургская, д. 28, этаж 1, каб. 18</t>
        </is>
      </c>
      <c r="F468" s="10" t="inlineStr">
        <is>
          <t>https://export-rt.ru</t>
        </is>
      </c>
      <c r="G468" s="1" t="inlineStr">
        <is>
          <t>tatexport@yandex.ru</t>
        </is>
      </c>
      <c r="H468" s="1" t="inlineStr">
        <is>
          <t>Размещены 5 компаний РТ: — ООО «АРФЕН ОСНО», www.arfen.ru;— ООО «НПФ «МЕДКОМ», +7 (843) 537-10-46; — ООО «ПО «ФОТОН ФЛАЙ», www.fotonfly.ru;— ООО «ВИПСОН», +7 (843) 212-51-27;— ООО «ЭЙДОС-БИО МЕД», +7 (843) 227 4063.</t>
        </is>
      </c>
      <c r="I468" s="1" t="inlineStr">
        <is>
          <t>Осветительные приборы; Системы утилизации отходов; Прочее общебольничное оборудование; Производство медицинских изделий; Ортопедическое оборудование и инструменты</t>
        </is>
      </c>
      <c r="J468" s="1">
        <f>IFERROR(__xludf.DUMMYFUNCTION("AI(Prompt!$B$6, H516:I516)"),"Производитель")</f>
        <v/>
      </c>
      <c r="K468" s="1">
        <f>IFERROR(__xludf.DUMMYFUNCTION("AI(Prompt!$B$12, H516:J516)"),"OK")</f>
        <v/>
      </c>
      <c r="L468" s="1">
        <f>IFERROR(__xludf.DUMMYFUNCTION("AI(Prompt!$B$17, H516:I516)"),"осветительные приборы, системы утилизации отходов, общебольничное оборудование, медицинские изделия и ортопедические инструменты")</f>
        <v/>
      </c>
      <c r="M468" s="1">
        <f>IFERROR(__xludf.DUMMYFUNCTION("AI(Prompt!$B$21,A516)"),"Центр Поддержки")</f>
        <v/>
      </c>
      <c r="N468" s="1" t="inlineStr">
        <is>
          <t>Здравоохранение-2025</t>
        </is>
      </c>
      <c r="O468" s="9" t="inlineStr">
        <is>
          <t>https://icatalog.expocentr.ru/ru/exhibitions/de590dc5-417d-11ee-80ce-a0d3c1fab97f</t>
        </is>
      </c>
    </row>
    <row r="469" ht="16" customHeight="1">
      <c r="A469" s="1" t="inlineStr">
        <is>
          <t>ЮНИМЕД ЛАБОРАТОРИЗ, АО</t>
        </is>
      </c>
      <c r="B469" s="1" t="inlineStr">
        <is>
          <t>5B130</t>
        </is>
      </c>
      <c r="C469" s="1" t="inlineStr">
        <is>
          <t>Россия</t>
        </is>
      </c>
      <c r="D469" s="1" t="inlineStr">
        <is>
          <t>Москва</t>
        </is>
      </c>
      <c r="E469" s="1" t="inlineStr">
        <is>
          <t>Россия, г. Москва, 4-й Добрынинский пер., д. 4</t>
        </is>
      </c>
      <c r="F469" s="10" t="inlineStr">
        <is>
          <t>https://unimedlab.ru</t>
        </is>
      </c>
      <c r="G469" s="1" t="inlineStr">
        <is>
          <t>kovalevich@unimedlab.ru</t>
        </is>
      </c>
      <c r="H469" s="1" t="inlineStr">
        <is>
          <t>Лаборатория «Юнимед Лабораториз» спроектирована и оснащена в соответствии с европейскими стандартами и удовлетворяет самым жестким требованиям. Уже 25 лет выполняем клинико-диагностические исследования.</t>
        </is>
      </c>
      <c r="I469" s="1" t="inlineStr">
        <is>
          <t>Регистрация медицинских изделий; Реагенты и расходные материалы для лабораторной диагностики; Гематология; Иммунология; Биохимия; ПЦР-диагностика</t>
        </is>
      </c>
      <c r="J469" s="1">
        <f>IFERROR(__xludf.DUMMYFUNCTION("AI(Prompt!$B$6, H517:I517)"),"Поставщик услуг")</f>
        <v/>
      </c>
      <c r="K469" s="1">
        <f>IFERROR(__xludf.DUMMYFUNCTION("AI(Prompt!$B$12, H517:J517)"),"OK")</f>
        <v/>
      </c>
      <c r="L469" s="1">
        <f>IFERROR(__xludf.DUMMYFUNCTION("AI(Prompt!$B$17, H517:I517)"),"медицинские изделия и реагенты")</f>
        <v/>
      </c>
      <c r="M469" s="1">
        <f>IFERROR(__xludf.DUMMYFUNCTION("AI(Prompt!$B$21,A517)"),"Юнимед Лабораториз")</f>
        <v/>
      </c>
      <c r="N469" s="1" t="inlineStr">
        <is>
          <t>Здравоохранение-2025</t>
        </is>
      </c>
      <c r="O469" s="9" t="inlineStr">
        <is>
          <t>https://icatalog.expocentr.ru/ru/exhibitions/de590dc5-417d-11ee-80ce-a0d3c1fab97f</t>
        </is>
      </c>
    </row>
    <row r="470" hidden="1" ht="16" customHeight="1">
      <c r="A470" s="1" t="inlineStr">
        <is>
          <t>БЕЛЭЛТИКА, ООО</t>
        </is>
      </c>
      <c r="B470" s="1" t="inlineStr">
        <is>
          <t>5B136</t>
        </is>
      </c>
      <c r="C470" s="1" t="inlineStr">
        <is>
          <t>Республика Беларусь</t>
        </is>
      </c>
      <c r="E470" s="1" t="inlineStr">
        <is>
          <t>Республика Беларусь, 223054, Минская обл., Минский р-н, ул. Ленина, д. 1, агрогородок Острошицкий Городок</t>
        </is>
      </c>
      <c r="F470" s="10" t="inlineStr">
        <is>
          <t>http://www.centrifugebel.org</t>
        </is>
      </c>
      <c r="G470" s="1" t="inlineStr">
        <is>
          <t>info@beleltika.by</t>
        </is>
      </c>
      <c r="H470" s="1" t="inlineStr">
        <is>
          <t>Производство рефрижераторных медицинских напольных центрифуг РМ-6000 (объем до 12 л).</t>
        </is>
      </c>
      <c r="I470" s="1" t="inlineStr">
        <is>
          <t>Оборудование и принадлежности для трансфузии; Оборудование для заготовки и хранения донорской крови и ее компонентов; Оборудование для банков крови; Расходные материалы для службы крови</t>
        </is>
      </c>
      <c r="J470" s="1">
        <f>IFERROR(__xludf.DUMMYFUNCTION("AI(Prompt!$B$6, H518:I518)"),"Производитель")</f>
        <v/>
      </c>
      <c r="K470" s="1">
        <f>IFERROR(__xludf.DUMMYFUNCTION("AI(Prompt!$B$12, H518:J518)"),"OK")</f>
        <v/>
      </c>
      <c r="L470" s="1">
        <f>IFERROR(__xludf.DUMMYFUNCTION("AI(Prompt!$B$17, H518:I518)"),"центрифуги, оборудование и расходные материалы")</f>
        <v/>
      </c>
      <c r="M470" s="1">
        <f>IFERROR(__xludf.DUMMYFUNCTION("AI(Prompt!$B$21,A518)"),"Белэктика")</f>
        <v/>
      </c>
      <c r="N470" s="1" t="inlineStr">
        <is>
          <t>Здравоохранение-2025</t>
        </is>
      </c>
      <c r="O470" s="9" t="inlineStr">
        <is>
          <t>https://icatalog.expocentr.ru/ru/exhibitions/de590dc5-417d-11ee-80ce-a0d3c1fab97f</t>
        </is>
      </c>
    </row>
    <row r="471" ht="16" customHeight="1">
      <c r="A471" s="1" t="inlineStr">
        <is>
          <t>МЕЛИТТА, НПП, ООО</t>
        </is>
      </c>
      <c r="B471" s="1" t="inlineStr">
        <is>
          <t>5B102</t>
        </is>
      </c>
      <c r="C471" s="1" t="inlineStr">
        <is>
          <t>Россия</t>
        </is>
      </c>
      <c r="D471" s="1" t="inlineStr">
        <is>
          <t>Москва</t>
        </is>
      </c>
      <c r="E471" s="1" t="inlineStr">
        <is>
          <t>Россия, 117997, г. Москва, ул. Миклухо-Маклая, д. 16/10</t>
        </is>
      </c>
      <c r="F471" s="10" t="inlineStr">
        <is>
          <t>http://www.melitta-uv.ru</t>
        </is>
      </c>
      <c r="G471" s="1" t="inlineStr">
        <is>
          <t>mail@melitta-uv.ru</t>
        </is>
      </c>
      <c r="H471" s="1" t="inlineStr">
        <is>
          <t>Компания полного цикла по разработке, серийному производству, внедрению в практическое здравоохранение импульсных ксеноновых ультрафиолетовых установок для обеззараживания воздуха и поверхностей.</t>
        </is>
      </c>
      <c r="I471" s="1" t="inlineStr">
        <is>
          <t>Оборудование и средства борьбы с внутрибольничной инфекцией; Оборудование для дезинфекции</t>
        </is>
      </c>
      <c r="J471" s="1">
        <f>IFERROR(__xludf.DUMMYFUNCTION("AI(Prompt!$B$6, H519:I519)"),"Производитель")</f>
        <v/>
      </c>
      <c r="K471" s="1">
        <f>IFERROR(__xludf.DUMMYFUNCTION("AI(Prompt!$B$12, H519:J519)"),"OK")</f>
        <v/>
      </c>
      <c r="L471" s="1">
        <f>IFERROR(__xludf.DUMMYFUNCTION("AI(Prompt!$B$17, H519:I519)"),"установки")</f>
        <v/>
      </c>
      <c r="M471" s="1">
        <f>IFERROR(__xludf.DUMMYFUNCTION("AI(Prompt!$B$21,A519)"),"Мелитта")</f>
        <v/>
      </c>
      <c r="N471" s="1" t="inlineStr">
        <is>
          <t>Здравоохранение-2025</t>
        </is>
      </c>
      <c r="O471" s="9" t="inlineStr">
        <is>
          <t>https://icatalog.expocentr.ru/ru/exhibitions/de590dc5-417d-11ee-80ce-a0d3c1fab97f</t>
        </is>
      </c>
    </row>
    <row r="472" ht="16" customHeight="1">
      <c r="A472" s="1" t="inlineStr">
        <is>
          <t>РЕНМЕДПРОМ — ЦИФРОВЫЕ ТЕХНОЛОГИИ, ООО</t>
        </is>
      </c>
      <c r="B472" s="1" t="inlineStr">
        <is>
          <t>5B038</t>
        </is>
      </c>
      <c r="C472" s="1" t="inlineStr">
        <is>
          <t>Россия</t>
        </is>
      </c>
      <c r="D472" s="1" t="inlineStr">
        <is>
          <t>Москва</t>
        </is>
      </c>
      <c r="E472" s="1" t="inlineStr">
        <is>
          <t>Россия, 119330, г. Москва, вн. тер. г. м. о. Раменки, ул. Мосфильмовская, д. 17Б, пом. 89</t>
        </is>
      </c>
      <c r="F472" s="10" t="inlineStr">
        <is>
          <t>http://www.renmedprom.ru</t>
        </is>
      </c>
      <c r="G472" s="1" t="inlineStr">
        <is>
          <t>main@renmedprom.ru</t>
        </is>
      </c>
      <c r="H472" s="1" t="inlineStr">
        <is>
          <t>ООО «РЕНМЕДПРОМ-ЦТ» — российский разработчик и производитель рентгенодиагностического оборудования и программных решений для высокотехнологичной медицинской помощи.</t>
        </is>
      </c>
      <c r="I472" s="1" t="inlineStr">
        <is>
          <t>Рентгеновские диагностические установки, передвижные и стационарные; Маммографы; Флюорографы</t>
        </is>
      </c>
      <c r="J472" s="1">
        <f>IFERROR(__xludf.DUMMYFUNCTION("AI(Prompt!$B$6, H520:I520)"),"Производитель")</f>
        <v/>
      </c>
      <c r="K472" s="1">
        <f>IFERROR(__xludf.DUMMYFUNCTION("AI(Prompt!$B$12, H520:J520)"),"OK")</f>
        <v/>
      </c>
      <c r="L472" s="1">
        <f>IFERROR(__xludf.DUMMYFUNCTION("AI(Prompt!$B$17, H520:I520)"),"рентгеновские установки, маммографы и флюорографы")</f>
        <v/>
      </c>
      <c r="M472" s="1">
        <f>IFERROR(__xludf.DUMMYFUNCTION("AI(Prompt!$B$21,A520)"),"Ренмедпром")</f>
        <v/>
      </c>
      <c r="N472" s="1" t="inlineStr">
        <is>
          <t>Здравоохранение-2025</t>
        </is>
      </c>
      <c r="O472" s="9" t="inlineStr">
        <is>
          <t>https://icatalog.expocentr.ru/ru/exhibitions/de590dc5-417d-11ee-80ce-a0d3c1fab97f</t>
        </is>
      </c>
    </row>
    <row r="473" ht="16" customHeight="1">
      <c r="A473" s="1" t="inlineStr">
        <is>
          <t>ДИАКОН-ДС, АО</t>
        </is>
      </c>
      <c r="B473" s="1" t="inlineStr">
        <is>
          <t>5B038</t>
        </is>
      </c>
      <c r="C473" s="1" t="inlineStr">
        <is>
          <t>Россия</t>
        </is>
      </c>
      <c r="D473" s="1" t="inlineStr">
        <is>
          <t>Пущино</t>
        </is>
      </c>
      <c r="E473" s="1" t="inlineStr">
        <is>
          <t>Россия, 142290, Московская обл., г. Пущино, ул. Грузовая, д. 1а</t>
        </is>
      </c>
      <c r="F473" s="10" t="inlineStr">
        <is>
          <t>http://www.diakon-ds.ru</t>
        </is>
      </c>
      <c r="G473" s="1" t="inlineStr">
        <is>
          <t>dds@diakon-ds.ru</t>
        </is>
      </c>
      <c r="H473" s="1" t="inlineStr">
        <is>
          <t>«ДИАКОН-ДС» — современная высокотехнологичная компания, работающая в сфере производства медицинских изделий для in vitro-диагностики: реагентов для клинической химии, гемостаза, гематологии и медицинской техники.</t>
        </is>
      </c>
      <c r="I473" s="1" t="inlineStr">
        <is>
          <t>Реагенты и расходные материалы для лабораторной диагностики; Гематология; Клиническая химия</t>
        </is>
      </c>
      <c r="J473" s="1">
        <f>IFERROR(__xludf.DUMMYFUNCTION("AI(Prompt!$B$6, H521:I521)"),"Производитель")</f>
        <v/>
      </c>
      <c r="K473" s="1">
        <f>IFERROR(__xludf.DUMMYFUNCTION("AI(Prompt!$B$12, H521:J521)"),"OK")</f>
        <v/>
      </c>
      <c r="L473" s="1">
        <f>IFERROR(__xludf.DUMMYFUNCTION("AI(Prompt!$B$17, H521:I521)"),"реагенты и медицинская техника")</f>
        <v/>
      </c>
      <c r="M473" s="1">
        <f>IFERROR(__xludf.DUMMYFUNCTION("AI(Prompt!$B$21,A521)"),"Диакон-ДС")</f>
        <v/>
      </c>
      <c r="N473" s="1" t="inlineStr">
        <is>
          <t>Здравоохранение-2025</t>
        </is>
      </c>
      <c r="O473" s="9" t="inlineStr">
        <is>
          <t>https://icatalog.expocentr.ru/ru/exhibitions/de590dc5-417d-11ee-80ce-a0d3c1fab97f</t>
        </is>
      </c>
    </row>
    <row r="474" ht="16" customHeight="1">
      <c r="A474" s="1" t="inlineStr">
        <is>
          <t>МОДУС, ЗАО</t>
        </is>
      </c>
      <c r="B474" s="1" t="inlineStr">
        <is>
          <t>5B038</t>
        </is>
      </c>
      <c r="C474" s="1" t="inlineStr">
        <is>
          <t>Россия</t>
        </is>
      </c>
      <c r="D474" s="1" t="inlineStr">
        <is>
          <t>Москва</t>
        </is>
      </c>
      <c r="E474" s="1" t="inlineStr">
        <is>
          <t>Россия, 123056, г. Москва, ул. Фучика, д. 17/19</t>
        </is>
      </c>
      <c r="F474" s="10" t="inlineStr">
        <is>
          <t>https://tianoks.ru</t>
        </is>
      </c>
      <c r="G474" s="1" t="inlineStr">
        <is>
          <t>zaomodus@yandex.ru</t>
        </is>
      </c>
      <c r="H474" s="1" t="inlineStr">
        <is>
          <t>«МОДУС» — дистрибьютор АО «Росатом», поставщик аппаратов для терапии оксидом азота «ТИАНОКС» с целью оснащения учреждений в рамках нацпроекта «Семья». На стенде представлено оборудование по профилю «неонатология».</t>
        </is>
      </c>
      <c r="I474" s="1" t="inlineStr">
        <is>
          <t>Инкубаторы и открытые реанимационные системы; Оборудование и материалы для неонатального скрининга; Аппараты для искусственной вентиляции легких</t>
        </is>
      </c>
      <c r="J474" s="1">
        <f>IFERROR(__xludf.DUMMYFUNCTION("AI(Prompt!$B$6, H522:I522)"),"Дилер")</f>
        <v/>
      </c>
      <c r="K474" s="1">
        <f>IFERROR(__xludf.DUMMYFUNCTION("AI(Prompt!$B$12, H522:J522)"),"OK")</f>
        <v/>
      </c>
      <c r="L474" s="1">
        <f>IFERROR(__xludf.DUMMYFUNCTION("AI(Prompt!$B$17, H522:I522)"),"аппараты для терапии, инкубаторы, реанимационные системы, и оборудование для скрининга")</f>
        <v/>
      </c>
      <c r="M474" s="1">
        <f>IFERROR(__xludf.DUMMYFUNCTION("AI(Prompt!$B$21,A522)"),"Модус")</f>
        <v/>
      </c>
      <c r="N474" s="1" t="inlineStr">
        <is>
          <t>Здравоохранение-2025</t>
        </is>
      </c>
      <c r="O474" s="9" t="inlineStr">
        <is>
          <t>https://icatalog.expocentr.ru/ru/exhibitions/de590dc5-417d-11ee-80ce-a0d3c1fab97f</t>
        </is>
      </c>
    </row>
    <row r="475" ht="16" customHeight="1">
      <c r="A475" s="1" t="inlineStr">
        <is>
          <t>МЕДИЦИНСКАЯ ТЕХНИКА ПЛЮС, ООО</t>
        </is>
      </c>
      <c r="B475" s="1" t="inlineStr">
        <is>
          <t>5B038</t>
        </is>
      </c>
      <c r="C475" s="1" t="inlineStr">
        <is>
          <t>Россия</t>
        </is>
      </c>
      <c r="D475" s="1" t="inlineStr">
        <is>
          <t>Москва</t>
        </is>
      </c>
      <c r="E475" s="1" t="inlineStr">
        <is>
          <t>Россия, 127473, г. Москва, 1-й Щемиловский пер., д. 17, стр. 1</t>
        </is>
      </c>
      <c r="F475" s="10" t="inlineStr">
        <is>
          <t>https://umetex.com/ru/</t>
        </is>
      </c>
      <c r="G475" s="1" t="inlineStr">
        <is>
          <t>info@umetex.com</t>
        </is>
      </c>
      <c r="H475" s="1" t="inlineStr">
        <is>
          <t>С 2003 года группа компаний UMETEX занимается комплексным обеспечением государственных и частных медицинских организаций передовым оборудованием и расходными материалами.</t>
        </is>
      </c>
      <c r="I475" s="1" t="inlineStr">
        <is>
          <t>Оборудование для урологической диагностики; Инструменты урологические; Отоскопы и лор-инструменты; Проктология; Эстетическая медицина и косметология; Ортопедия и травматология</t>
        </is>
      </c>
      <c r="J475" s="1">
        <f>IFERROR(__xludf.DUMMYFUNCTION("AI(Prompt!$B$6, H523:I523)"),"Дилер")</f>
        <v/>
      </c>
      <c r="K475" s="1">
        <f>IFERROR(__xludf.DUMMYFUNCTION("AI(Prompt!$B$12, H523:J523)"),"OK")</f>
        <v/>
      </c>
      <c r="L475" s="1">
        <f>IFERROR(__xludf.DUMMYFUNCTION("AI(Prompt!$B$17, H523:I523)"),"оборудование и расходные материалы")</f>
        <v/>
      </c>
      <c r="M475" s="1">
        <f>IFERROR(__xludf.DUMMYFUNCTION("AI(Prompt!$B$21,A523)"),"Медицинская Техника Плюс")</f>
        <v/>
      </c>
      <c r="N475" s="1" t="inlineStr">
        <is>
          <t>Здравоохранение-2025</t>
        </is>
      </c>
      <c r="O475" s="9" t="inlineStr">
        <is>
          <t>https://icatalog.expocentr.ru/ru/exhibitions/de590dc5-417d-11ee-80ce-a0d3c1fab97f</t>
        </is>
      </c>
    </row>
    <row r="476" ht="16" customHeight="1">
      <c r="A476" s="1" t="inlineStr">
        <is>
          <t>САМАРСКАЯ ОБЛАСТЬ</t>
        </is>
      </c>
      <c r="B476" s="1" t="inlineStr">
        <is>
          <t>5B020</t>
        </is>
      </c>
      <c r="C476" s="1" t="inlineStr">
        <is>
          <t>Россия</t>
        </is>
      </c>
      <c r="D476" s="1" t="inlineStr">
        <is>
          <t>Самара</t>
        </is>
      </c>
      <c r="E476" s="1" t="inlineStr">
        <is>
          <t>Россия, г. Самара, ул. Молодогвардейская, д. 211, оф. 211 (центр «Мой бизнес»)</t>
        </is>
      </c>
      <c r="F476" s="10" t="inlineStr">
        <is>
          <t>http://vk.com/rus63com</t>
        </is>
      </c>
      <c r="G476" s="1" t="inlineStr">
        <is>
          <t>cpesamara163@mail.ru</t>
        </is>
      </c>
      <c r="H476" s="1" t="inlineStr">
        <is>
          <t>На коллективном стенде Самарской области представлены ООО «Медтехлинк», ООО «МСК», ООО «Протон», ООО «СЗМИ», ООО «СамАрс» — компании, работающие в сфере медоборудования, строительства медобъектов, производства перчаток и питания.</t>
        </is>
      </c>
      <c r="I476" s="1" t="inlineStr">
        <is>
          <t>Одноразовые медицинские изделия прочие; Комплектующие для производства медицинских изделий; Биологически активные добавки к пище; Хирургическое оборудование</t>
        </is>
      </c>
      <c r="J476" s="1">
        <f>IFERROR(__xludf.DUMMYFUNCTION("AI(Prompt!$B$6, H524:I524)"),"Производитель")</f>
        <v/>
      </c>
      <c r="K476" s="1">
        <f>IFERROR(__xludf.DUMMYFUNCTION("AI(Prompt!$B$12, H524:J524)"),"OK")</f>
        <v/>
      </c>
      <c r="L476" s="1">
        <f>IFERROR(__xludf.DUMMYFUNCTION("AI(Prompt!$B$17, H524:I524)"),"медоборудование, перчатки, комплектующие и добавки к пище")</f>
        <v/>
      </c>
      <c r="M476" s="1">
        <f>IFERROR(__xludf.DUMMYFUNCTION("AI(Prompt!$B$21,A524)"),"Самарская Область")</f>
        <v/>
      </c>
      <c r="N476" s="1" t="inlineStr">
        <is>
          <t>Здравоохранение-2025</t>
        </is>
      </c>
      <c r="O476" s="9" t="inlineStr">
        <is>
          <t>https://icatalog.expocentr.ru/ru/exhibitions/de590dc5-417d-11ee-80ce-a0d3c1fab97f</t>
        </is>
      </c>
    </row>
    <row r="477" ht="16" customHeight="1">
      <c r="A477" s="1" t="inlineStr">
        <is>
          <t>ТЕКОМАКС-МСК, ООО</t>
        </is>
      </c>
      <c r="B477" s="1" t="inlineStr">
        <is>
          <t>5C015</t>
        </is>
      </c>
      <c r="C477" s="1" t="inlineStr">
        <is>
          <t>Россия</t>
        </is>
      </c>
      <c r="D477" s="1" t="inlineStr">
        <is>
          <t>Москва</t>
        </is>
      </c>
      <c r="E477" s="1" t="inlineStr">
        <is>
          <t>Россия, 124498, г. Москва, г. Зеленоград, Георгиевский просп., д. 5, стр. 1, комн. 56</t>
        </is>
      </c>
      <c r="F477" s="10" t="inlineStr">
        <is>
          <t>http://www.tekomax.com</t>
        </is>
      </c>
      <c r="G477" s="1" t="inlineStr">
        <is>
          <t>info@tekomax.com</t>
        </is>
      </c>
      <c r="H477" s="1" t="inlineStr">
        <is>
          <t>Поставщик и производитель операционных светодиодных светильников, кислородных концентраторов для подключения к аппаратам ИВЛ, НДА. Проектирование и монтаж систем медицинского газоснабжения.</t>
        </is>
      </c>
      <c r="I477" s="1" t="inlineStr">
        <is>
          <t>Осветительные приборы; Оборудование для медицинских газов; Операционные столы; Осветители хирургические</t>
        </is>
      </c>
      <c r="J477" s="1">
        <f>IFERROR(__xludf.DUMMYFUNCTION("AI(Prompt!$B$6, H525:I525)"),"Производитель")</f>
        <v/>
      </c>
      <c r="K477" s="1">
        <f>IFERROR(__xludf.DUMMYFUNCTION("AI(Prompt!$B$12, H525:J525)"),"OK")</f>
        <v/>
      </c>
      <c r="L477" s="1">
        <f>IFERROR(__xludf.DUMMYFUNCTION("AI(Prompt!$B$17, H525:I525)"),"светильники, концентраторы, столы и оборудование")</f>
        <v/>
      </c>
      <c r="M477" s="1">
        <f>IFERROR(__xludf.DUMMYFUNCTION("AI(Prompt!$B$21,A525)"),"Текомакс Мск")</f>
        <v/>
      </c>
      <c r="N477" s="1" t="inlineStr">
        <is>
          <t>Здравоохранение-2025</t>
        </is>
      </c>
      <c r="O477" s="9" t="inlineStr">
        <is>
          <t>https://icatalog.expocentr.ru/ru/exhibitions/de590dc5-417d-11ee-80ce-a0d3c1fab97f</t>
        </is>
      </c>
    </row>
    <row r="478" ht="16" customHeight="1">
      <c r="A478" s="1" t="inlineStr">
        <is>
          <t>НЬЮФАРМ, ООО</t>
        </is>
      </c>
      <c r="B478" s="1" t="inlineStr">
        <is>
          <t>5B110</t>
        </is>
      </c>
      <c r="C478" s="1" t="inlineStr">
        <is>
          <t>Россия</t>
        </is>
      </c>
      <c r="D478" s="1" t="inlineStr">
        <is>
          <t>Кинешма</t>
        </is>
      </c>
      <c r="E478" s="1" t="inlineStr">
        <is>
          <t>Россия, 155815, Ивановская обл., г. Кинешма, ул. Шуйская, д. 1</t>
        </is>
      </c>
      <c r="F478" s="10" t="inlineStr">
        <is>
          <t>http://www.n-farm.ru</t>
        </is>
      </c>
      <c r="G478" s="1" t="inlineStr">
        <is>
          <t>info@n-farm.ru</t>
        </is>
      </c>
      <c r="H478" s="1" t="inlineStr">
        <is>
          <t>«Ньюфарм» — российский производитель широкого спектра продукции – от перевязочных средств до хирургических комплектов, занимающий одну из лидирующих позиций на рынке медицинских изделий.</t>
        </is>
      </c>
      <c r="I478" s="1" t="inlineStr">
        <is>
          <t>Перевязочные средства; Инструменты и принадлежности для инъекций  и взятия крови; Одноразовые медицинские изделия прочие; Производство медицинских изделий; Расходные материалы для службы крови</t>
        </is>
      </c>
      <c r="J478" s="1">
        <f>IFERROR(__xludf.DUMMYFUNCTION("AI(Prompt!$B$6, H526:I526)"),"Производитель")</f>
        <v/>
      </c>
      <c r="K478" s="1">
        <f>IFERROR(__xludf.DUMMYFUNCTION("AI(Prompt!$B$12, H526:J526)"),"OK")</f>
        <v/>
      </c>
      <c r="L478" s="1">
        <f>IFERROR(__xludf.DUMMYFUNCTION("AI(Prompt!$B$17, H526:I526)"),"перевязочные средства, хирургические комплекты и медицинские изделия")</f>
        <v/>
      </c>
      <c r="M478" s="1">
        <f>IFERROR(__xludf.DUMMYFUNCTION("AI(Prompt!$B$21,A526)"),"Ньюфарм")</f>
        <v/>
      </c>
      <c r="N478" s="1" t="inlineStr">
        <is>
          <t>Здравоохранение-2025</t>
        </is>
      </c>
      <c r="O478" s="9" t="inlineStr">
        <is>
          <t>https://icatalog.expocentr.ru/ru/exhibitions/de590dc5-417d-11ee-80ce-a0d3c1fab97f</t>
        </is>
      </c>
    </row>
    <row r="479" ht="16" customHeight="1">
      <c r="A479" s="1" t="inlineStr">
        <is>
          <t>ЮГАСЕПТ, ООО</t>
        </is>
      </c>
      <c r="B479" s="1" t="inlineStr">
        <is>
          <t>5A070</t>
        </is>
      </c>
      <c r="C479" s="1" t="inlineStr">
        <is>
          <t>Россия</t>
        </is>
      </c>
      <c r="D479" s="1" t="inlineStr">
        <is>
          <t>Тольятти</t>
        </is>
      </c>
      <c r="E479" s="1" t="inlineStr">
        <is>
          <t>Россия, 445044, Самарская обл., г. Тольятти, б-р Космонавтов, д. 16, кв. 45</t>
        </is>
      </c>
      <c r="F479" s="10" t="inlineStr">
        <is>
          <t>http://www.ugasept.ru</t>
        </is>
      </c>
      <c r="G479" s="1" t="inlineStr">
        <is>
          <t>uga_sept@mail.ru</t>
        </is>
      </c>
      <c r="H479" s="1" t="inlineStr">
        <is>
          <t>Компания «Югасепт» — производитель дезинфицирующих спиртовых салфеток. Успешный поставщик, надежный партнер, высокое качество поставляемой продукции.</t>
        </is>
      </c>
      <c r="I479" s="1" t="inlineStr">
        <is>
          <t>Дезинфицирующие средства и материалы</t>
        </is>
      </c>
      <c r="J479" s="1">
        <f>IFERROR(__xludf.DUMMYFUNCTION("AI(Prompt!$B$6, H527:I527)"),"Производитель")</f>
        <v/>
      </c>
      <c r="K479" s="1">
        <f>IFERROR(__xludf.DUMMYFUNCTION("AI(Prompt!$B$12, H527:J527)"),"OK")</f>
        <v/>
      </c>
      <c r="L479" s="1">
        <f>IFERROR(__xludf.DUMMYFUNCTION("AI(Prompt!$B$17, H527:I527)"),"дезинфицирующие средства и материалы")</f>
        <v/>
      </c>
      <c r="M479" s="1">
        <f>IFERROR(__xludf.DUMMYFUNCTION("AI(Prompt!$B$21,A527)"),"Югасепт")</f>
        <v/>
      </c>
      <c r="N479" s="1" t="inlineStr">
        <is>
          <t>Здравоохранение-2025</t>
        </is>
      </c>
      <c r="O479" s="9" t="inlineStr">
        <is>
          <t>https://icatalog.expocentr.ru/ru/exhibitions/de590dc5-417d-11ee-80ce-a0d3c1fab97f</t>
        </is>
      </c>
    </row>
    <row r="480" hidden="1" ht="16" customHeight="1">
      <c r="A480" s="1" t="inlineStr">
        <is>
          <t>АКСЕЛЬ И А, ТОО</t>
        </is>
      </c>
      <c r="B480" s="1" t="inlineStr">
        <is>
          <t>5B032</t>
        </is>
      </c>
      <c r="C480" s="1" t="inlineStr">
        <is>
          <t>Республика Казахстан</t>
        </is>
      </c>
      <c r="E480" s="1" t="inlineStr">
        <is>
          <t>Республика Казахстан, Алматинская обл., с. Казцик, промзона, д. 21</t>
        </is>
      </c>
      <c r="F480" s="10" t="inlineStr">
        <is>
          <t>https://aksel.kz</t>
        </is>
      </c>
      <c r="G480" s="1" t="inlineStr">
        <is>
          <t>info@aksel.kz</t>
        </is>
      </c>
      <c r="H480" s="1" t="inlineStr">
        <is>
          <t>Aksel &amp; А — инновационная компания из Казахстана, производящая автоматизированные тест-системы и являющаяся эксклюзивным дистрибьютором диагностической техники европейских производителей.</t>
        </is>
      </c>
      <c r="I480" s="1" t="inlineStr">
        <is>
          <t>Прочие изделия для лабораторий; Анализаторы; Гематология; Биохимия</t>
        </is>
      </c>
      <c r="J480" s="1">
        <f>IFERROR(__xludf.DUMMYFUNCTION("AI(Prompt!$B$6, H528:I528)"),"Производитель")</f>
        <v/>
      </c>
      <c r="K480" s="1">
        <f>IFERROR(__xludf.DUMMYFUNCTION("AI(Prompt!$B$12, H528:J528)"),"OK")</f>
        <v/>
      </c>
      <c r="L480" s="1">
        <f>IFERROR(__xludf.DUMMYFUNCTION("AI(Prompt!$B$17, H528:I528)"),"тест-системы, диагностическая техника и анализаторы")</f>
        <v/>
      </c>
      <c r="M480" s="1">
        <f>IFERROR(__xludf.DUMMYFUNCTION("AI(Prompt!$B$21,A528)"),"Аксель А")</f>
        <v/>
      </c>
      <c r="N480" s="1" t="inlineStr">
        <is>
          <t>Здравоохранение-2025</t>
        </is>
      </c>
      <c r="O480" s="9" t="inlineStr">
        <is>
          <t>https://icatalog.expocentr.ru/ru/exhibitions/de590dc5-417d-11ee-80ce-a0d3c1fab97f</t>
        </is>
      </c>
    </row>
    <row r="481" ht="16" customHeight="1">
      <c r="A481" s="1" t="inlineStr">
        <is>
          <t>РИВЬЕРА БИОТЕК</t>
        </is>
      </c>
      <c r="B481" s="1" t="inlineStr">
        <is>
          <t>5B050</t>
        </is>
      </c>
      <c r="C481" s="1" t="inlineStr">
        <is>
          <t>Россия</t>
        </is>
      </c>
      <c r="D481" s="1" t="inlineStr">
        <is>
          <t>Краснодар</t>
        </is>
      </c>
      <c r="E481" s="1" t="inlineStr">
        <is>
          <t>Россия, 350059, г. Краснодар, ул. Онежская, д. 64, пом. 6</t>
        </is>
      </c>
      <c r="F481" s="10" t="inlineStr">
        <is>
          <t>http://www.rivierabiotech.com</t>
        </is>
      </c>
      <c r="G481" s="1" t="inlineStr">
        <is>
          <t>info@rivierabiotech.ru</t>
        </is>
      </c>
      <c r="H481" s="1" t="inlineStr">
        <is>
          <t>Продажа пустых капсул, сырья и оборудования для производства БАД и лекарственных средств.</t>
        </is>
      </c>
      <c r="I481" s="1" t="inlineStr">
        <is>
          <t>Производство медицинских изделий; Комплектующие для производства медицинских изделий; Оборудование для криотерапии; Лекарственные средства; Биологически активные добавки к пище</t>
        </is>
      </c>
      <c r="J481" s="1">
        <f>IFERROR(__xludf.DUMMYFUNCTION("AI(Prompt!$B$6, H529:I529)"),"Дилер")</f>
        <v/>
      </c>
      <c r="K481" s="1">
        <f>IFERROR(__xludf.DUMMYFUNCTION("AI(Prompt!$B$12, H529:J529)"),"OK")</f>
        <v/>
      </c>
      <c r="L481" s="1">
        <f>IFERROR(__xludf.DUMMYFUNCTION("AI(Prompt!$B$17, H529:I529)"),"капсулы, сырье, оборудование, изделия и добавки")</f>
        <v/>
      </c>
      <c r="M481" s="1">
        <f>IFERROR(__xludf.DUMMYFUNCTION("AI(Prompt!$B$21,A529)"),"Ривьера Биотек")</f>
        <v/>
      </c>
      <c r="N481" s="1" t="inlineStr">
        <is>
          <t>Здравоохранение-2025</t>
        </is>
      </c>
      <c r="O481" s="9" t="inlineStr">
        <is>
          <t>https://icatalog.expocentr.ru/ru/exhibitions/de590dc5-417d-11ee-80ce-a0d3c1fab97f</t>
        </is>
      </c>
    </row>
    <row r="482" ht="16" customHeight="1">
      <c r="A482" s="1" t="inlineStr">
        <is>
          <t>Doctor Linden</t>
        </is>
      </c>
      <c r="B482" s="1" t="inlineStr">
        <is>
          <t>5B050</t>
        </is>
      </c>
      <c r="C482" s="1" t="inlineStr">
        <is>
          <t>Россия</t>
        </is>
      </c>
      <c r="D482" s="1" t="inlineStr">
        <is>
          <t>Краснодар</t>
        </is>
      </c>
      <c r="E482" s="1" t="inlineStr">
        <is>
          <t>Россия, 350000, г. Краснодар, ул. Зиповская, д. 36</t>
        </is>
      </c>
      <c r="F482" s="10" t="inlineStr">
        <is>
          <t>https://www.dr-linden.ru</t>
        </is>
      </c>
      <c r="G482" s="1" t="inlineStr">
        <is>
          <t>lindenbydoc@gmail.com</t>
        </is>
      </c>
      <c r="H482" s="1" t="inlineStr">
        <is>
          <t>Dr.Linden — больше, чем медицинская одежда. Бренд, созданный врачом для врачей. Создаем современный корпоративный стиль медицинских клиник!</t>
        </is>
      </c>
      <c r="I482" s="1" t="inlineStr">
        <is>
          <t>Стоматологическое оборудование и инструменты; Одежда и белье для пациентов и медицинского персонала; Прочее общебольничное оборудование; Гигиенические изделия для больниц; Производство медицинских изделий; Рентгеновские диагностические установки, передвижные и стационарные</t>
        </is>
      </c>
      <c r="J482" s="1">
        <f>IFERROR(__xludf.DUMMYFUNCTION("AI(Prompt!$B$6, H530:I530)"),"Производитель")</f>
        <v/>
      </c>
      <c r="K482" s="1">
        <f>IFERROR(__xludf.DUMMYFUNCTION("AI(Prompt!$B$12, H530:J530)"),"OK")</f>
        <v/>
      </c>
      <c r="L482" s="1">
        <f>IFERROR(__xludf.DUMMYFUNCTION("AI(Prompt!$B$17, H530:I530)"),"медицинская одежда, стоматологическое оборудование, гигиенические изделия и рентгеновские установки")</f>
        <v/>
      </c>
      <c r="M482" s="1">
        <f>IFERROR(__xludf.DUMMYFUNCTION("AI(Prompt!$B$21,A530)"),"Doctor Linden")</f>
        <v/>
      </c>
      <c r="N482" s="1" t="inlineStr">
        <is>
          <t>Здравоохранение-2025</t>
        </is>
      </c>
      <c r="O482" s="9" t="inlineStr">
        <is>
          <t>https://icatalog.expocentr.ru/ru/exhibitions/de590dc5-417d-11ee-80ce-a0d3c1fab97f</t>
        </is>
      </c>
    </row>
    <row r="483" ht="16" customHeight="1">
      <c r="A483" s="1" t="inlineStr">
        <is>
          <t>АНАПСКАЯ КОСМЕТИКА</t>
        </is>
      </c>
      <c r="B483" s="1" t="inlineStr">
        <is>
          <t>5B050</t>
        </is>
      </c>
      <c r="C483" s="1" t="inlineStr">
        <is>
          <t>Россия</t>
        </is>
      </c>
      <c r="E483" s="1" t="inlineStr">
        <is>
          <t>Россия, 353411, Краснодарский край, Анапский р-н, с. Супсех, ул. Космонавта Волкова, д. 14</t>
        </is>
      </c>
      <c r="F483" s="10" t="inlineStr">
        <is>
          <t>https://fitstyle.ru/anapskaya-kosmetika</t>
        </is>
      </c>
      <c r="G483" s="1" t="inlineStr">
        <is>
          <t>vdovina@fitstyle.ru</t>
        </is>
      </c>
      <c r="H483" s="1" t="inlineStr">
        <is>
          <t>Компания производит косметические средства под брендами «Анапская косметика» и Fitstyle. Реализуется на сайте Fitstyle.ru и на маркетплейсах, а также в фирменных магазинах, в аптечных сетях.</t>
        </is>
      </c>
      <c r="I483" s="1" t="inlineStr">
        <is>
          <t>Эстетическая медицина и косметология; Косметические препараты; Лечебная косметика; Фито- и ароматерапия; Профилактическая медицина, увеличение продолжительности жизни; Закаливание</t>
        </is>
      </c>
      <c r="J483" s="1">
        <f>IFERROR(__xludf.DUMMYFUNCTION("AI(Prompt!$B$6, H531:I531)"),"Производитель")</f>
        <v/>
      </c>
      <c r="K483" s="1">
        <f>IFERROR(__xludf.DUMMYFUNCTION("AI(Prompt!$B$12, H531:J531)"),"OK")</f>
        <v/>
      </c>
      <c r="L483" s="1">
        <f>IFERROR(__xludf.DUMMYFUNCTION("AI(Prompt!$B$17, H531:I531)"),"косметические средства, косметические препараты и лечебная косметика")</f>
        <v/>
      </c>
      <c r="M483" s="1">
        <f>IFERROR(__xludf.DUMMYFUNCTION("AI(Prompt!$B$21,A531)"),"Анапская Косметика")</f>
        <v/>
      </c>
      <c r="N483" s="1" t="inlineStr">
        <is>
          <t>Здравоохранение-2025</t>
        </is>
      </c>
      <c r="O483" s="9" t="inlineStr">
        <is>
          <t>https://icatalog.expocentr.ru/ru/exhibitions/de590dc5-417d-11ee-80ce-a0d3c1fab97f</t>
        </is>
      </c>
    </row>
    <row r="484" ht="16" customHeight="1">
      <c r="A484" s="1" t="inlineStr">
        <is>
          <t>СКОЛКОВО</t>
        </is>
      </c>
      <c r="B484" s="1" t="inlineStr">
        <is>
          <t>5B038</t>
        </is>
      </c>
      <c r="C484" s="1" t="inlineStr">
        <is>
          <t>Россия</t>
        </is>
      </c>
      <c r="E484" s="1" t="inlineStr">
        <is>
          <t>Россия</t>
        </is>
      </c>
      <c r="F484" s="10" t="inlineStr">
        <is>
          <t>https://sk.ru</t>
        </is>
      </c>
      <c r="G484" s="1" t="inlineStr">
        <is>
          <t>skfoundation@sk.ru</t>
        </is>
      </c>
      <c r="H484" s="1" t="inlineStr">
        <is>
          <t>Сколково (Группа ВЭБ.РФ) – крупнейший инновационный центр России. Стартапы экосистемы «Сколково» поставляют отечественную высокотехнологичную продукцию для медицины, промышленности, транспорта и т. д.</t>
        </is>
      </c>
      <c r="I484" s="1" t="inlineStr">
        <is>
          <t>Прочие диагностические устройства; Физиотерапия и реабилитация; Реабилитационное оборудование</t>
        </is>
      </c>
      <c r="J484" s="1">
        <f>IFERROR(__xludf.DUMMYFUNCTION("AI(Prompt!$B$6, H532:I532)"),"Производитель")</f>
        <v/>
      </c>
      <c r="K484" s="1">
        <f>IFERROR(__xludf.DUMMYFUNCTION("AI(Prompt!$B$12, H532:J532)"),"OK")</f>
        <v/>
      </c>
      <c r="L484" s="1">
        <f>IFERROR(__xludf.DUMMYFUNCTION("AI(Prompt!$B$17, H532:I532)"),"диагностические устройства, оборудование для физиотерапии и реабилитационное оборудование")</f>
        <v/>
      </c>
      <c r="M484" s="1">
        <f>IFERROR(__xludf.DUMMYFUNCTION("AI(Prompt!$B$21,A532)"),"Сколково")</f>
        <v/>
      </c>
      <c r="N484" s="1" t="inlineStr">
        <is>
          <t>Здравоохранение-2025</t>
        </is>
      </c>
      <c r="O484" s="9" t="inlineStr">
        <is>
          <t>https://icatalog.expocentr.ru/ru/exhibitions/de590dc5-417d-11ee-80ce-a0d3c1fab97f</t>
        </is>
      </c>
    </row>
    <row r="485" ht="16" customHeight="1">
      <c r="A485" s="1" t="inlineStr">
        <is>
          <t>ПАПИЙОН</t>
        </is>
      </c>
      <c r="B485" s="1" t="inlineStr">
        <is>
          <t>5B038</t>
        </is>
      </c>
      <c r="C485" s="1" t="inlineStr">
        <is>
          <t>Россия</t>
        </is>
      </c>
      <c r="E485" s="1" t="inlineStr">
        <is>
          <t>Россия</t>
        </is>
      </c>
      <c r="F485" s="10" t="inlineStr">
        <is>
          <t>http://papillon.health</t>
        </is>
      </c>
      <c r="H485" s="1" t="inlineStr">
        <is>
          <t>Мультимодальная платформа многофункциональных кроватей «Папийон» представляет собой линейку модернизированных кроватей-трансформеров, усовершенствованных с учетом требований современного функционала.</t>
        </is>
      </c>
      <c r="I485" s="1" t="inlineStr">
        <is>
          <t>Медицинская мебель; Кушетки медицинские</t>
        </is>
      </c>
      <c r="J485" s="1">
        <f>IFERROR(__xludf.DUMMYFUNCTION("AI(Prompt!$B$6, H533:I533)"),"Производитель")</f>
        <v/>
      </c>
      <c r="K485" s="1">
        <f>IFERROR(__xludf.DUMMYFUNCTION("AI(Prompt!$B$12, H533:J533)"),"OK")</f>
        <v/>
      </c>
      <c r="L485" s="1">
        <f>IFERROR(__xludf.DUMMYFUNCTION("AI(Prompt!$B$17, H533:I533)"),"кровати, кушетки и мебель")</f>
        <v/>
      </c>
      <c r="M485" s="1">
        <f>IFERROR(__xludf.DUMMYFUNCTION("AI(Prompt!$B$21,A533)"),"Папийон")</f>
        <v/>
      </c>
      <c r="N485" s="1" t="inlineStr">
        <is>
          <t>Здравоохранение-2025</t>
        </is>
      </c>
      <c r="O485" s="9" t="inlineStr">
        <is>
          <t>https://icatalog.expocentr.ru/ru/exhibitions/de590dc5-417d-11ee-80ce-a0d3c1fab97f</t>
        </is>
      </c>
    </row>
    <row r="486" ht="16" customHeight="1">
      <c r="A486" s="1" t="inlineStr">
        <is>
          <t>СЕНСОМЕД</t>
        </is>
      </c>
      <c r="B486" s="1" t="inlineStr">
        <is>
          <t>5B038</t>
        </is>
      </c>
      <c r="C486" s="1" t="inlineStr">
        <is>
          <t>Россия</t>
        </is>
      </c>
      <c r="E486" s="1" t="inlineStr">
        <is>
          <t>Россия</t>
        </is>
      </c>
      <c r="F486" s="10" t="inlineStr">
        <is>
          <t>https://sensorehab.com/ru</t>
        </is>
      </c>
      <c r="G486" s="1" t="inlineStr">
        <is>
          <t>info@sensorehab.com</t>
        </is>
      </c>
      <c r="H486" s="1" t="inlineStr">
        <is>
          <t>SensoRehab – это программно-аппаратный комплекс для реабилитации пациентов с нейрокогнитивными нарушениями с применением сенсорной перчатки и технологий виртуальной реальности.</t>
        </is>
      </c>
      <c r="I486" s="1" t="inlineStr">
        <is>
          <t>Физиотерапия и реабилитация; Оборудование для комбинированной физиотерапии; Реабилитационное оборудование; Тренажеры</t>
        </is>
      </c>
      <c r="J486" s="1">
        <f>IFERROR(__xludf.DUMMYFUNCTION("AI(Prompt!$B$6, H534:I534)"),"Производитель")</f>
        <v/>
      </c>
      <c r="K486" s="1">
        <f>IFERROR(__xludf.DUMMYFUNCTION("AI(Prompt!$B$12, H534:J534)"),"OK")</f>
        <v/>
      </c>
      <c r="L486" s="1">
        <f>IFERROR(__xludf.DUMMYFUNCTION("AI(Prompt!$B$17, H534:I534)"),"реабилитационное оборудование, тренажеры и перчатки")</f>
        <v/>
      </c>
      <c r="M486" s="1">
        <f>IFERROR(__xludf.DUMMYFUNCTION("AI(Prompt!$B$21,A534)"),"Сенсомед")</f>
        <v/>
      </c>
      <c r="N486" s="1" t="inlineStr">
        <is>
          <t>Здравоохранение-2025</t>
        </is>
      </c>
      <c r="O486" s="9" t="inlineStr">
        <is>
          <t>https://icatalog.expocentr.ru/ru/exhibitions/de590dc5-417d-11ee-80ce-a0d3c1fab97f</t>
        </is>
      </c>
    </row>
    <row r="487" ht="16" customHeight="1">
      <c r="A487" s="1" t="inlineStr">
        <is>
          <t>САЙНТИФИК КОМПЛАЙНС (СК)</t>
        </is>
      </c>
      <c r="B487" s="1" t="inlineStr">
        <is>
          <t>5B038</t>
        </is>
      </c>
      <c r="C487" s="1" t="inlineStr">
        <is>
          <t>Россия</t>
        </is>
      </c>
      <c r="E487" s="1" t="inlineStr">
        <is>
          <t>Россия</t>
        </is>
      </c>
      <c r="F487" s="10" t="inlineStr">
        <is>
          <t>https://scientific-compliance.ru</t>
        </is>
      </c>
      <c r="G487" s="1" t="inlineStr">
        <is>
          <t>a.poluyanov@scientific-compliance.ru</t>
        </is>
      </c>
      <c r="H487" s="1" t="inlineStr">
        <is>
          <t>Физиологически релевантный тестер — 6 (ФРТ-6) позволяет изучить «поведение» таблетки, капсулы в условиях, близких к реальным условиям ЖКТ человека, и предсказать фармакокинетические профили.</t>
        </is>
      </c>
      <c r="I487" s="1" t="inlineStr">
        <is>
          <t>Лабораторное оборудование; Анализаторы</t>
        </is>
      </c>
      <c r="J487" s="1">
        <f>IFERROR(__xludf.DUMMYFUNCTION("AI(Prompt!$B$6, H535:I535)"),"Производитель")</f>
        <v/>
      </c>
      <c r="K487" s="1">
        <f>IFERROR(__xludf.DUMMYFUNCTION("AI(Prompt!$B$12, H535:J535)"),"OK")</f>
        <v/>
      </c>
      <c r="L487" s="1">
        <f>IFERROR(__xludf.DUMMYFUNCTION("AI(Prompt!$B$17, H535:I535)"),"оборудование, анализаторы, тестеры")</f>
        <v/>
      </c>
      <c r="M487" s="1">
        <f>IFERROR(__xludf.DUMMYFUNCTION("AI(Prompt!$B$21,A535)"),"Сайнтифик Комплайнс (СК)")</f>
        <v/>
      </c>
      <c r="N487" s="1" t="inlineStr">
        <is>
          <t>Здравоохранение-2025</t>
        </is>
      </c>
      <c r="O487" s="9" t="inlineStr">
        <is>
          <t>https://icatalog.expocentr.ru/ru/exhibitions/de590dc5-417d-11ee-80ce-a0d3c1fab97f</t>
        </is>
      </c>
    </row>
    <row r="488" ht="16" customHeight="1">
      <c r="A488" s="1" t="inlineStr">
        <is>
          <t>ТЕХПРОДЗДРАВ, НПО</t>
        </is>
      </c>
      <c r="B488" s="1" t="inlineStr">
        <is>
          <t>5B038</t>
        </is>
      </c>
      <c r="C488" s="1" t="inlineStr">
        <is>
          <t>Россия</t>
        </is>
      </c>
      <c r="E488" s="1" t="inlineStr">
        <is>
          <t>Россия</t>
        </is>
      </c>
      <c r="F488" s="10" t="inlineStr">
        <is>
          <t>https://npotpz.ru</t>
        </is>
      </c>
      <c r="H488" s="1" t="inlineStr">
        <is>
          <t>Изделия с микросферами «Артрейд» — инновационные медицинские изделия для лечения и профилактики заболеваний сердечно-сосудистой системы и опорно-двигательного аппарата.</t>
        </is>
      </c>
      <c r="I488" s="1" t="inlineStr">
        <is>
          <t>Реабилитационное оборудование; Тренажеры; Оборудование для компрессионной терапии; Профилактическая медицина, увеличение продолжительности жизни; Ортопедия и травматология</t>
        </is>
      </c>
      <c r="J488" s="1">
        <f>IFERROR(__xludf.DUMMYFUNCTION("AI(Prompt!$B$6, H536:I536)"),"Производитель")</f>
        <v/>
      </c>
      <c r="K488" s="1">
        <f>IFERROR(__xludf.DUMMYFUNCTION("AI(Prompt!$B$12, H536:J536)"),"OK")</f>
        <v/>
      </c>
      <c r="L488" s="1">
        <f>IFERROR(__xludf.DUMMYFUNCTION("AI(Prompt!$B$17, H536:I536)"),"медицинские изделия, реабилитационное оборудование, тренажеры и оборудование для терапии")</f>
        <v/>
      </c>
      <c r="M488" s="1">
        <f>IFERROR(__xludf.DUMMYFUNCTION("AI(Prompt!$B$21,A536)"),"ТЕХПРОДЗДРАВ, НПО")</f>
        <v/>
      </c>
      <c r="N488" s="1" t="inlineStr">
        <is>
          <t>Здравоохранение-2025</t>
        </is>
      </c>
      <c r="O488" s="9" t="inlineStr">
        <is>
          <t>https://icatalog.expocentr.ru/ru/exhibitions/de590dc5-417d-11ee-80ce-a0d3c1fab97f</t>
        </is>
      </c>
    </row>
    <row r="489" ht="16" customHeight="1">
      <c r="A489" s="1" t="inlineStr">
        <is>
          <t>ФИТОФАРМ, ООО</t>
        </is>
      </c>
      <c r="B489" s="1" t="inlineStr">
        <is>
          <t>5B050</t>
        </is>
      </c>
      <c r="C489" s="1" t="inlineStr">
        <is>
          <t>Россия</t>
        </is>
      </c>
      <c r="D489" s="1" t="inlineStr">
        <is>
          <t>Анапа</t>
        </is>
      </c>
      <c r="E489" s="1" t="inlineStr">
        <is>
          <t>Россия, Краснодарский край, г. Анапа, ул. Парковая, д. 57</t>
        </is>
      </c>
      <c r="F489" s="10" t="inlineStr">
        <is>
          <t>https://fitofarm.ru</t>
        </is>
      </c>
      <c r="G489" s="1" t="inlineStr">
        <is>
          <t>sales@fitofarm.ru</t>
        </is>
      </c>
      <c r="H489" s="1" t="inlineStr">
        <is>
          <t>ПКФ «Фитофарм» (ООО) ведет свою историю с 1992 г. и более 30 лет входит в число лидирующих предприятий России, занятых производством медикаментов из лекарственного растительного сырья.</t>
        </is>
      </c>
      <c r="I489" s="1" t="inlineStr">
        <is>
          <t>Фито- и ароматерапия</t>
        </is>
      </c>
      <c r="J489" s="1">
        <f>IFERROR(__xludf.DUMMYFUNCTION("AI(Prompt!$B$6, H537:I537)"),"Производитель")</f>
        <v/>
      </c>
      <c r="K489" s="1">
        <f>IFERROR(__xludf.DUMMYFUNCTION("AI(Prompt!$B$12, H537:J537)"),"OK")</f>
        <v/>
      </c>
      <c r="L489" s="1">
        <f>IFERROR(__xludf.DUMMYFUNCTION("AI(Prompt!$B$17, H537:I537)"),"медикаменты, растительное сырье")</f>
        <v/>
      </c>
      <c r="M489" s="1">
        <f>IFERROR(__xludf.DUMMYFUNCTION("AI(Prompt!$B$21,A537)"),"Фитофарм")</f>
        <v/>
      </c>
      <c r="N489" s="1" t="inlineStr">
        <is>
          <t>Здравоохранение-2025</t>
        </is>
      </c>
      <c r="O489" s="9" t="inlineStr">
        <is>
          <t>https://icatalog.expocentr.ru/ru/exhibitions/de590dc5-417d-11ee-80ce-a0d3c1fab97f</t>
        </is>
      </c>
    </row>
    <row r="490" ht="16" customHeight="1">
      <c r="A490" s="1" t="inlineStr">
        <is>
          <t>ХИМАВТОМАТИКА, НПО, АО</t>
        </is>
      </c>
      <c r="B490" s="1" t="inlineStr">
        <is>
          <t>5B021</t>
        </is>
      </c>
      <c r="C490" s="1" t="inlineStr">
        <is>
          <t>Россия</t>
        </is>
      </c>
      <c r="D490" s="1" t="inlineStr">
        <is>
          <t>Москва</t>
        </is>
      </c>
      <c r="E490" s="1" t="inlineStr">
        <is>
          <t>Россия, 129226, г. Москва, ул. Сельскохозяйственная, д. 12а</t>
        </is>
      </c>
      <c r="F490" s="10" t="inlineStr">
        <is>
          <t>https://chimavtomatika.ru</t>
        </is>
      </c>
      <c r="G490" s="1" t="inlineStr">
        <is>
          <t>mail@chimavtomatika.ru</t>
        </is>
      </c>
      <c r="H490" s="1" t="inlineStr">
        <is>
          <t>Основным видом деятельности АО НПО «Химавтоматика» являются научные исследования и разработки, а также производство систем технологического и экологического контроля, аналитических приборов, медицинской техники.</t>
        </is>
      </c>
      <c r="I490" s="1" t="inlineStr">
        <is>
          <t>Оборудование для дезинфекции; Оборудование для стерилизации</t>
        </is>
      </c>
      <c r="J490" s="1">
        <f>IFERROR(__xludf.DUMMYFUNCTION("AI(Prompt!$B$6, H538:I538)"),"Производитель")</f>
        <v/>
      </c>
      <c r="K490" s="1">
        <f>IFERROR(__xludf.DUMMYFUNCTION("AI(Prompt!$B$12, H538:J538)"),"OK")</f>
        <v/>
      </c>
      <c r="L490" s="1">
        <f>IFERROR(__xludf.DUMMYFUNCTION("AI(Prompt!$B$17, H538:I538)"),"аналитические приборы, медицинская техника и оборудование")</f>
        <v/>
      </c>
      <c r="M490" s="1">
        <f>IFERROR(__xludf.DUMMYFUNCTION("AI(Prompt!$B$21,A538)"),"Химавтоматика, НПО")</f>
        <v/>
      </c>
      <c r="N490" s="1" t="inlineStr">
        <is>
          <t>Здравоохранение-2025</t>
        </is>
      </c>
      <c r="O490" s="9" t="inlineStr">
        <is>
          <t>https://icatalog.expocentr.ru/ru/exhibitions/de590dc5-417d-11ee-80ce-a0d3c1fab97f</t>
        </is>
      </c>
    </row>
    <row r="491" hidden="1" ht="16" customHeight="1">
      <c r="A491" s="1" t="inlineStr">
        <is>
          <t>DISERA TIBBI MALZEME LOJISTIK SAN. VE TIC. A.S.</t>
        </is>
      </c>
      <c r="B491" s="1" t="inlineStr">
        <is>
          <t>5B122</t>
        </is>
      </c>
      <c r="C491" s="1" t="inlineStr">
        <is>
          <t>Турция</t>
        </is>
      </c>
      <c r="E491" s="1" t="inlineStr">
        <is>
          <t>Турция</t>
        </is>
      </c>
      <c r="F491" s="10" t="inlineStr">
        <is>
          <t>https://www.disera.com.tr/tr</t>
        </is>
      </c>
      <c r="G491" s="1" t="inlineStr">
        <is>
          <t>s.urhan@disera.com.tr</t>
        </is>
      </c>
      <c r="H491" s="1" t="inlineStr">
        <is>
          <t>Компания Disera, основанная в 1996 году в г. Измире (Турция), занимается разработкой и производством лабораторных расходных материалов, систем сбора крови и мочи, а также продукции для плазмотерапии.</t>
        </is>
      </c>
      <c r="I491" s="1" t="inlineStr">
        <is>
          <t>Лабораторное оборудование</t>
        </is>
      </c>
      <c r="J491" s="1">
        <f>IFERROR(__xludf.DUMMYFUNCTION("AI(Prompt!$B$6, H539:I539)"),"Производитель")</f>
        <v/>
      </c>
      <c r="K491" s="1">
        <f>IFERROR(__xludf.DUMMYFUNCTION("AI(Prompt!$B$12, H539:J539)"),"OK")</f>
        <v/>
      </c>
      <c r="L491" s="1">
        <f>IFERROR(__xludf.DUMMYFUNCTION("AI(Prompt!$B$17, H539:I539)"),"расходные материалы, системы сбора крови и мочи, продукция для плазмотерапии")</f>
        <v/>
      </c>
      <c r="M491" s="1">
        <f>IFERROR(__xludf.DUMMYFUNCTION("AI(Prompt!$B$21,A539)"),"Disera")</f>
        <v/>
      </c>
      <c r="N491" s="1" t="inlineStr">
        <is>
          <t>Здравоохранение-2025</t>
        </is>
      </c>
      <c r="O491" s="9" t="inlineStr">
        <is>
          <t>https://icatalog.expocentr.ru/ru/exhibitions/de590dc5-417d-11ee-80ce-a0d3c1fab97f</t>
        </is>
      </c>
    </row>
    <row r="492" ht="16" customHeight="1">
      <c r="A492" s="1" t="inlineStr">
        <is>
          <t>ЦЕНТР ИНЖИНИРИНГА И ИННОВАЦИЙ ТОМСКОЙ ОБЛАСТИ, АНО</t>
        </is>
      </c>
      <c r="B492" s="1" t="inlineStr">
        <is>
          <t>5B045</t>
        </is>
      </c>
      <c r="C492" s="1" t="inlineStr">
        <is>
          <t>Россия</t>
        </is>
      </c>
      <c r="D492" s="1" t="inlineStr">
        <is>
          <t>Томск</t>
        </is>
      </c>
      <c r="E492" s="1" t="inlineStr">
        <is>
          <t>Россия, 634034, г. Томск, ул. Белинского, д. 60, этаж 3</t>
        </is>
      </c>
      <c r="F492" s="10" t="inlineStr">
        <is>
          <t>https://www.engineering.tomsk.ru/about/</t>
        </is>
      </c>
      <c r="G492" s="1" t="inlineStr">
        <is>
          <t>info@engineering.tomsk.ru</t>
        </is>
      </c>
      <c r="H492" s="1" t="inlineStr">
        <is>
          <t>АНО «ЦИИТО» организовывает коллективный стенд для инновационных технологических компаний и вузов Томской области с целью демонстрации разработок и формирования стратегических партнерств.</t>
        </is>
      </c>
      <c r="I492" s="1" t="inlineStr">
        <is>
          <t>Производство медицинских изделий; Передвижные пункты первичной (скорой) медицинской помощи; Средства для оказания экстренной медицинской помощи; Комплекты реанимационного оборудования; Принадлежности для хирургических аппаратов</t>
        </is>
      </c>
      <c r="J492" s="1">
        <f>IFERROR(__xludf.DUMMYFUNCTION("AI(Prompt!$B$6, H540:I540)"),"Производитель")</f>
        <v/>
      </c>
      <c r="K492" s="1">
        <f>IFERROR(__xludf.DUMMYFUNCTION("AI(Prompt!$B$12, H540:J540)"),"OK")</f>
        <v/>
      </c>
      <c r="L492" s="1">
        <f>IFERROR(__xludf.DUMMYFUNCTION("AI(Prompt!$B$17, H540:I540)"),"медицинские изделия, передвижные пункты, комплекты оборудования и принадлежности")</f>
        <v/>
      </c>
      <c r="M492" s="1">
        <f>IFERROR(__xludf.DUMMYFUNCTION("AI(Prompt!$B$21,A540)"),"Центр Инжиниринга")</f>
        <v/>
      </c>
      <c r="N492" s="1" t="inlineStr">
        <is>
          <t>Здравоохранение-2025</t>
        </is>
      </c>
      <c r="O492" s="9" t="inlineStr">
        <is>
          <t>https://icatalog.expocentr.ru/ru/exhibitions/de590dc5-417d-11ee-80ce-a0d3c1fab97f</t>
        </is>
      </c>
    </row>
    <row r="493" ht="16" customHeight="1">
      <c r="A493" s="1" t="inlineStr">
        <is>
          <t>ПРОХИМ, ООО</t>
        </is>
      </c>
      <c r="B493" s="1" t="inlineStr">
        <is>
          <t>5B030</t>
        </is>
      </c>
      <c r="C493" s="1" t="inlineStr">
        <is>
          <t>Россия</t>
        </is>
      </c>
      <c r="D493" s="1" t="inlineStr">
        <is>
          <t>Орёл</t>
        </is>
      </c>
      <c r="E493" s="1" t="inlineStr">
        <is>
          <t>Россия, 302008,, г. Орёл, ул. Машиностроительная, д. 6, корп. 2, пом. 2</t>
        </is>
      </c>
      <c r="F493" s="10" t="inlineStr">
        <is>
          <t>https://prokhim.ru</t>
        </is>
      </c>
      <c r="G493" s="1" t="inlineStr">
        <is>
          <t>info@prokhim.ru</t>
        </is>
      </c>
      <c r="H493" s="1" t="inlineStr">
        <is>
          <t>Компания производит оборудование для прачечных и химчисток. Основанный в 2002 году завод уже более 18 лет занимается разработкой, серийным выпуском и комплексными продажами данного оборудования.</t>
        </is>
      </c>
      <c r="I493" s="1" t="inlineStr">
        <is>
          <t>Оборудование для прачечных; Прочее общебольничное оборудование; Чистые помещения; Проектирование и оснащение медицинских учреждений под ключ</t>
        </is>
      </c>
      <c r="J493" s="1">
        <f>IFERROR(__xludf.DUMMYFUNCTION("AI(Prompt!$B$6, H541:I541)"),"Производитель")</f>
        <v/>
      </c>
      <c r="K493" s="1">
        <f>IFERROR(__xludf.DUMMYFUNCTION("AI(Prompt!$B$12, H541:J541)"),"OK")</f>
        <v/>
      </c>
      <c r="L493" s="1">
        <f>IFERROR(__xludf.DUMMYFUNCTION("AI(Prompt!$B$17, H541:I541)"),"оборудование для прачечных, общебольничное оборудование")</f>
        <v/>
      </c>
      <c r="M493" s="1">
        <f>IFERROR(__xludf.DUMMYFUNCTION("AI(Prompt!$B$21,A541)"),"Прохим")</f>
        <v/>
      </c>
      <c r="N493" s="1" t="inlineStr">
        <is>
          <t>Здравоохранение-2025</t>
        </is>
      </c>
      <c r="O493" s="9" t="inlineStr">
        <is>
          <t>https://icatalog.expocentr.ru/ru/exhibitions/de590dc5-417d-11ee-80ce-a0d3c1fab97f</t>
        </is>
      </c>
    </row>
    <row r="494" ht="16" customHeight="1">
      <c r="A494" s="1" t="inlineStr">
        <is>
          <t>АЛЬСАРИЯ, ООО</t>
        </is>
      </c>
      <c r="B494" s="1" t="inlineStr">
        <is>
          <t>5B030</t>
        </is>
      </c>
      <c r="C494" s="1" t="inlineStr">
        <is>
          <t>Россия</t>
        </is>
      </c>
      <c r="D494" s="1" t="inlineStr">
        <is>
          <t>Орёл</t>
        </is>
      </c>
      <c r="E494" s="1" t="inlineStr">
        <is>
          <t>Россия, 302008, г. Орёл, ул. Высоковольтная, стр. 2а</t>
        </is>
      </c>
      <c r="F494" s="10" t="inlineStr">
        <is>
          <t>https://alsariya.com</t>
        </is>
      </c>
      <c r="G494" s="1" t="inlineStr">
        <is>
          <t>alsariya@mail.ru</t>
        </is>
      </c>
      <c r="H494" s="1" t="inlineStr">
        <is>
          <t>«АЛЬСАРИЯ» — ведущая российская компания по производству товаров медицинского и бытового назначения с использованием инновационной технологии микросфер.</t>
        </is>
      </c>
      <c r="I494" s="1" t="inlineStr">
        <is>
          <t>Косметические препараты; Традиционные методы диагностики (диагностика нарушения сна, компьютерная оптическая топография и др.); Медицинские изделия для домашнего применения</t>
        </is>
      </c>
      <c r="J494" s="1">
        <f>IFERROR(__xludf.DUMMYFUNCTION("AI(Prompt!$B$6, H542:I542)"),"Производитель")</f>
        <v/>
      </c>
      <c r="K494" s="1">
        <f>IFERROR(__xludf.DUMMYFUNCTION("AI(Prompt!$B$12, H542:J542)"),"OK")</f>
        <v/>
      </c>
      <c r="L494" s="1">
        <f>IFERROR(__xludf.DUMMYFUNCTION("AI(Prompt!$B$17, H542:I542)"),"косметические препараты, медицинские изделия и товары для дома")</f>
        <v/>
      </c>
      <c r="M494" s="1">
        <f>IFERROR(__xludf.DUMMYFUNCTION("AI(Prompt!$B$21,A542)"),"Альсария")</f>
        <v/>
      </c>
      <c r="N494" s="1" t="inlineStr">
        <is>
          <t>Здравоохранение-2025</t>
        </is>
      </c>
      <c r="O494" s="9" t="inlineStr">
        <is>
          <t>https://icatalog.expocentr.ru/ru/exhibitions/de590dc5-417d-11ee-80ce-a0d3c1fab97f</t>
        </is>
      </c>
    </row>
    <row r="495" ht="16" customHeight="1">
      <c r="A495" s="1" t="inlineStr">
        <is>
          <t>АЛЬФАПЛАСТИК, ТОРГОВЫЙ ДОМ, ООО</t>
        </is>
      </c>
      <c r="B495" s="1" t="inlineStr">
        <is>
          <t>5B030</t>
        </is>
      </c>
      <c r="C495" s="1" t="inlineStr">
        <is>
          <t>Россия</t>
        </is>
      </c>
      <c r="E495" s="1" t="inlineStr">
        <is>
          <t>Россия</t>
        </is>
      </c>
      <c r="F495" s="10" t="inlineStr">
        <is>
          <t>https://alphaplastic.ru</t>
        </is>
      </c>
      <c r="G495" s="1" t="inlineStr">
        <is>
          <t>info.orel@alphaplastic.ru</t>
        </is>
      </c>
      <c r="H495" s="1" t="inlineStr">
        <is>
          <t>Крупнейший производитель в России изделий из резины и полимерных материалов для медицины, спорта и промышленности. Основное направление нашего производства – медицинская продукция.</t>
        </is>
      </c>
      <c r="I495" s="1" t="inlineStr">
        <is>
          <t>Физиотерапия и реабилитация; Реабилитационное оборудование; Фитнес и спорт; Эстетическая медицина и косметология; Медицинские изделия для домашнего применения</t>
        </is>
      </c>
      <c r="J495" s="1">
        <f>IFERROR(__xludf.DUMMYFUNCTION("AI(Prompt!$B$6, H543:I543)"),"Производитель")</f>
        <v/>
      </c>
      <c r="K495" s="1">
        <f>IFERROR(__xludf.DUMMYFUNCTION("AI(Prompt!$B$12, H543:J543)"),"OK")</f>
        <v/>
      </c>
      <c r="L495" s="1">
        <f>IFERROR(__xludf.DUMMYFUNCTION("AI(Prompt!$B$17, H543:I543)"),"изделия из резины, полимерные материалы, медицинская продукция и реабилитационное оборудование")</f>
        <v/>
      </c>
      <c r="M495" s="1">
        <f>IFERROR(__xludf.DUMMYFUNCTION("AI(Prompt!$B$21,A543)"),"Альфапластик")</f>
        <v/>
      </c>
      <c r="N495" s="1" t="inlineStr">
        <is>
          <t>Здравоохранение-2025</t>
        </is>
      </c>
      <c r="O495" s="9" t="inlineStr">
        <is>
          <t>https://icatalog.expocentr.ru/ru/exhibitions/de590dc5-417d-11ee-80ce-a0d3c1fab97f</t>
        </is>
      </c>
    </row>
    <row r="496" ht="16" customHeight="1">
      <c r="A496" s="1" t="inlineStr">
        <is>
          <t>РУСАНА, ТМ (МАЛИНКИНА Н.Л., ИП)</t>
        </is>
      </c>
      <c r="B496" s="1" t="inlineStr">
        <is>
          <t>5B030</t>
        </is>
      </c>
      <c r="C496" s="1" t="inlineStr">
        <is>
          <t>Россия</t>
        </is>
      </c>
      <c r="D496" s="1" t="inlineStr">
        <is>
          <t>Орёл</t>
        </is>
      </c>
      <c r="E496" s="1" t="inlineStr">
        <is>
          <t>Россия, г. Орёл, ул. Латышских Стрелков, д. 78а</t>
        </is>
      </c>
      <c r="F496" s="10" t="inlineStr">
        <is>
          <t>https://uniforma-rusana.com</t>
        </is>
      </c>
      <c r="G496" s="1" t="inlineStr">
        <is>
          <t>rusana94@mail.ru</t>
        </is>
      </c>
      <c r="H496" s="1" t="inlineStr">
        <is>
          <t>Швейное предприятие «Русана» основано в 1994 году, занимается пошивом спецодежды.В униформе работают продавцы, официанты, горничные, уборщицы, инженеры, медики и многие другие.</t>
        </is>
      </c>
      <c r="I496" s="1" t="inlineStr">
        <is>
          <t>Одежда и белье для пациентов и медицинского персонала</t>
        </is>
      </c>
      <c r="J496" s="1">
        <f>IFERROR(__xludf.DUMMYFUNCTION("AI(Prompt!$B$6, H544:I544)"),"Производитель")</f>
        <v/>
      </c>
      <c r="K496" s="1">
        <f>IFERROR(__xludf.DUMMYFUNCTION("AI(Prompt!$B$12, H544:J544)"),"OK")</f>
        <v/>
      </c>
      <c r="L496" s="1">
        <f>IFERROR(__xludf.DUMMYFUNCTION("AI(Prompt!$B$17, H544:I544)"),"спецодежда, униформа и белье")</f>
        <v/>
      </c>
      <c r="M496" s="1">
        <f>IFERROR(__xludf.DUMMYFUNCTION("AI(Prompt!$B$21,A544)"),"Русана")</f>
        <v/>
      </c>
      <c r="N496" s="1" t="inlineStr">
        <is>
          <t>Здравоохранение-2025</t>
        </is>
      </c>
      <c r="O496" s="9" t="inlineStr">
        <is>
          <t>https://icatalog.expocentr.ru/ru/exhibitions/de590dc5-417d-11ee-80ce-a0d3c1fab97f</t>
        </is>
      </c>
    </row>
    <row r="497" ht="16" customHeight="1">
      <c r="A497" s="1" t="inlineStr">
        <is>
          <t>МОСКОВСКИЙ ИННОВАЦИОННЫЙ КЛАСТЕР, ФОНД</t>
        </is>
      </c>
      <c r="B497" s="1" t="inlineStr">
        <is>
          <t>5B128</t>
        </is>
      </c>
      <c r="C497" s="1" t="inlineStr">
        <is>
          <t>Россия</t>
        </is>
      </c>
      <c r="D497" s="1" t="inlineStr">
        <is>
          <t>Москва</t>
        </is>
      </c>
      <c r="E497" s="1" t="inlineStr">
        <is>
          <t>Россия, 125009, г. Москва, вн. тер. г. м. о. Арбат, ул. Воздвиженка, д. 4/7, стр. 2</t>
        </is>
      </c>
      <c r="F497" s="10" t="inlineStr">
        <is>
          <t>http://i.moscow</t>
        </is>
      </c>
      <c r="G497" s="1" t="inlineStr">
        <is>
          <t>info@cluster.mos.ru</t>
        </is>
      </c>
      <c r="H497" s="1" t="inlineStr">
        <is>
          <t>Московский инновационный кластер — экосистема для кооперации крупного бизнеса, технологических компаний, научных организаций и вузов с целью разработки и внедрения передовых инновационных продуктов.</t>
        </is>
      </c>
      <c r="I497" s="1" t="inlineStr">
        <is>
          <t>Прочие диагностические устройства; Компьютерные томографы; Фитнес и спорт; Медицинские изделия для домашнего применения; Прочие изделия для лабораторий; Оборудование для заготовки и хранения донорской крови и ее компонентов</t>
        </is>
      </c>
      <c r="J497" s="1">
        <f>IFERROR(__xludf.DUMMYFUNCTION("AI(Prompt!$B$6, H545:I545)"),"Поставщик услуг")</f>
        <v/>
      </c>
      <c r="K497" s="1">
        <f>IFERROR(__xludf.DUMMYFUNCTION("AI(Prompt!$B$12, H545:J545)"),"OK")</f>
        <v/>
      </c>
      <c r="L497" s="1">
        <f>IFERROR(__xludf.DUMMYFUNCTION("AI(Prompt!$B$17, H545:I545)"),"устройства, томографы, изделия и оборудование")</f>
        <v/>
      </c>
      <c r="M497" s="1">
        <f>IFERROR(__xludf.DUMMYFUNCTION("AI(Prompt!$B$21,A545)"),"Московский Инновационный Кластер")</f>
        <v/>
      </c>
      <c r="N497" s="1" t="inlineStr">
        <is>
          <t>Здравоохранение-2025</t>
        </is>
      </c>
      <c r="O497" s="9" t="inlineStr">
        <is>
          <t>https://icatalog.expocentr.ru/ru/exhibitions/de590dc5-417d-11ee-80ce-a0d3c1fab97f</t>
        </is>
      </c>
    </row>
    <row r="498" ht="16" customHeight="1">
      <c r="A498" s="1" t="inlineStr">
        <is>
          <t>УМНЫЕ МЕДИЦИНСКИЕ ТЕХНОЛОГИИ, ООО (УМТ, ООО)</t>
        </is>
      </c>
      <c r="B498" s="1" t="inlineStr">
        <is>
          <t>5B110</t>
        </is>
      </c>
      <c r="C498" s="1" t="inlineStr">
        <is>
          <t>Россия</t>
        </is>
      </c>
      <c r="D498" s="1" t="inlineStr">
        <is>
          <t>Иваново</t>
        </is>
      </c>
      <c r="E498" s="1" t="inlineStr">
        <is>
          <t>Россия, г. Иваново, ул. Витебская, д. 24</t>
        </is>
      </c>
      <c r="F498" s="10" t="inlineStr">
        <is>
          <t>http://www.smartmedical.tech</t>
        </is>
      </c>
      <c r="G498" s="1" t="inlineStr">
        <is>
          <t>nikiforov.innovation@gmail.com</t>
        </is>
      </c>
      <c r="H498" s="1" t="inlineStr">
        <is>
          <t>Texel — решения для спортивной и восстановительной медицины: персональные анатомические текстильные электроды, беспроводные электростимуляторы и охлаждающие бандажи.</t>
        </is>
      </c>
      <c r="I498" s="1" t="inlineStr">
        <is>
          <t>Оборудование для вибротерапии и массажа; Оборудование для электротерапии; Оборудование для комбинированной физиотерапии; Оборудование для криотерапии; Средства для спорта, отдыха, досуга</t>
        </is>
      </c>
      <c r="J498" s="1">
        <f>IFERROR(__xludf.DUMMYFUNCTION("AI(Prompt!$B$6, H546:I546)"),"Производитель")</f>
        <v/>
      </c>
      <c r="K498" s="1">
        <f>IFERROR(__xludf.DUMMYFUNCTION("AI(Prompt!$B$12, H546:J546)"),"OK")</f>
        <v/>
      </c>
      <c r="L498" s="1">
        <f>IFERROR(__xludf.DUMMYFUNCTION("AI(Prompt!$B$17, H546:I546)"),"электроды, электростимуляторы и бандажи")</f>
        <v/>
      </c>
      <c r="M498" s="1">
        <f>IFERROR(__xludf.DUMMYFUNCTION("AI(Prompt!$B$21,A546)"),"УМТ")</f>
        <v/>
      </c>
      <c r="N498" s="1" t="inlineStr">
        <is>
          <t>Здравоохранение-2025</t>
        </is>
      </c>
      <c r="O498" s="9" t="inlineStr">
        <is>
          <t>https://icatalog.expocentr.ru/ru/exhibitions/de590dc5-417d-11ee-80ce-a0d3c1fab97f</t>
        </is>
      </c>
    </row>
    <row r="499" ht="16" customHeight="1">
      <c r="A499" s="1" t="inlineStr">
        <is>
          <t>MEDLEX</t>
        </is>
      </c>
      <c r="B499" s="1" t="inlineStr">
        <is>
          <t>5B050</t>
        </is>
      </c>
      <c r="C499" s="1" t="inlineStr">
        <is>
          <t>Россия</t>
        </is>
      </c>
      <c r="D499" s="1" t="inlineStr">
        <is>
          <t>Краснодар</t>
        </is>
      </c>
      <c r="E499" s="1" t="inlineStr">
        <is>
          <t>Россия, 350010, г. Краснодар, ул. Зиповская, д. 5, корп. 33</t>
        </is>
      </c>
      <c r="F499" s="10" t="inlineStr">
        <is>
          <t>https://medlex.ru</t>
        </is>
      </c>
      <c r="G499" s="1" t="inlineStr">
        <is>
          <t>info@medlex.ru</t>
        </is>
      </c>
      <c r="H499" s="1" t="inlineStr">
        <is>
          <t>Направления:— производство дезинфицирующих и моющих средств;— оснащение учреждений медицинским и общебольничным оборудованием;— поставка химических реактивов, мерной и химико-лабораторной посуды.</t>
        </is>
      </c>
      <c r="I499" s="1" t="inlineStr">
        <is>
          <t>Средства химической дезинфекции и стерилизации; Дезинфицирующие средства и материалы; Расходные материалы для медицинских приборов; Гигиенические изделия для больниц; Одноразовые медицинские изделия прочие; Расходные материалы для медицинского оборудования</t>
        </is>
      </c>
      <c r="J499" s="1">
        <f>IFERROR(__xludf.DUMMYFUNCTION("AI(Prompt!$B$6, H547:I547)"),"Производитель")</f>
        <v/>
      </c>
      <c r="K499" s="1">
        <f>IFERROR(__xludf.DUMMYFUNCTION("AI(Prompt!$B$12, H547:J547)"),"OK")</f>
        <v/>
      </c>
      <c r="L499" s="1">
        <f>IFERROR(__xludf.DUMMYFUNCTION("AI(Prompt!$B$17, H547:I547)"),"дезинфицирующие средства, моющие средства, оборудование и реактивы")</f>
        <v/>
      </c>
      <c r="M499" s="1">
        <f>IFERROR(__xludf.DUMMYFUNCTION("AI(Prompt!$B$21,A547)"),"Medlex")</f>
        <v/>
      </c>
      <c r="N499" s="1" t="inlineStr">
        <is>
          <t>Здравоохранение-2025</t>
        </is>
      </c>
      <c r="O499" s="9" t="inlineStr">
        <is>
          <t>https://icatalog.expocentr.ru/ru/exhibitions/de590dc5-417d-11ee-80ce-a0d3c1fab97f</t>
        </is>
      </c>
    </row>
    <row r="500" ht="16" customHeight="1">
      <c r="A500" s="1" t="inlineStr">
        <is>
          <t>ЛИДЕРПЛАСТ, ООО</t>
        </is>
      </c>
      <c r="B500" s="1" t="inlineStr">
        <is>
          <t>5B050</t>
        </is>
      </c>
      <c r="C500" s="1" t="inlineStr">
        <is>
          <t>Россия</t>
        </is>
      </c>
      <c r="D500" s="1" t="inlineStr">
        <is>
          <t>Краснодар</t>
        </is>
      </c>
      <c r="E500" s="1" t="inlineStr">
        <is>
          <t>Россия, 350058, г. Краснодар, ул. Старокубанская, д. 114, литера А1, оф. 508</t>
        </is>
      </c>
      <c r="F500" s="10" t="inlineStr">
        <is>
          <t>http://www.ldplast.ru/</t>
        </is>
      </c>
      <c r="G500" s="1" t="inlineStr">
        <is>
          <t>sales@ldplast.ru</t>
        </is>
      </c>
      <c r="H500" s="1" t="inlineStr">
        <is>
          <t>ООО «ЛП» с 2011 года производит высококачественные полимерные пленки (ПВХ, ПЭТ, ПВХ/ПЕ, ПЭТ/ПЕ) для пищевой, строительной и фармацевтической отраслей, учитывая особенности и запросы каждого клиента.</t>
        </is>
      </c>
      <c r="I500" s="1" t="inlineStr">
        <is>
          <t>Медицинская упаковка; Расходные материалы для медицинского оборудования; Поставка медицинского оборудования и расходных материалов; Комплектующие для производства медицинских изделий</t>
        </is>
      </c>
      <c r="J500" s="1">
        <f>IFERROR(__xludf.DUMMYFUNCTION("AI(Prompt!$B$6, H548:I548)"),"Производитель")</f>
        <v/>
      </c>
      <c r="K500" s="1">
        <f>IFERROR(__xludf.DUMMYFUNCTION("AI(Prompt!$B$12, H548:J548)"),"OK")</f>
        <v/>
      </c>
      <c r="L500" s="1">
        <f>IFERROR(__xludf.DUMMYFUNCTION("AI(Prompt!$B$17, H548:I548)"),"пленки, упаковка, комплектующие и расходные материалы")</f>
        <v/>
      </c>
      <c r="M500" s="1">
        <f>IFERROR(__xludf.DUMMYFUNCTION("AI(Prompt!$B$21,A548)"),"Лидерпласт")</f>
        <v/>
      </c>
      <c r="N500" s="1" t="inlineStr">
        <is>
          <t>Здравоохранение-2025</t>
        </is>
      </c>
      <c r="O500" s="9" t="inlineStr">
        <is>
          <t>https://icatalog.expocentr.ru/ru/exhibitions/de590dc5-417d-11ee-80ce-a0d3c1fab97f</t>
        </is>
      </c>
    </row>
    <row r="501" ht="16" customHeight="1">
      <c r="A501" s="1" t="inlineStr">
        <is>
          <t>ТОЛКАЧЕВА И.В., ИП</t>
        </is>
      </c>
      <c r="B501" s="1" t="inlineStr">
        <is>
          <t>5B110</t>
        </is>
      </c>
      <c r="C501" s="1" t="inlineStr">
        <is>
          <t>Россия</t>
        </is>
      </c>
      <c r="D501" s="1" t="inlineStr">
        <is>
          <t>Тейково</t>
        </is>
      </c>
      <c r="E501" s="1" t="inlineStr">
        <is>
          <t>Россия, Ивановская обл., г. Тейково, ул. местечко Лифаново, д. 6</t>
        </is>
      </c>
      <c r="F501" s="10" t="inlineStr">
        <is>
          <t>http://pupro.ru</t>
        </is>
      </c>
      <c r="G501" s="1" t="inlineStr">
        <is>
          <t>mozgovaia_n@pupro.ru</t>
        </is>
      </c>
      <c r="H501" s="1" t="inlineStr">
        <is>
          <t>Команда профессиональных химиков с 10-летним опытом в области создания полиуретанов для ортопедической продукции. Разработчики и производители криогеля (больше никакого льда, соляных грелок).</t>
        </is>
      </c>
      <c r="I501" s="1" t="inlineStr">
        <is>
          <t>Комплектующие для производства медицинских изделий; Оборудование для термотерапии; Оборудование для комбинированной физиотерапии; Оборудование для криотерапии; Ортопедические бандажи и корсеты; Ортопедическое оборудование и инструменты</t>
        </is>
      </c>
      <c r="J501" s="1">
        <f>IFERROR(__xludf.DUMMYFUNCTION("AI(Prompt!$B$6, H549:I549)"),"Производитель")</f>
        <v/>
      </c>
      <c r="K501" s="1">
        <f>IFERROR(__xludf.DUMMYFUNCTION("AI(Prompt!$B$12, H549:J549)"),"OK")</f>
        <v/>
      </c>
      <c r="L501" s="1">
        <f>IFERROR(__xludf.DUMMYFUNCTION("AI(Prompt!$B$17, H549:I549)"),"криогель, полиуретаны, ортопедические бандажи, корсеты и оборудование")</f>
        <v/>
      </c>
      <c r="M501" s="1">
        <f>IFERROR(__xludf.DUMMYFUNCTION("AI(Prompt!$B$21,A549)"),"ИП Толкачева")</f>
        <v/>
      </c>
      <c r="N501" s="1" t="inlineStr">
        <is>
          <t>Здравоохранение-2025</t>
        </is>
      </c>
      <c r="O501" s="9" t="inlineStr">
        <is>
          <t>https://icatalog.expocentr.ru/ru/exhibitions/de590dc5-417d-11ee-80ce-a0d3c1fab97f</t>
        </is>
      </c>
    </row>
    <row r="502" ht="16" customHeight="1">
      <c r="A502" s="1" t="inlineStr">
        <is>
          <t>ВИЗИОНЕРО, OOO</t>
        </is>
      </c>
      <c r="B502" s="1" t="inlineStr">
        <is>
          <t>5B038</t>
        </is>
      </c>
      <c r="C502" s="1" t="inlineStr">
        <is>
          <t>Россия</t>
        </is>
      </c>
      <c r="D502" s="1" t="inlineStr">
        <is>
          <t>Санкт-Петербург</t>
        </is>
      </c>
      <c r="E502" s="1" t="inlineStr">
        <is>
          <t>Россия, г. Санкт-Петербург, Коломяжский пр., д. 18</t>
        </is>
      </c>
      <c r="F502" s="10" t="inlineStr">
        <is>
          <t>http://visionero.ru</t>
        </is>
      </c>
      <c r="G502" s="1" t="inlineStr">
        <is>
          <t>event@visionero.ru</t>
        </is>
      </c>
      <c r="H502" s="1" t="inlineStr">
        <is>
          <t>«Сенсория» – интерактивный комплекс реабилитации, диагностики и аналитики. Разработан компанией Visionero для медицинских и социальных учреждений России.</t>
        </is>
      </c>
      <c r="I502" s="1" t="inlineStr">
        <is>
          <t>Физиотерапия и реабилитация; Терапевтическое оборудование; Реабилитационное оборудование; Тренажеры</t>
        </is>
      </c>
      <c r="J502" s="1">
        <f>IFERROR(__xludf.DUMMYFUNCTION("AI(Prompt!$B$6, H551:I551)"),"Производитель")</f>
        <v/>
      </c>
      <c r="K502" s="1">
        <f>IFERROR(__xludf.DUMMYFUNCTION("AI(Prompt!$B$12, H551:J551)"),"OK")</f>
        <v/>
      </c>
      <c r="L502" s="1">
        <f>IFERROR(__xludf.DUMMYFUNCTION("AI(Prompt!$B$17, H551:I551)"),"оборудование, тренажеры, комплексы")</f>
        <v/>
      </c>
      <c r="M502" s="1">
        <f>IFERROR(__xludf.DUMMYFUNCTION("AI(Prompt!$B$21,A551)"),"Визионеро")</f>
        <v/>
      </c>
      <c r="N502" s="1" t="inlineStr">
        <is>
          <t>Здравоохранение-2025</t>
        </is>
      </c>
      <c r="O502" s="9" t="inlineStr">
        <is>
          <t>https://icatalog.expocentr.ru/ru/exhibitions/de590dc5-417d-11ee-80ce-a0d3c1fab97f</t>
        </is>
      </c>
    </row>
    <row r="503" ht="16" customHeight="1">
      <c r="A503" s="1" t="inlineStr">
        <is>
          <t>АРХИТЕКТОР КРАСОТЫ, ООО</t>
        </is>
      </c>
      <c r="B503" s="1" t="inlineStr">
        <is>
          <t>11C001</t>
        </is>
      </c>
      <c r="C503" s="1" t="inlineStr">
        <is>
          <t>Россия</t>
        </is>
      </c>
      <c r="D503" s="1" t="inlineStr">
        <is>
          <t>Сарапул</t>
        </is>
      </c>
      <c r="E503" s="1" t="inlineStr">
        <is>
          <t>Россия, 427961, Удмуртская Республика, г. Сарапул, ул. Жуковского, д. 9</t>
        </is>
      </c>
      <c r="F503" s="10" t="inlineStr">
        <is>
          <t>http://www.cryotone.ru</t>
        </is>
      </c>
      <c r="G503" s="1" t="inlineStr">
        <is>
          <t>mitya.morozov.82@mail.ru</t>
        </is>
      </c>
      <c r="H503" s="1" t="inlineStr">
        <is>
          <t>Компания «Архитектор красоты» — производитель инновационного оборудования для криолиполиза Delet X. Эффективные решения, современное качество, поддержка и обучение для специалистов индустрии красоты.</t>
        </is>
      </c>
      <c r="I503" s="1" t="inlineStr">
        <is>
          <t>Спа-отель; Клиника эстетической медицины; Похудение; Программы красоты и коррекции фигуры; Программы снижения веса; Криотерапия</t>
        </is>
      </c>
      <c r="J503" s="1">
        <f>IFERROR(__xludf.DUMMYFUNCTION("AI(Prompt!$B$6, H555:I555)"),"Производитель")</f>
        <v/>
      </c>
      <c r="K503" s="1">
        <f>IFERROR(__xludf.DUMMYFUNCTION("AI(Prompt!$B$12, H555:J555)"),"OK")</f>
        <v/>
      </c>
      <c r="L503" s="1">
        <f>IFERROR(__xludf.DUMMYFUNCTION("AI(Prompt!$B$17, H555:I555)"),"оборудование")</f>
        <v/>
      </c>
      <c r="M503" s="1">
        <f>IFERROR(__xludf.DUMMYFUNCTION("AI(Prompt!$B$21,A555)"),"Архитектор Красоты")</f>
        <v/>
      </c>
      <c r="N503" s="1" t="inlineStr">
        <is>
          <t>MedTravelExpo-2025</t>
        </is>
      </c>
      <c r="O503" s="9" t="inlineStr">
        <is>
          <t>https://icatalog.expocentr.ru/ru/exhibitions/9daad3de-f999-11ef-80ce-a0d3c1fab97f</t>
        </is>
      </c>
    </row>
    <row r="504" ht="16" customHeight="1">
      <c r="A504" s="1" t="inlineStr">
        <is>
          <t>БИОМЕРА, ООО</t>
        </is>
      </c>
      <c r="B504" s="1" t="inlineStr">
        <is>
          <t>11C040</t>
        </is>
      </c>
      <c r="C504" s="1" t="inlineStr">
        <is>
          <t>Россия</t>
        </is>
      </c>
      <c r="D504" s="1" t="inlineStr">
        <is>
          <t>Москва</t>
        </is>
      </c>
      <c r="E504" s="1" t="inlineStr">
        <is>
          <t>Россия, 115419, г. Москва, вн. тер. г. м. о. Донской, 2-й Рощинский пр-д, д. 8, стр. 3</t>
        </is>
      </c>
      <c r="F504" s="10" t="inlineStr">
        <is>
          <t>http://www.biomera.ru</t>
        </is>
      </c>
      <c r="G504" s="1" t="inlineStr">
        <is>
          <t>info@biomera.ru</t>
        </is>
      </c>
      <c r="H504" s="1" t="inlineStr">
        <is>
          <t>Официальный представитель российского производителя универсальных стабилометрических систем и медицинских весов для реабилитации и диагностики. Оборудование зарегистрировано в РПП.</t>
        </is>
      </c>
      <c r="I504" s="1" t="inlineStr">
        <is>
          <t>Кардиохирургия; Неврология; Ортопедия, эндопротезирование; Педиатрия; Реабилитация; Восстановительная медицина</t>
        </is>
      </c>
      <c r="J504" s="1">
        <f>IFERROR(__xludf.DUMMYFUNCTION("AI(Prompt!$B$6, H558:I558)"),"Дилер")</f>
        <v/>
      </c>
      <c r="K504" s="1">
        <f>IFERROR(__xludf.DUMMYFUNCTION("AI(Prompt!$B$12, H558:J558)"),"OK")</f>
        <v/>
      </c>
      <c r="L504" s="1">
        <f>IFERROR(__xludf.DUMMYFUNCTION("AI(Prompt!$B$17, H558:I558)"),"стабилометрические системы и медицинские весы")</f>
        <v/>
      </c>
      <c r="M504" s="1">
        <f>IFERROR(__xludf.DUMMYFUNCTION("AI(Prompt!$B$21,A558)"),"Биомера")</f>
        <v/>
      </c>
      <c r="N504" s="1" t="inlineStr">
        <is>
          <t>MedTravelExpo-2025</t>
        </is>
      </c>
      <c r="O504" s="9" t="inlineStr">
        <is>
          <t>https://icatalog.expocentr.ru/ru/exhibitions/9daad3de-f999-11ef-80ce-a0d3c1fab97f</t>
        </is>
      </c>
    </row>
    <row r="505" hidden="1" ht="16" customHeight="1">
      <c r="A505" s="1" t="inlineStr">
        <is>
          <t>РУЖАНСКИЙ, САНАТОРИЙ, ОАО</t>
        </is>
      </c>
      <c r="B505" s="1" t="inlineStr">
        <is>
          <t>11A072</t>
        </is>
      </c>
      <c r="C505" s="1" t="inlineStr">
        <is>
          <t>Республика Беларусь</t>
        </is>
      </c>
      <c r="E505" s="1" t="inlineStr">
        <is>
          <t>Республика Беларусь, 225154, Брестская обл., Пружанский р-н, дер. Заполье, д. 1а</t>
        </is>
      </c>
      <c r="F505" s="10" t="inlineStr">
        <is>
          <t>http://www.sanruzh.by</t>
        </is>
      </c>
      <c r="G505" s="1" t="inlineStr">
        <is>
          <t>priemnaya@sanruzh.by</t>
        </is>
      </c>
      <c r="H505" s="1" t="inlineStr">
        <is>
          <t>Санаторий «Ружанский» — это гибридное предприятие, которое функционирует как спа-курорт, классический санаторий и курортно-реабилитационный центр с высокопрофессиональным персоналом.www.sanruzh.by</t>
        </is>
      </c>
      <c r="I505" s="1" t="inlineStr">
        <is>
          <t>Санаторий; Курорт; Санаторно-курортный комплекс</t>
        </is>
      </c>
      <c r="J505" s="1">
        <f>IFERROR(__xludf.DUMMYFUNCTION("AI(Prompt!$B$6, H560:I560)"),"Поставщик услуг")</f>
        <v/>
      </c>
      <c r="K505" s="1">
        <f>IFERROR(__xludf.DUMMYFUNCTION("AI(Prompt!$B$12, H560:J560)"),"OK")</f>
        <v/>
      </c>
      <c r="L505" s="1">
        <f>IFERROR(__xludf.DUMMYFUNCTION("AI(Prompt!$B$17, H560:I560)"),"нет товаров")</f>
        <v/>
      </c>
      <c r="M505" s="1">
        <f>IFERROR(__xludf.DUMMYFUNCTION("AI(Prompt!$B$21,A560)"),"Ружанский Санаторий")</f>
        <v/>
      </c>
      <c r="N505" s="1" t="inlineStr">
        <is>
          <t>MedTravelExpo-2025</t>
        </is>
      </c>
      <c r="O505" s="9" t="inlineStr">
        <is>
          <t>https://icatalog.expocentr.ru/ru/exhibitions/9daad3de-f999-11ef-80ce-a0d3c1fab97f</t>
        </is>
      </c>
    </row>
    <row r="506" ht="16" customHeight="1">
      <c r="A506" s="1" t="inlineStr">
        <is>
          <t>ПСКОВСКИЙ ОБЛАСТНОЙ СОВЕТ ПРОФЕССИОНАЛЬНЫХ СОЮЗОВ</t>
        </is>
      </c>
      <c r="B506" s="1" t="inlineStr">
        <is>
          <t>11C006</t>
        </is>
      </c>
      <c r="C506" s="1" t="inlineStr">
        <is>
          <t>Россия</t>
        </is>
      </c>
      <c r="D506" s="1" t="inlineStr">
        <is>
          <t>Псков</t>
        </is>
      </c>
      <c r="E506" s="1" t="inlineStr">
        <is>
          <t>Россия, 180000, г. Псков, ул. Советская, д. 15</t>
        </is>
      </c>
      <c r="F506" s="10" t="inlineStr">
        <is>
          <t>http://www.sovprof.ru</t>
        </is>
      </c>
      <c r="G506" s="1" t="inlineStr">
        <is>
          <t>marketing@pskov-kurort.ru</t>
        </is>
      </c>
      <c r="H506" s="1" t="inlineStr">
        <is>
          <t>Отдых и лечение в профсоюзных санаториях Псковской области. Минеральные воды и лечебная грязь.</t>
        </is>
      </c>
      <c r="I506" s="1" t="inlineStr">
        <is>
          <t>Санаторий; Курорт; Санаторно-курортный комплекс</t>
        </is>
      </c>
      <c r="J506" s="1">
        <f>IFERROR(__xludf.DUMMYFUNCTION("AI(Prompt!$B$6, H564:I564)"),"Поставщик услуг")</f>
        <v/>
      </c>
      <c r="K506" s="1">
        <f>IFERROR(__xludf.DUMMYFUNCTION("AI(Prompt!$B$12, H564:J564)"),"OK")</f>
        <v/>
      </c>
      <c r="L506" s="1">
        <f>IFERROR(__xludf.DUMMYFUNCTION("AI(Prompt!$B$17, H564:I564)"),"минеральные воды и лечебная грязь")</f>
        <v/>
      </c>
      <c r="M506" s="1">
        <f>IFERROR(__xludf.DUMMYFUNCTION("AI(Prompt!$B$21,A564)"),"Псковский Совет")</f>
        <v/>
      </c>
      <c r="N506" s="1" t="inlineStr">
        <is>
          <t>MedTravelExpo-2025</t>
        </is>
      </c>
      <c r="O506" s="9" t="inlineStr">
        <is>
          <t>https://icatalog.expocentr.ru/ru/exhibitions/9daad3de-f999-11ef-80ce-a0d3c1fab97f</t>
        </is>
      </c>
    </row>
    <row r="507" ht="16" customHeight="1">
      <c r="A507" s="1" t="inlineStr">
        <is>
          <t>ЦЕНТР НЕЙРОТЕХНОЛОГИЙ СНА И БОДРСТВОВАНИЯ (ЦНСиБ), ООО</t>
        </is>
      </c>
      <c r="B507" s="1" t="inlineStr">
        <is>
          <t>11B060</t>
        </is>
      </c>
      <c r="C507" s="1" t="inlineStr">
        <is>
          <t>Россия</t>
        </is>
      </c>
      <c r="D507" s="1" t="inlineStr">
        <is>
          <t>Москва</t>
        </is>
      </c>
      <c r="E507" s="1" t="inlineStr">
        <is>
          <t>Россия, 121205, г. Москва, тер. Инновационного центра «Сколково», Большой б-р, д. 42, стр. 1, пом. 268, рабочее место 3</t>
        </is>
      </c>
      <c r="F507" s="10" t="inlineStr">
        <is>
          <t>https://deep.online/ru</t>
        </is>
      </c>
      <c r="G507" s="1" t="inlineStr">
        <is>
          <t>mail@deep-care.online</t>
        </is>
      </c>
      <c r="H507" s="1" t="inlineStr">
        <is>
          <t>Центр нейротехнологий сна и бодрствования (ЦНСиБ), компания-резидент кластера «Биомед» «Сколково», создала бесконтактный прибор для борьбы с бессонницей и улучшения качества сна — «Кубик сна deep».</t>
        </is>
      </c>
      <c r="I507" s="1" t="inlineStr">
        <is>
          <t>Санаторно-курортный комплекс; Реабилитационный центр; Программы «Долголетие»</t>
        </is>
      </c>
      <c r="J507" s="1">
        <f>IFERROR(__xludf.DUMMYFUNCTION("AI(Prompt!$B$6, H567:I567)"),"Производитель")</f>
        <v/>
      </c>
      <c r="K507" s="1">
        <f>IFERROR(__xludf.DUMMYFUNCTION("AI(Prompt!$B$12, H567:J567)"),"OK")</f>
        <v/>
      </c>
      <c r="L507" s="1">
        <f>IFERROR(__xludf.DUMMYFUNCTION("AI(Prompt!$B$17, H567:I567)"),"приборы")</f>
        <v/>
      </c>
      <c r="M507" s="1">
        <f>IFERROR(__xludf.DUMMYFUNCTION("AI(Prompt!$B$21,A567)"),"ЦНСиБ")</f>
        <v/>
      </c>
      <c r="N507" s="1" t="inlineStr">
        <is>
          <t>MedTravelExpo-2025</t>
        </is>
      </c>
      <c r="O507" s="9" t="inlineStr">
        <is>
          <t>https://icatalog.expocentr.ru/ru/exhibitions/9daad3de-f999-11ef-80ce-a0d3c1fab97f</t>
        </is>
      </c>
    </row>
    <row r="508" ht="16" customHeight="1">
      <c r="A508" s="1" t="inlineStr">
        <is>
          <t>ФОНД РАЗВИТИЯ ОТЕЧЕСТВЕННОЙ НАУКИ, ТЕХНИКИ И МЕДИЦИНЫ (ФРОНТМЕД)</t>
        </is>
      </c>
      <c r="B508" s="1" t="inlineStr">
        <is>
          <t>11C009</t>
        </is>
      </c>
      <c r="C508" s="1" t="inlineStr">
        <is>
          <t>Россия</t>
        </is>
      </c>
      <c r="D508" s="1" t="inlineStr">
        <is>
          <t>Москва</t>
        </is>
      </c>
      <c r="E508" s="1" t="inlineStr">
        <is>
          <t>Россия, 123610, г. Москва, Краснопресненская наб., д. 12, пом. 1/18</t>
        </is>
      </c>
      <c r="F508" s="10" t="inlineStr">
        <is>
          <t>https://frontmed.ru</t>
        </is>
      </c>
      <c r="G508" s="1" t="inlineStr">
        <is>
          <t>frontmed@frontmed.ru</t>
        </is>
      </c>
      <c r="H508" s="1" t="inlineStr">
        <is>
          <t>Фонд «ФРОНТМЕД» финансирует передовые исследования в области нейронаук, поддерживает молодых ученых и врачей, а также обеспечивает научные учреждения инновационным оборудованием.</t>
        </is>
      </c>
      <c r="I508" s="1" t="inlineStr">
        <is>
          <t>Услуги для бизнеса; Неврология; Болезни нервной системы; Реабилитация; Программы  «Антистресс»; Программы «Долголетие»</t>
        </is>
      </c>
      <c r="J508" s="1">
        <f>IFERROR(__xludf.DUMMYFUNCTION("AI(Prompt!$B$6, H568:I568)"),"Поставщик услуг")</f>
        <v/>
      </c>
      <c r="K508" s="1">
        <f>IFERROR(__xludf.DUMMYFUNCTION("AI(Prompt!$B$12, H568:J568)"),"OK")</f>
        <v/>
      </c>
      <c r="L508" s="1">
        <f>IFERROR(__xludf.DUMMYFUNCTION("AI(Prompt!$B$17, H568:I568)"),"инновационное оборудование")</f>
        <v/>
      </c>
      <c r="M508" s="1">
        <f>IFERROR(__xludf.DUMMYFUNCTION("AI(Prompt!$B$21,A568)"),"ФРОНТМЕД")</f>
        <v/>
      </c>
      <c r="N508" s="1" t="inlineStr">
        <is>
          <t>MedTravelExpo-2025</t>
        </is>
      </c>
      <c r="O508" s="9" t="inlineStr">
        <is>
          <t>https://icatalog.expocentr.ru/ru/exhibitions/9daad3de-f999-11ef-80ce-a0d3c1fab97f</t>
        </is>
      </c>
    </row>
    <row r="509" ht="16" customHeight="1">
      <c r="A509" s="1" t="inlineStr">
        <is>
          <t>БЬЮТИЛАЙНЕР ГРУПП</t>
        </is>
      </c>
      <c r="B509" s="1" t="inlineStr">
        <is>
          <t>11A015</t>
        </is>
      </c>
      <c r="C509" s="1" t="inlineStr">
        <is>
          <t>Россия</t>
        </is>
      </c>
      <c r="D509" s="1" t="inlineStr">
        <is>
          <t>Москва</t>
        </is>
      </c>
      <c r="E509" s="1" t="inlineStr">
        <is>
          <t>Россия, 105523, г. Москва</t>
        </is>
      </c>
      <c r="F509" s="10" t="inlineStr">
        <is>
          <t>http://beautylinergroup.ru</t>
        </is>
      </c>
      <c r="G509" s="1" t="inlineStr">
        <is>
          <t>info@beautylizer.ru</t>
        </is>
      </c>
      <c r="H509" s="1" t="inlineStr">
        <is>
          <t>Beautyliner Group — российский производитель медицинского оборудования. С 2006 года компания создает решения для эстетической медицины, сочетая инновации, безопасность и доказанную эффективность.</t>
        </is>
      </c>
      <c r="I509" s="1" t="inlineStr">
        <is>
          <t>Реабилитация; Вибромассаж; Массаж; Вибротерапия, вибромассаж; Механотерапия; Другое</t>
        </is>
      </c>
      <c r="J509" s="1">
        <f>IFERROR(__xludf.DUMMYFUNCTION("AI(Prompt!$B$6, H571:I571)"),"Производитель")</f>
        <v/>
      </c>
      <c r="K509" s="1">
        <f>IFERROR(__xludf.DUMMYFUNCTION("AI(Prompt!$B$12, H571:J571)"),"OK")</f>
        <v/>
      </c>
      <c r="L509" s="1">
        <f>IFERROR(__xludf.DUMMYFUNCTION("AI(Prompt!$B$17, H571:I571)"),"медицинское оборудование")</f>
        <v/>
      </c>
      <c r="M509" s="1">
        <f>IFERROR(__xludf.DUMMYFUNCTION("AI(Prompt!$B$21,A571)"),"Бьютилайнер Групп")</f>
        <v/>
      </c>
      <c r="N509" s="1" t="inlineStr">
        <is>
          <t>MedTravelExpo-2025</t>
        </is>
      </c>
      <c r="O509" s="9" t="inlineStr">
        <is>
          <t>https://icatalog.expocentr.ru/ru/exhibitions/9daad3de-f999-11ef-80ce-a0d3c1fab97f</t>
        </is>
      </c>
    </row>
    <row r="510" ht="16" customHeight="1">
      <c r="A510" s="1" t="inlineStr">
        <is>
          <t>ВАКУУМ ВИТАЛИТИ, ООО</t>
        </is>
      </c>
      <c r="B510" s="1" t="inlineStr">
        <is>
          <t>11B055</t>
        </is>
      </c>
      <c r="C510" s="1" t="inlineStr">
        <is>
          <t>Россия</t>
        </is>
      </c>
      <c r="D510" s="1" t="inlineStr">
        <is>
          <t>Москва</t>
        </is>
      </c>
      <c r="E510" s="1" t="inlineStr">
        <is>
          <t>Россия, 108842, г. Москва, Десеновское пос., ул. Кварцевая, д. 3, корп. 1, кв. 130</t>
        </is>
      </c>
      <c r="F510" s="10" t="inlineStr">
        <is>
          <t>http://vacuvit.com</t>
        </is>
      </c>
      <c r="G510" s="1" t="inlineStr">
        <is>
          <t>vacuvit@yandex.ru</t>
        </is>
      </c>
      <c r="H510" s="1" t="inlineStr">
        <is>
          <t>Компания по разработке и созданию оборудования для оздоровления, профилактики и диагностики заболеваний опорно-двигательного аппарата и внутренних органов по признанной запатентованной методике.</t>
        </is>
      </c>
      <c r="I510" s="1" t="inlineStr">
        <is>
          <t>Санаторий; Оздоровительный  центр; Реабилитационный центр; Неврология; Оздоровление; Другое</t>
        </is>
      </c>
      <c r="J510" s="1">
        <f>IFERROR(__xludf.DUMMYFUNCTION("AI(Prompt!$B$6, H575:I575)"),"Производитель")</f>
        <v/>
      </c>
      <c r="K510" s="1">
        <f>IFERROR(__xludf.DUMMYFUNCTION("AI(Prompt!$B$12, H575:J575)"),"OK")</f>
        <v/>
      </c>
      <c r="L510" s="1">
        <f>IFERROR(__xludf.DUMMYFUNCTION("AI(Prompt!$B$17, H575:I575)"),"оборудование")</f>
        <v/>
      </c>
      <c r="M510" s="1">
        <f>IFERROR(__xludf.DUMMYFUNCTION("AI(Prompt!$B$21,A575)"),"Вакуум Виталити")</f>
        <v/>
      </c>
      <c r="N510" s="1" t="inlineStr">
        <is>
          <t>MedTravelExpo-2025</t>
        </is>
      </c>
      <c r="O510" s="9" t="inlineStr">
        <is>
          <t>https://icatalog.expocentr.ru/ru/exhibitions/9daad3de-f999-11ef-80ce-a0d3c1fab97f</t>
        </is>
      </c>
    </row>
    <row r="511" ht="16" customHeight="1">
      <c r="A511" s="1" t="inlineStr">
        <is>
          <t>КОМПАНИЯ КОМФОРТ, ООО</t>
        </is>
      </c>
      <c r="B511" s="1" t="inlineStr">
        <is>
          <t>11B005</t>
        </is>
      </c>
      <c r="C511" s="1" t="inlineStr">
        <is>
          <t>Россия</t>
        </is>
      </c>
      <c r="D511" s="1" t="inlineStr">
        <is>
          <t>Москва</t>
        </is>
      </c>
      <c r="E511" s="1" t="inlineStr">
        <is>
          <t>Россия, 117105, г. Москва, Новоданиловская наб., д. 12, пом. 74</t>
        </is>
      </c>
      <c r="F511" s="10" t="inlineStr">
        <is>
          <t>http://a-vm.ru</t>
        </is>
      </c>
      <c r="G511" s="1" t="inlineStr">
        <is>
          <t>tanya@a-vm.ru</t>
        </is>
      </c>
      <c r="H511" s="1" t="inlineStr">
        <is>
          <t>ООО «КОМПАНИЯ КОМФОРТ» — производитель клинингового инвентаря. Наш опыт позволяет нам точно определять ключевые тренды в клининге и производить надежные швабры, уборочные тележки, мопы, салфетки и тряпки.</t>
        </is>
      </c>
      <c r="I511" s="1" t="inlineStr">
        <is>
          <t>Другие учреждения; Образование и консалтинг в санаторно-курортном бизнесе; Услуги для бизнеса; Другие центры; Другое</t>
        </is>
      </c>
      <c r="J511" s="1">
        <f>IFERROR(__xludf.DUMMYFUNCTION("AI(Prompt!$B$6, H576:I576)"),"Производитель")</f>
        <v/>
      </c>
      <c r="K511" s="1">
        <f>IFERROR(__xludf.DUMMYFUNCTION("AI(Prompt!$B$12, H576:J576)"),"OK")</f>
        <v/>
      </c>
      <c r="L511" s="1">
        <f>IFERROR(__xludf.DUMMYFUNCTION("AI(Prompt!$B$17, H576:I576)"),"швабры, тележки, мопы, салфетки и тряпки")</f>
        <v/>
      </c>
      <c r="M511" s="1">
        <f>IFERROR(__xludf.DUMMYFUNCTION("AI(Prompt!$B$21,A576)"),"Компания Комфорт")</f>
        <v/>
      </c>
      <c r="N511" s="1" t="inlineStr">
        <is>
          <t>MedTravelExpo-2025</t>
        </is>
      </c>
      <c r="O511" s="9" t="inlineStr">
        <is>
          <t>https://icatalog.expocentr.ru/ru/exhibitions/9daad3de-f999-11ef-80ce-a0d3c1fab97f</t>
        </is>
      </c>
    </row>
    <row r="512" ht="16" customHeight="1">
      <c r="A512" s="1" t="inlineStr">
        <is>
          <t>АЛЬПЕН ФАРМА, ООО</t>
        </is>
      </c>
      <c r="B512" s="1" t="inlineStr">
        <is>
          <t>11A070</t>
        </is>
      </c>
      <c r="C512" s="1" t="inlineStr">
        <is>
          <t>Россия</t>
        </is>
      </c>
      <c r="D512" s="1" t="inlineStr">
        <is>
          <t>Москва</t>
        </is>
      </c>
      <c r="E512" s="1" t="inlineStr">
        <is>
          <t>Россия, 105082, г. Москва, ул. Фридриха Энгельса, д. 75, стр. 10</t>
        </is>
      </c>
      <c r="F512" s="10" t="inlineStr">
        <is>
          <t>http://www.alpenpharma.ru</t>
        </is>
      </c>
      <c r="G512" s="1" t="inlineStr">
        <is>
          <t>info.russia@alpenpharma.ru</t>
        </is>
      </c>
      <c r="H512" s="1" t="inlineStr">
        <is>
          <t>«Альпен Фарма» — фармацевтическая компания, представляет продукцию Etherapy®: концентраты для ванн, массажное масло, сульфидно-иловую грязь, фангопарафин. Etherapy® — искусство ванн с настоящей пользой!</t>
        </is>
      </c>
      <c r="I512" s="1" t="inlineStr">
        <is>
          <t>Санаторий; Спа-велнес-центр; Санаторно-курортный комплекс; Детский санаторий; Сульфидные иловые грязи; Другое</t>
        </is>
      </c>
      <c r="J512" s="1">
        <f>IFERROR(__xludf.DUMMYFUNCTION("AI(Prompt!$B$6, H578:I578)"),"Производитель")</f>
        <v/>
      </c>
      <c r="K512" s="1">
        <f>IFERROR(__xludf.DUMMYFUNCTION("AI(Prompt!$B$12, H578:J578)"),"OK")</f>
        <v/>
      </c>
      <c r="L512" s="1">
        <f>IFERROR(__xludf.DUMMYFUNCTION("AI(Prompt!$B$17, H578:I578)"),"концентраты, масло, грязи и фангопарафин")</f>
        <v/>
      </c>
      <c r="M512" s="1">
        <f>IFERROR(__xludf.DUMMYFUNCTION("AI(Prompt!$B$21,A578)"),"Альпен Фарма")</f>
        <v/>
      </c>
      <c r="N512" s="1" t="inlineStr">
        <is>
          <t>MedTravelExpo-2025</t>
        </is>
      </c>
      <c r="O512" s="9" t="inlineStr">
        <is>
          <t>https://icatalog.expocentr.ru/ru/exhibitions/9daad3de-f999-11ef-80ce-a0d3c1fab97f</t>
        </is>
      </c>
    </row>
    <row r="513" ht="16" customHeight="1">
      <c r="A513" s="1" t="inlineStr">
        <is>
          <t>ДЕНТДИЛЕР</t>
        </is>
      </c>
      <c r="B513" s="1" t="inlineStr">
        <is>
          <t>11B030</t>
        </is>
      </c>
      <c r="C513" s="1" t="inlineStr">
        <is>
          <t>Россия</t>
        </is>
      </c>
      <c r="D513" s="1" t="inlineStr">
        <is>
          <t>Москва</t>
        </is>
      </c>
      <c r="E513" s="1" t="inlineStr">
        <is>
          <t>Россия, г. Москва, ул. Мосфильмовская, д. 42, стр. 1, оф. 2</t>
        </is>
      </c>
      <c r="F513" s="10" t="inlineStr">
        <is>
          <t>https://dentdealer.ru</t>
        </is>
      </c>
      <c r="G513" s="1" t="inlineStr">
        <is>
          <t>info@dentdealer.ru</t>
        </is>
      </c>
      <c r="H513" s="1" t="inlineStr">
        <is>
          <t>Компания «Дентдилер» является эксклюзивным представителем компании Medipac (Греция), Purgo Biologics Inc. (Южная Корея), ORODENT (Италия) в России. Целью нашей компании является повышение качества стоматологического лечения путем внедрения только лучших современных и прогрессивных высококачественных стоматологических материалов и инструментов и обеспечение их доступности для широкого круга специалистов: стоматологических клиник, зуботехнических лабораторий и CAD/CAM фрезерных центров.</t>
        </is>
      </c>
      <c r="I513" s="1" t="inlineStr">
        <is>
          <t>Стоматологическая клиника; Стоматология; Стоматология</t>
        </is>
      </c>
      <c r="J513" s="1">
        <f>IFERROR(__xludf.DUMMYFUNCTION("AI(Prompt!$B$6, H581:I581)"),"Дилер")</f>
        <v/>
      </c>
      <c r="K513" s="1">
        <f>IFERROR(__xludf.DUMMYFUNCTION("AI(Prompt!$B$12, H581:J581)"),"OK")</f>
        <v/>
      </c>
      <c r="L513" s="1">
        <f>IFERROR(__xludf.DUMMYFUNCTION("AI(Prompt!$B$17, H581:I581)"),"материалы и инструменты")</f>
        <v/>
      </c>
      <c r="M513" s="1">
        <f>IFERROR(__xludf.DUMMYFUNCTION("AI(Prompt!$B$21,A581)"),"Дентдилер")</f>
        <v/>
      </c>
      <c r="N513" s="1" t="inlineStr">
        <is>
          <t>MedTravelExpo-2025</t>
        </is>
      </c>
      <c r="O513" s="9" t="inlineStr">
        <is>
          <t>https://icatalog.expocentr.ru/ru/exhibitions/9daad3de-f999-11ef-80ce-a0d3c1fab97f</t>
        </is>
      </c>
    </row>
    <row r="514" ht="16" customHeight="1">
      <c r="A514" s="1" t="inlineStr">
        <is>
          <t>АГРОФИРМА «ТУРГЕНЕВСКАЯ», ООО</t>
        </is>
      </c>
      <c r="B514" s="1" t="inlineStr">
        <is>
          <t>11C050</t>
        </is>
      </c>
      <c r="C514" s="1" t="inlineStr">
        <is>
          <t>Россия</t>
        </is>
      </c>
      <c r="E514" s="1" t="inlineStr">
        <is>
          <t>Россия, 298463, Республика Крым, Бахчисарайский р-н, с. Тургеневка, пер. Урожайный, д. 5</t>
        </is>
      </c>
      <c r="F514" s="10" t="inlineStr">
        <is>
          <t>https://agroturg.ru</t>
        </is>
      </c>
      <c r="G514" s="1" t="inlineStr">
        <is>
          <t>info@agroturg.ru</t>
        </is>
      </c>
      <c r="H514" s="1" t="inlineStr">
        <is>
          <t>Агрофирма «Тургеневская» с 2000 г. занимается выращиванием и первичной переработкой эфиромасличных культур, производит натуральные эфирные масла и гидролаты.</t>
        </is>
      </c>
      <c r="I514" s="1" t="inlineStr">
        <is>
          <t>Санаторий; Другие учреждения; Курорт; Санаторно-курортный комплекс; Гостинично-оздоровительный комплекс (ГОК); Лечебно-оздоровительный комплекс (ЛОК)</t>
        </is>
      </c>
      <c r="J514" s="1">
        <f>IFERROR(__xludf.DUMMYFUNCTION("AI(Prompt!$B$6, H586:I586)"),"Производитель")</f>
        <v/>
      </c>
      <c r="K514" s="1">
        <f>IFERROR(__xludf.DUMMYFUNCTION("AI(Prompt!$B$12, H586:J586)"),"OK")</f>
        <v/>
      </c>
      <c r="L514" s="1">
        <f>IFERROR(__xludf.DUMMYFUNCTION("AI(Prompt!$B$17, H586:I586)"),"эфирные масла и гидролаты")</f>
        <v/>
      </c>
      <c r="M514" s="1">
        <f>IFERROR(__xludf.DUMMYFUNCTION("AI(Prompt!$B$21,A586)"),"Агрофирма Тургеневская")</f>
        <v/>
      </c>
      <c r="N514" s="1" t="inlineStr">
        <is>
          <t>MedTravelExpo-2025</t>
        </is>
      </c>
      <c r="O514" s="9" t="inlineStr">
        <is>
          <t>https://icatalog.expocentr.ru/ru/exhibitions/9daad3de-f999-11ef-80ce-a0d3c1fab97f</t>
        </is>
      </c>
    </row>
    <row r="515" ht="16" customHeight="1">
      <c r="A515" s="1" t="inlineStr">
        <is>
          <t>РОЙМАКС, ООО</t>
        </is>
      </c>
      <c r="B515" s="1" t="inlineStr">
        <is>
          <t>11B030</t>
        </is>
      </c>
      <c r="C515" s="1" t="inlineStr">
        <is>
          <t>Россия</t>
        </is>
      </c>
      <c r="D515" s="1" t="inlineStr">
        <is>
          <t>Москва</t>
        </is>
      </c>
      <c r="E515" s="1" t="inlineStr">
        <is>
          <t>Россия, 119331, г. Москва, просп. Вернадского, д. 29, этаж 4, комн. 16</t>
        </is>
      </c>
      <c r="F515" s="10" t="inlineStr">
        <is>
          <t>https://roimax.ru</t>
        </is>
      </c>
      <c r="G515" s="1" t="inlineStr">
        <is>
          <t>roimax@inbox.ru</t>
        </is>
      </c>
      <c r="H515" s="1" t="inlineStr">
        <is>
          <t>ООО «Роймакс» основано в 2017 г. Комплексное обеспечение медицинских учреждений расходными материалами и техникой отечественного и зарубежного производства, включая инновационные разработки.</t>
        </is>
      </c>
      <c r="I515" s="1" t="inlineStr">
        <is>
          <t>Госпиталь; Стоматологическая клиника; Поликлиника; Родильный дом; Скорая  медицинская помощь; Больница</t>
        </is>
      </c>
      <c r="J515" s="1">
        <f>IFERROR(__xludf.DUMMYFUNCTION("AI(Prompt!$B$6, H591:I591)"),"Дилер")</f>
        <v/>
      </c>
      <c r="K515" s="1">
        <f>IFERROR(__xludf.DUMMYFUNCTION("AI(Prompt!$B$12, H591:J591)"),"OK")</f>
        <v/>
      </c>
      <c r="L515" s="1">
        <f>IFERROR(__xludf.DUMMYFUNCTION("AI(Prompt!$B$17, H591:I591)"),"расходные материалы и техника")</f>
        <v/>
      </c>
      <c r="M515" s="1">
        <f>IFERROR(__xludf.DUMMYFUNCTION("AI(Prompt!$B$21,A591)"),"Роймакс")</f>
        <v/>
      </c>
      <c r="N515" s="1" t="inlineStr">
        <is>
          <t>MedTravelExpo-2025</t>
        </is>
      </c>
      <c r="O515" s="9" t="inlineStr">
        <is>
          <t>https://icatalog.expocentr.ru/ru/exhibitions/9daad3de-f999-11ef-80ce-a0d3c1fab97f</t>
        </is>
      </c>
    </row>
    <row r="516" ht="16" customHeight="1">
      <c r="A516" s="1" t="inlineStr">
        <is>
          <t>ВИТА ТЕХНИКА УРАЛ, ООО</t>
        </is>
      </c>
      <c r="B516" s="1" t="inlineStr">
        <is>
          <t>11A210</t>
        </is>
      </c>
      <c r="C516" s="1" t="inlineStr">
        <is>
          <t>Россия</t>
        </is>
      </c>
      <c r="D516" s="1" t="inlineStr">
        <is>
          <t>Заречный</t>
        </is>
      </c>
      <c r="E516" s="1" t="inlineStr">
        <is>
          <t>Россия, 624250, Свердловская обл., г. Заречный, ул. Мира, д. 35, пом. 112</t>
        </is>
      </c>
      <c r="F516" s="10" t="inlineStr">
        <is>
          <t>http://www.vt66.ru</t>
        </is>
      </c>
      <c r="G516" s="1" t="inlineStr">
        <is>
          <t>info@vt66.ru</t>
        </is>
      </c>
      <c r="H516" s="1" t="inlineStr">
        <is>
          <t>«Вита Техника»: 26 лет с санаториями!ТОП проектов:— журнал «Санаторно-курортная отрасль»;— оснащение санаториев медоборудованием;— Евразийский форум для санаториев и курортов «Санкур-эволюция».</t>
        </is>
      </c>
      <c r="I516" s="1" t="inlineStr">
        <is>
          <t>Санаторий; Санаторий-профилакторий; Лечебно-оздоровительный комплекс (ЛОК); Детский санаторий; Оздоровительный  центр; Реабилитационный центр</t>
        </is>
      </c>
      <c r="J516" s="1">
        <f>IFERROR(__xludf.DUMMYFUNCTION("AI(Prompt!$B$6, H595:I595)"),"Поставщик услуг")</f>
        <v/>
      </c>
      <c r="K516" s="1">
        <f>IFERROR(__xludf.DUMMYFUNCTION("AI(Prompt!$B$12, H595:J595)"),"OK")</f>
        <v/>
      </c>
      <c r="L516" s="1">
        <f>IFERROR(__xludf.DUMMYFUNCTION("AI(Prompt!$B$17, H595:I595)"),"медоборудование")</f>
        <v/>
      </c>
      <c r="M516" s="1">
        <f>IFERROR(__xludf.DUMMYFUNCTION("AI(Prompt!$B$21,A595)"),"Вита Техника Урал")</f>
        <v/>
      </c>
      <c r="N516" s="1" t="inlineStr">
        <is>
          <t>MedTravelExpo-2025</t>
        </is>
      </c>
      <c r="O516" s="9" t="inlineStr">
        <is>
          <t>https://icatalog.expocentr.ru/ru/exhibitions/9daad3de-f999-11ef-80ce-a0d3c1fab97f</t>
        </is>
      </c>
    </row>
    <row r="517" hidden="1" ht="16" customHeight="1">
      <c r="A517" s="1" t="inlineStr">
        <is>
          <t>WUHAN BIYING BIOTECHNOLOGY CO. LTD</t>
        </is>
      </c>
      <c r="B517" s="1" t="inlineStr">
        <is>
          <t>11B024</t>
        </is>
      </c>
      <c r="C517" s="1" t="inlineStr">
        <is>
          <t>Китай</t>
        </is>
      </c>
      <c r="E517" s="1" t="inlineStr">
        <is>
          <t>Китай</t>
        </is>
      </c>
      <c r="F517" s="10" t="inlineStr">
        <is>
          <t>http://www.whbiy.com</t>
        </is>
      </c>
      <c r="G517" s="1" t="inlineStr">
        <is>
          <t>wuhanbiying@163.com</t>
        </is>
      </c>
      <c r="H517" s="1" t="inlineStr">
        <is>
          <t>В сфере здравоохранения и передового производства наши проекты охватывают продажу медицинских приборов I и II класса, оборудования, материалов, предоставление услуг аддитивного производства (3D-печати).</t>
        </is>
      </c>
      <c r="I517" s="1" t="inlineStr">
        <is>
          <t>Многопрофильное учреждение; Узкопрофильное учреждение; Детский медицинский  центр; Больница</t>
        </is>
      </c>
      <c r="J517" s="1">
        <f>IFERROR(__xludf.DUMMYFUNCTION("AI(Prompt!$B$6, H606:I606)"),"Дилер")</f>
        <v/>
      </c>
      <c r="K517" s="1">
        <f>IFERROR(__xludf.DUMMYFUNCTION("AI(Prompt!$B$12, H606:J606)"),"OK")</f>
        <v/>
      </c>
      <c r="L517" s="1">
        <f>IFERROR(__xludf.DUMMYFUNCTION("AI(Prompt!$B$17, H606:I606)"),"медицинские приборы, оборудование и материалы")</f>
        <v/>
      </c>
      <c r="M517" s="1">
        <f>IFERROR(__xludf.DUMMYFUNCTION("AI(Prompt!$B$21,A606)"),"Wuhan Biying Biotechnology")</f>
        <v/>
      </c>
      <c r="N517" s="1" t="inlineStr">
        <is>
          <t>MedTravelExpo-2025</t>
        </is>
      </c>
      <c r="O517" s="9" t="inlineStr">
        <is>
          <t>https://icatalog.expocentr.ru/ru/exhibitions/9daad3de-f999-11ef-80ce-a0d3c1fab97f</t>
        </is>
      </c>
    </row>
    <row r="518" ht="16" customHeight="1">
      <c r="A518" s="1" t="inlineStr">
        <is>
          <t>МРИЯ, САНАТОРНО-КУРОРТНЫЙ КОМПЛЕКС</t>
        </is>
      </c>
      <c r="B518" s="1" t="inlineStr">
        <is>
          <t>11C050</t>
        </is>
      </c>
      <c r="C518" s="1" t="inlineStr">
        <is>
          <t>Россия</t>
        </is>
      </c>
      <c r="E518" s="1" t="inlineStr">
        <is>
          <t>Россия</t>
        </is>
      </c>
      <c r="F518" s="10" t="inlineStr">
        <is>
          <t>http://www.mriyaresort.com</t>
        </is>
      </c>
    </row>
  </sheetData>
  <autoFilter ref="A1:O518">
    <filterColumn colId="2" hiddenButton="0" showButton="1">
      <filters blank="1">
        <filter val="Россия"/>
      </filters>
    </filterColumn>
  </autoFilter>
  <hyperlinks>
    <hyperlink xmlns:r="http://schemas.openxmlformats.org/officeDocument/2006/relationships" ref="O2" r:id="rId1"/>
    <hyperlink xmlns:r="http://schemas.openxmlformats.org/officeDocument/2006/relationships" ref="F3" r:id="rId2"/>
    <hyperlink xmlns:r="http://schemas.openxmlformats.org/officeDocument/2006/relationships" ref="O3" r:id="rId3"/>
    <hyperlink xmlns:r="http://schemas.openxmlformats.org/officeDocument/2006/relationships" ref="F4" r:id="rId4"/>
    <hyperlink xmlns:r="http://schemas.openxmlformats.org/officeDocument/2006/relationships" ref="O4" r:id="rId5"/>
    <hyperlink xmlns:r="http://schemas.openxmlformats.org/officeDocument/2006/relationships" ref="F5" r:id="rId6"/>
    <hyperlink xmlns:r="http://schemas.openxmlformats.org/officeDocument/2006/relationships" ref="O5" r:id="rId7"/>
    <hyperlink xmlns:r="http://schemas.openxmlformats.org/officeDocument/2006/relationships" ref="F6" r:id="rId8"/>
    <hyperlink xmlns:r="http://schemas.openxmlformats.org/officeDocument/2006/relationships" ref="O6" r:id="rId9"/>
    <hyperlink xmlns:r="http://schemas.openxmlformats.org/officeDocument/2006/relationships" ref="F7" r:id="rId10"/>
    <hyperlink xmlns:r="http://schemas.openxmlformats.org/officeDocument/2006/relationships" ref="O7" r:id="rId11"/>
    <hyperlink xmlns:r="http://schemas.openxmlformats.org/officeDocument/2006/relationships" ref="F8" r:id="rId12"/>
    <hyperlink xmlns:r="http://schemas.openxmlformats.org/officeDocument/2006/relationships" ref="O8" r:id="rId13"/>
    <hyperlink xmlns:r="http://schemas.openxmlformats.org/officeDocument/2006/relationships" ref="F9" r:id="rId14"/>
    <hyperlink xmlns:r="http://schemas.openxmlformats.org/officeDocument/2006/relationships" ref="O9" r:id="rId15"/>
    <hyperlink xmlns:r="http://schemas.openxmlformats.org/officeDocument/2006/relationships" ref="F10" r:id="rId16"/>
    <hyperlink xmlns:r="http://schemas.openxmlformats.org/officeDocument/2006/relationships" ref="O10" r:id="rId17"/>
    <hyperlink xmlns:r="http://schemas.openxmlformats.org/officeDocument/2006/relationships" ref="F11" r:id="rId18"/>
    <hyperlink xmlns:r="http://schemas.openxmlformats.org/officeDocument/2006/relationships" ref="O11" r:id="rId19"/>
    <hyperlink xmlns:r="http://schemas.openxmlformats.org/officeDocument/2006/relationships" ref="F12" r:id="rId20"/>
    <hyperlink xmlns:r="http://schemas.openxmlformats.org/officeDocument/2006/relationships" ref="O12" r:id="rId21"/>
    <hyperlink xmlns:r="http://schemas.openxmlformats.org/officeDocument/2006/relationships" ref="F13" r:id="rId22"/>
    <hyperlink xmlns:r="http://schemas.openxmlformats.org/officeDocument/2006/relationships" ref="O13" r:id="rId23"/>
    <hyperlink xmlns:r="http://schemas.openxmlformats.org/officeDocument/2006/relationships" ref="F14" r:id="rId24"/>
    <hyperlink xmlns:r="http://schemas.openxmlformats.org/officeDocument/2006/relationships" ref="O14" r:id="rId25"/>
    <hyperlink xmlns:r="http://schemas.openxmlformats.org/officeDocument/2006/relationships" ref="F15" r:id="rId26"/>
    <hyperlink xmlns:r="http://schemas.openxmlformats.org/officeDocument/2006/relationships" ref="O15" r:id="rId27"/>
    <hyperlink xmlns:r="http://schemas.openxmlformats.org/officeDocument/2006/relationships" ref="F16" r:id="rId28"/>
    <hyperlink xmlns:r="http://schemas.openxmlformats.org/officeDocument/2006/relationships" ref="O16" r:id="rId29"/>
    <hyperlink xmlns:r="http://schemas.openxmlformats.org/officeDocument/2006/relationships" ref="F17" r:id="rId30"/>
    <hyperlink xmlns:r="http://schemas.openxmlformats.org/officeDocument/2006/relationships" ref="O17" r:id="rId31"/>
    <hyperlink xmlns:r="http://schemas.openxmlformats.org/officeDocument/2006/relationships" ref="F18" r:id="rId32"/>
    <hyperlink xmlns:r="http://schemas.openxmlformats.org/officeDocument/2006/relationships" ref="O18" r:id="rId33"/>
    <hyperlink xmlns:r="http://schemas.openxmlformats.org/officeDocument/2006/relationships" ref="F19" r:id="rId34"/>
    <hyperlink xmlns:r="http://schemas.openxmlformats.org/officeDocument/2006/relationships" ref="O19" r:id="rId35"/>
    <hyperlink xmlns:r="http://schemas.openxmlformats.org/officeDocument/2006/relationships" ref="F20" r:id="rId36"/>
    <hyperlink xmlns:r="http://schemas.openxmlformats.org/officeDocument/2006/relationships" ref="O20" r:id="rId37"/>
    <hyperlink xmlns:r="http://schemas.openxmlformats.org/officeDocument/2006/relationships" ref="F21" r:id="rId38"/>
    <hyperlink xmlns:r="http://schemas.openxmlformats.org/officeDocument/2006/relationships" ref="O21" r:id="rId39"/>
    <hyperlink xmlns:r="http://schemas.openxmlformats.org/officeDocument/2006/relationships" ref="F22" r:id="rId40"/>
    <hyperlink xmlns:r="http://schemas.openxmlformats.org/officeDocument/2006/relationships" ref="O22" r:id="rId41"/>
    <hyperlink xmlns:r="http://schemas.openxmlformats.org/officeDocument/2006/relationships" ref="F23" r:id="rId42"/>
    <hyperlink xmlns:r="http://schemas.openxmlformats.org/officeDocument/2006/relationships" ref="O23" r:id="rId43"/>
    <hyperlink xmlns:r="http://schemas.openxmlformats.org/officeDocument/2006/relationships" ref="F24" r:id="rId44"/>
    <hyperlink xmlns:r="http://schemas.openxmlformats.org/officeDocument/2006/relationships" ref="O24" r:id="rId45"/>
    <hyperlink xmlns:r="http://schemas.openxmlformats.org/officeDocument/2006/relationships" ref="F25" r:id="rId46"/>
    <hyperlink xmlns:r="http://schemas.openxmlformats.org/officeDocument/2006/relationships" ref="O25" r:id="rId47"/>
    <hyperlink xmlns:r="http://schemas.openxmlformats.org/officeDocument/2006/relationships" ref="F26" r:id="rId48"/>
    <hyperlink xmlns:r="http://schemas.openxmlformats.org/officeDocument/2006/relationships" ref="O26" r:id="rId49"/>
    <hyperlink xmlns:r="http://schemas.openxmlformats.org/officeDocument/2006/relationships" ref="F27" r:id="rId50"/>
    <hyperlink xmlns:r="http://schemas.openxmlformats.org/officeDocument/2006/relationships" ref="O27" r:id="rId51"/>
    <hyperlink xmlns:r="http://schemas.openxmlformats.org/officeDocument/2006/relationships" ref="F28" r:id="rId52"/>
    <hyperlink xmlns:r="http://schemas.openxmlformats.org/officeDocument/2006/relationships" ref="O28" r:id="rId53"/>
    <hyperlink xmlns:r="http://schemas.openxmlformats.org/officeDocument/2006/relationships" ref="F29" r:id="rId54"/>
    <hyperlink xmlns:r="http://schemas.openxmlformats.org/officeDocument/2006/relationships" ref="O29" r:id="rId55"/>
    <hyperlink xmlns:r="http://schemas.openxmlformats.org/officeDocument/2006/relationships" ref="F30" r:id="rId56"/>
    <hyperlink xmlns:r="http://schemas.openxmlformats.org/officeDocument/2006/relationships" ref="O30" r:id="rId57"/>
    <hyperlink xmlns:r="http://schemas.openxmlformats.org/officeDocument/2006/relationships" ref="F31" r:id="rId58"/>
    <hyperlink xmlns:r="http://schemas.openxmlformats.org/officeDocument/2006/relationships" ref="O31" r:id="rId59"/>
    <hyperlink xmlns:r="http://schemas.openxmlformats.org/officeDocument/2006/relationships" ref="F32" r:id="rId60"/>
    <hyperlink xmlns:r="http://schemas.openxmlformats.org/officeDocument/2006/relationships" ref="O32" r:id="rId61"/>
    <hyperlink xmlns:r="http://schemas.openxmlformats.org/officeDocument/2006/relationships" ref="F33" r:id="rId62"/>
    <hyperlink xmlns:r="http://schemas.openxmlformats.org/officeDocument/2006/relationships" ref="O33" r:id="rId63"/>
    <hyperlink xmlns:r="http://schemas.openxmlformats.org/officeDocument/2006/relationships" ref="F34" r:id="rId64"/>
    <hyperlink xmlns:r="http://schemas.openxmlformats.org/officeDocument/2006/relationships" ref="O34" r:id="rId65"/>
    <hyperlink xmlns:r="http://schemas.openxmlformats.org/officeDocument/2006/relationships" ref="F35" r:id="rId66"/>
    <hyperlink xmlns:r="http://schemas.openxmlformats.org/officeDocument/2006/relationships" ref="O35" r:id="rId67"/>
    <hyperlink xmlns:r="http://schemas.openxmlformats.org/officeDocument/2006/relationships" ref="F36" r:id="rId68"/>
    <hyperlink xmlns:r="http://schemas.openxmlformats.org/officeDocument/2006/relationships" ref="O36" r:id="rId69"/>
    <hyperlink xmlns:r="http://schemas.openxmlformats.org/officeDocument/2006/relationships" ref="F37" r:id="rId70"/>
    <hyperlink xmlns:r="http://schemas.openxmlformats.org/officeDocument/2006/relationships" ref="O37" r:id="rId71"/>
    <hyperlink xmlns:r="http://schemas.openxmlformats.org/officeDocument/2006/relationships" ref="F38" r:id="rId72"/>
    <hyperlink xmlns:r="http://schemas.openxmlformats.org/officeDocument/2006/relationships" ref="O38" r:id="rId73"/>
    <hyperlink xmlns:r="http://schemas.openxmlformats.org/officeDocument/2006/relationships" ref="F39" r:id="rId74"/>
    <hyperlink xmlns:r="http://schemas.openxmlformats.org/officeDocument/2006/relationships" ref="O39" r:id="rId75"/>
    <hyperlink xmlns:r="http://schemas.openxmlformats.org/officeDocument/2006/relationships" ref="F40" r:id="rId76"/>
    <hyperlink xmlns:r="http://schemas.openxmlformats.org/officeDocument/2006/relationships" ref="O40" r:id="rId77"/>
    <hyperlink xmlns:r="http://schemas.openxmlformats.org/officeDocument/2006/relationships" ref="F41" r:id="rId78"/>
    <hyperlink xmlns:r="http://schemas.openxmlformats.org/officeDocument/2006/relationships" ref="O41" r:id="rId79"/>
    <hyperlink xmlns:r="http://schemas.openxmlformats.org/officeDocument/2006/relationships" ref="F42" r:id="rId80"/>
    <hyperlink xmlns:r="http://schemas.openxmlformats.org/officeDocument/2006/relationships" ref="O42" r:id="rId81"/>
    <hyperlink xmlns:r="http://schemas.openxmlformats.org/officeDocument/2006/relationships" ref="F43" r:id="rId82"/>
    <hyperlink xmlns:r="http://schemas.openxmlformats.org/officeDocument/2006/relationships" ref="O43" r:id="rId83"/>
    <hyperlink xmlns:r="http://schemas.openxmlformats.org/officeDocument/2006/relationships" ref="F44" r:id="rId84"/>
    <hyperlink xmlns:r="http://schemas.openxmlformats.org/officeDocument/2006/relationships" ref="O44" r:id="rId85"/>
    <hyperlink xmlns:r="http://schemas.openxmlformats.org/officeDocument/2006/relationships" ref="F45" r:id="rId86"/>
    <hyperlink xmlns:r="http://schemas.openxmlformats.org/officeDocument/2006/relationships" ref="O45" r:id="rId87"/>
    <hyperlink xmlns:r="http://schemas.openxmlformats.org/officeDocument/2006/relationships" ref="F46" r:id="rId88"/>
    <hyperlink xmlns:r="http://schemas.openxmlformats.org/officeDocument/2006/relationships" ref="O46" r:id="rId89"/>
    <hyperlink xmlns:r="http://schemas.openxmlformats.org/officeDocument/2006/relationships" ref="F47" r:id="rId90"/>
    <hyperlink xmlns:r="http://schemas.openxmlformats.org/officeDocument/2006/relationships" ref="O47" r:id="rId91"/>
    <hyperlink xmlns:r="http://schemas.openxmlformats.org/officeDocument/2006/relationships" ref="F48" r:id="rId92"/>
    <hyperlink xmlns:r="http://schemas.openxmlformats.org/officeDocument/2006/relationships" ref="O48" r:id="rId93"/>
    <hyperlink xmlns:r="http://schemas.openxmlformats.org/officeDocument/2006/relationships" ref="O49" r:id="rId94"/>
    <hyperlink xmlns:r="http://schemas.openxmlformats.org/officeDocument/2006/relationships" ref="F50" r:id="rId95"/>
    <hyperlink xmlns:r="http://schemas.openxmlformats.org/officeDocument/2006/relationships" ref="O50" r:id="rId96"/>
    <hyperlink xmlns:r="http://schemas.openxmlformats.org/officeDocument/2006/relationships" ref="F51" r:id="rId97"/>
    <hyperlink xmlns:r="http://schemas.openxmlformats.org/officeDocument/2006/relationships" ref="O51" r:id="rId98"/>
    <hyperlink xmlns:r="http://schemas.openxmlformats.org/officeDocument/2006/relationships" ref="F52" r:id="rId99"/>
    <hyperlink xmlns:r="http://schemas.openxmlformats.org/officeDocument/2006/relationships" ref="O52" r:id="rId100"/>
    <hyperlink xmlns:r="http://schemas.openxmlformats.org/officeDocument/2006/relationships" ref="F53" r:id="rId101"/>
    <hyperlink xmlns:r="http://schemas.openxmlformats.org/officeDocument/2006/relationships" ref="O53" r:id="rId102"/>
    <hyperlink xmlns:r="http://schemas.openxmlformats.org/officeDocument/2006/relationships" ref="F54" r:id="rId103"/>
    <hyperlink xmlns:r="http://schemas.openxmlformats.org/officeDocument/2006/relationships" ref="O54" r:id="rId104"/>
    <hyperlink xmlns:r="http://schemas.openxmlformats.org/officeDocument/2006/relationships" ref="F55" r:id="rId105"/>
    <hyperlink xmlns:r="http://schemas.openxmlformats.org/officeDocument/2006/relationships" ref="O55" r:id="rId106"/>
    <hyperlink xmlns:r="http://schemas.openxmlformats.org/officeDocument/2006/relationships" ref="F56" r:id="rId107"/>
    <hyperlink xmlns:r="http://schemas.openxmlformats.org/officeDocument/2006/relationships" ref="O56" r:id="rId108"/>
    <hyperlink xmlns:r="http://schemas.openxmlformats.org/officeDocument/2006/relationships" ref="F57" r:id="rId109"/>
    <hyperlink xmlns:r="http://schemas.openxmlformats.org/officeDocument/2006/relationships" ref="O57" r:id="rId110"/>
    <hyperlink xmlns:r="http://schemas.openxmlformats.org/officeDocument/2006/relationships" ref="F58" r:id="rId111"/>
    <hyperlink xmlns:r="http://schemas.openxmlformats.org/officeDocument/2006/relationships" ref="O58" r:id="rId112"/>
    <hyperlink xmlns:r="http://schemas.openxmlformats.org/officeDocument/2006/relationships" ref="F59" r:id="rId113"/>
    <hyperlink xmlns:r="http://schemas.openxmlformats.org/officeDocument/2006/relationships" ref="O59" r:id="rId114"/>
    <hyperlink xmlns:r="http://schemas.openxmlformats.org/officeDocument/2006/relationships" ref="F60" r:id="rId115"/>
    <hyperlink xmlns:r="http://schemas.openxmlformats.org/officeDocument/2006/relationships" ref="O60" r:id="rId116"/>
    <hyperlink xmlns:r="http://schemas.openxmlformats.org/officeDocument/2006/relationships" ref="F61" r:id="rId117"/>
    <hyperlink xmlns:r="http://schemas.openxmlformats.org/officeDocument/2006/relationships" ref="O61" r:id="rId118"/>
    <hyperlink xmlns:r="http://schemas.openxmlformats.org/officeDocument/2006/relationships" ref="F62" r:id="rId119"/>
    <hyperlink xmlns:r="http://schemas.openxmlformats.org/officeDocument/2006/relationships" ref="O62" r:id="rId120"/>
    <hyperlink xmlns:r="http://schemas.openxmlformats.org/officeDocument/2006/relationships" ref="F63" r:id="rId121"/>
    <hyperlink xmlns:r="http://schemas.openxmlformats.org/officeDocument/2006/relationships" ref="O63" r:id="rId122"/>
    <hyperlink xmlns:r="http://schemas.openxmlformats.org/officeDocument/2006/relationships" ref="F64" r:id="rId123"/>
    <hyperlink xmlns:r="http://schemas.openxmlformats.org/officeDocument/2006/relationships" ref="O64" r:id="rId124"/>
    <hyperlink xmlns:r="http://schemas.openxmlformats.org/officeDocument/2006/relationships" ref="F65" r:id="rId125"/>
    <hyperlink xmlns:r="http://schemas.openxmlformats.org/officeDocument/2006/relationships" ref="O65" r:id="rId126"/>
    <hyperlink xmlns:r="http://schemas.openxmlformats.org/officeDocument/2006/relationships" ref="F66" r:id="rId127"/>
    <hyperlink xmlns:r="http://schemas.openxmlformats.org/officeDocument/2006/relationships" ref="O66" r:id="rId128"/>
    <hyperlink xmlns:r="http://schemas.openxmlformats.org/officeDocument/2006/relationships" ref="F67" r:id="rId129"/>
    <hyperlink xmlns:r="http://schemas.openxmlformats.org/officeDocument/2006/relationships" ref="O67" r:id="rId130"/>
    <hyperlink xmlns:r="http://schemas.openxmlformats.org/officeDocument/2006/relationships" ref="F68" r:id="rId131"/>
    <hyperlink xmlns:r="http://schemas.openxmlformats.org/officeDocument/2006/relationships" ref="O68" r:id="rId132"/>
    <hyperlink xmlns:r="http://schemas.openxmlformats.org/officeDocument/2006/relationships" ref="F69" r:id="rId133"/>
    <hyperlink xmlns:r="http://schemas.openxmlformats.org/officeDocument/2006/relationships" ref="O69" r:id="rId134"/>
    <hyperlink xmlns:r="http://schemas.openxmlformats.org/officeDocument/2006/relationships" ref="F70" r:id="rId135"/>
    <hyperlink xmlns:r="http://schemas.openxmlformats.org/officeDocument/2006/relationships" ref="O70" r:id="rId136"/>
    <hyperlink xmlns:r="http://schemas.openxmlformats.org/officeDocument/2006/relationships" ref="F71" r:id="rId137"/>
    <hyperlink xmlns:r="http://schemas.openxmlformats.org/officeDocument/2006/relationships" ref="O71" r:id="rId138"/>
    <hyperlink xmlns:r="http://schemas.openxmlformats.org/officeDocument/2006/relationships" ref="F72" r:id="rId139"/>
    <hyperlink xmlns:r="http://schemas.openxmlformats.org/officeDocument/2006/relationships" ref="O72" r:id="rId140"/>
    <hyperlink xmlns:r="http://schemas.openxmlformats.org/officeDocument/2006/relationships" ref="F73" r:id="rId141"/>
    <hyperlink xmlns:r="http://schemas.openxmlformats.org/officeDocument/2006/relationships" ref="O73" r:id="rId142"/>
    <hyperlink xmlns:r="http://schemas.openxmlformats.org/officeDocument/2006/relationships" ref="F74" r:id="rId143"/>
    <hyperlink xmlns:r="http://schemas.openxmlformats.org/officeDocument/2006/relationships" ref="O74" r:id="rId144"/>
    <hyperlink xmlns:r="http://schemas.openxmlformats.org/officeDocument/2006/relationships" ref="F75" r:id="rId145"/>
    <hyperlink xmlns:r="http://schemas.openxmlformats.org/officeDocument/2006/relationships" ref="O75" r:id="rId146"/>
    <hyperlink xmlns:r="http://schemas.openxmlformats.org/officeDocument/2006/relationships" ref="F76" r:id="rId147"/>
    <hyperlink xmlns:r="http://schemas.openxmlformats.org/officeDocument/2006/relationships" ref="O76" r:id="rId148"/>
    <hyperlink xmlns:r="http://schemas.openxmlformats.org/officeDocument/2006/relationships" ref="F77" r:id="rId149"/>
    <hyperlink xmlns:r="http://schemas.openxmlformats.org/officeDocument/2006/relationships" ref="O77" r:id="rId150"/>
    <hyperlink xmlns:r="http://schemas.openxmlformats.org/officeDocument/2006/relationships" ref="F78" r:id="rId151"/>
    <hyperlink xmlns:r="http://schemas.openxmlformats.org/officeDocument/2006/relationships" ref="O78" r:id="rId152"/>
    <hyperlink xmlns:r="http://schemas.openxmlformats.org/officeDocument/2006/relationships" ref="F79" r:id="rId153"/>
    <hyperlink xmlns:r="http://schemas.openxmlformats.org/officeDocument/2006/relationships" ref="O79" r:id="rId154"/>
    <hyperlink xmlns:r="http://schemas.openxmlformats.org/officeDocument/2006/relationships" ref="F80" r:id="rId155"/>
    <hyperlink xmlns:r="http://schemas.openxmlformats.org/officeDocument/2006/relationships" ref="O80" r:id="rId156"/>
    <hyperlink xmlns:r="http://schemas.openxmlformats.org/officeDocument/2006/relationships" ref="O81" r:id="rId157"/>
    <hyperlink xmlns:r="http://schemas.openxmlformats.org/officeDocument/2006/relationships" ref="O82" r:id="rId158"/>
    <hyperlink xmlns:r="http://schemas.openxmlformats.org/officeDocument/2006/relationships" ref="F83" r:id="rId159"/>
    <hyperlink xmlns:r="http://schemas.openxmlformats.org/officeDocument/2006/relationships" ref="O83" r:id="rId160"/>
    <hyperlink xmlns:r="http://schemas.openxmlformats.org/officeDocument/2006/relationships" ref="F84" r:id="rId161"/>
    <hyperlink xmlns:r="http://schemas.openxmlformats.org/officeDocument/2006/relationships" ref="O84" r:id="rId162"/>
    <hyperlink xmlns:r="http://schemas.openxmlformats.org/officeDocument/2006/relationships" ref="F85" r:id="rId163"/>
    <hyperlink xmlns:r="http://schemas.openxmlformats.org/officeDocument/2006/relationships" ref="O85" r:id="rId164"/>
    <hyperlink xmlns:r="http://schemas.openxmlformats.org/officeDocument/2006/relationships" ref="F86" r:id="rId165"/>
    <hyperlink xmlns:r="http://schemas.openxmlformats.org/officeDocument/2006/relationships" ref="O86" r:id="rId166"/>
    <hyperlink xmlns:r="http://schemas.openxmlformats.org/officeDocument/2006/relationships" ref="F87" r:id="rId167"/>
    <hyperlink xmlns:r="http://schemas.openxmlformats.org/officeDocument/2006/relationships" ref="O87" r:id="rId168"/>
    <hyperlink xmlns:r="http://schemas.openxmlformats.org/officeDocument/2006/relationships" ref="F88" r:id="rId169"/>
    <hyperlink xmlns:r="http://schemas.openxmlformats.org/officeDocument/2006/relationships" ref="O88" r:id="rId170"/>
    <hyperlink xmlns:r="http://schemas.openxmlformats.org/officeDocument/2006/relationships" ref="F89" r:id="rId171"/>
    <hyperlink xmlns:r="http://schemas.openxmlformats.org/officeDocument/2006/relationships" ref="O89" r:id="rId172"/>
    <hyperlink xmlns:r="http://schemas.openxmlformats.org/officeDocument/2006/relationships" ref="F90" r:id="rId173"/>
    <hyperlink xmlns:r="http://schemas.openxmlformats.org/officeDocument/2006/relationships" ref="O90" r:id="rId174"/>
    <hyperlink xmlns:r="http://schemas.openxmlformats.org/officeDocument/2006/relationships" ref="F91" r:id="rId175"/>
    <hyperlink xmlns:r="http://schemas.openxmlformats.org/officeDocument/2006/relationships" ref="O91" r:id="rId176"/>
    <hyperlink xmlns:r="http://schemas.openxmlformats.org/officeDocument/2006/relationships" ref="F92" r:id="rId177"/>
    <hyperlink xmlns:r="http://schemas.openxmlformats.org/officeDocument/2006/relationships" ref="O92" r:id="rId178"/>
    <hyperlink xmlns:r="http://schemas.openxmlformats.org/officeDocument/2006/relationships" ref="F93" r:id="rId179"/>
    <hyperlink xmlns:r="http://schemas.openxmlformats.org/officeDocument/2006/relationships" ref="O93" r:id="rId180"/>
    <hyperlink xmlns:r="http://schemas.openxmlformats.org/officeDocument/2006/relationships" ref="F94" r:id="rId181"/>
    <hyperlink xmlns:r="http://schemas.openxmlformats.org/officeDocument/2006/relationships" ref="O94" r:id="rId182"/>
    <hyperlink xmlns:r="http://schemas.openxmlformats.org/officeDocument/2006/relationships" ref="F95" r:id="rId183"/>
    <hyperlink xmlns:r="http://schemas.openxmlformats.org/officeDocument/2006/relationships" ref="O95" r:id="rId184"/>
    <hyperlink xmlns:r="http://schemas.openxmlformats.org/officeDocument/2006/relationships" ref="F96" r:id="rId185"/>
    <hyperlink xmlns:r="http://schemas.openxmlformats.org/officeDocument/2006/relationships" ref="O96" r:id="rId186"/>
    <hyperlink xmlns:r="http://schemas.openxmlformats.org/officeDocument/2006/relationships" ref="F97" r:id="rId187"/>
    <hyperlink xmlns:r="http://schemas.openxmlformats.org/officeDocument/2006/relationships" ref="O97" r:id="rId188"/>
    <hyperlink xmlns:r="http://schemas.openxmlformats.org/officeDocument/2006/relationships" ref="F98" r:id="rId189"/>
    <hyperlink xmlns:r="http://schemas.openxmlformats.org/officeDocument/2006/relationships" ref="O98" r:id="rId190"/>
    <hyperlink xmlns:r="http://schemas.openxmlformats.org/officeDocument/2006/relationships" ref="F99" r:id="rId191"/>
    <hyperlink xmlns:r="http://schemas.openxmlformats.org/officeDocument/2006/relationships" ref="O99" r:id="rId192"/>
    <hyperlink xmlns:r="http://schemas.openxmlformats.org/officeDocument/2006/relationships" ref="F100" r:id="rId193"/>
    <hyperlink xmlns:r="http://schemas.openxmlformats.org/officeDocument/2006/relationships" ref="O100" r:id="rId194"/>
    <hyperlink xmlns:r="http://schemas.openxmlformats.org/officeDocument/2006/relationships" ref="F101" r:id="rId195"/>
    <hyperlink xmlns:r="http://schemas.openxmlformats.org/officeDocument/2006/relationships" ref="O101" r:id="rId196"/>
    <hyperlink xmlns:r="http://schemas.openxmlformats.org/officeDocument/2006/relationships" ref="F102" r:id="rId197"/>
    <hyperlink xmlns:r="http://schemas.openxmlformats.org/officeDocument/2006/relationships" ref="O102" r:id="rId198"/>
    <hyperlink xmlns:r="http://schemas.openxmlformats.org/officeDocument/2006/relationships" ref="O103" r:id="rId199"/>
    <hyperlink xmlns:r="http://schemas.openxmlformats.org/officeDocument/2006/relationships" ref="F104" r:id="rId200"/>
    <hyperlink xmlns:r="http://schemas.openxmlformats.org/officeDocument/2006/relationships" ref="O104" r:id="rId201"/>
    <hyperlink xmlns:r="http://schemas.openxmlformats.org/officeDocument/2006/relationships" ref="O105" r:id="rId202"/>
    <hyperlink xmlns:r="http://schemas.openxmlformats.org/officeDocument/2006/relationships" ref="F106" r:id="rId203"/>
    <hyperlink xmlns:r="http://schemas.openxmlformats.org/officeDocument/2006/relationships" ref="O106" r:id="rId204"/>
    <hyperlink xmlns:r="http://schemas.openxmlformats.org/officeDocument/2006/relationships" ref="F107" r:id="rId205"/>
    <hyperlink xmlns:r="http://schemas.openxmlformats.org/officeDocument/2006/relationships" ref="O107" r:id="rId206"/>
    <hyperlink xmlns:r="http://schemas.openxmlformats.org/officeDocument/2006/relationships" ref="F108" r:id="rId207"/>
    <hyperlink xmlns:r="http://schemas.openxmlformats.org/officeDocument/2006/relationships" ref="O108" r:id="rId208"/>
    <hyperlink xmlns:r="http://schemas.openxmlformats.org/officeDocument/2006/relationships" ref="F109" r:id="rId209"/>
    <hyperlink xmlns:r="http://schemas.openxmlformats.org/officeDocument/2006/relationships" ref="O109" r:id="rId210"/>
    <hyperlink xmlns:r="http://schemas.openxmlformats.org/officeDocument/2006/relationships" ref="F110" r:id="rId211"/>
    <hyperlink xmlns:r="http://schemas.openxmlformats.org/officeDocument/2006/relationships" ref="O110" r:id="rId212"/>
    <hyperlink xmlns:r="http://schemas.openxmlformats.org/officeDocument/2006/relationships" ref="F111" r:id="rId213"/>
    <hyperlink xmlns:r="http://schemas.openxmlformats.org/officeDocument/2006/relationships" ref="O111" r:id="rId214"/>
    <hyperlink xmlns:r="http://schemas.openxmlformats.org/officeDocument/2006/relationships" ref="F112" r:id="rId215"/>
    <hyperlink xmlns:r="http://schemas.openxmlformats.org/officeDocument/2006/relationships" ref="O112" r:id="rId216"/>
    <hyperlink xmlns:r="http://schemas.openxmlformats.org/officeDocument/2006/relationships" ref="F113" r:id="rId217"/>
    <hyperlink xmlns:r="http://schemas.openxmlformats.org/officeDocument/2006/relationships" ref="O113" r:id="rId218"/>
    <hyperlink xmlns:r="http://schemas.openxmlformats.org/officeDocument/2006/relationships" ref="F114" r:id="rId219"/>
    <hyperlink xmlns:r="http://schemas.openxmlformats.org/officeDocument/2006/relationships" ref="O114" r:id="rId220"/>
    <hyperlink xmlns:r="http://schemas.openxmlformats.org/officeDocument/2006/relationships" ref="F115" r:id="rId221"/>
    <hyperlink xmlns:r="http://schemas.openxmlformats.org/officeDocument/2006/relationships" ref="O115" r:id="rId222"/>
    <hyperlink xmlns:r="http://schemas.openxmlformats.org/officeDocument/2006/relationships" ref="O116" r:id="rId223"/>
    <hyperlink xmlns:r="http://schemas.openxmlformats.org/officeDocument/2006/relationships" ref="F117" r:id="rId224"/>
    <hyperlink xmlns:r="http://schemas.openxmlformats.org/officeDocument/2006/relationships" ref="O117" r:id="rId225"/>
    <hyperlink xmlns:r="http://schemas.openxmlformats.org/officeDocument/2006/relationships" ref="F118" r:id="rId226"/>
    <hyperlink xmlns:r="http://schemas.openxmlformats.org/officeDocument/2006/relationships" ref="O118" r:id="rId227"/>
    <hyperlink xmlns:r="http://schemas.openxmlformats.org/officeDocument/2006/relationships" ref="F119" r:id="rId228"/>
    <hyperlink xmlns:r="http://schemas.openxmlformats.org/officeDocument/2006/relationships" ref="O119" r:id="rId229"/>
    <hyperlink xmlns:r="http://schemas.openxmlformats.org/officeDocument/2006/relationships" ref="F120" r:id="rId230"/>
    <hyperlink xmlns:r="http://schemas.openxmlformats.org/officeDocument/2006/relationships" ref="O120" r:id="rId231"/>
    <hyperlink xmlns:r="http://schemas.openxmlformats.org/officeDocument/2006/relationships" ref="F121" r:id="rId232"/>
    <hyperlink xmlns:r="http://schemas.openxmlformats.org/officeDocument/2006/relationships" ref="O121" r:id="rId233"/>
    <hyperlink xmlns:r="http://schemas.openxmlformats.org/officeDocument/2006/relationships" ref="F122" r:id="rId234"/>
    <hyperlink xmlns:r="http://schemas.openxmlformats.org/officeDocument/2006/relationships" ref="O122" r:id="rId235"/>
    <hyperlink xmlns:r="http://schemas.openxmlformats.org/officeDocument/2006/relationships" ref="F123" r:id="rId236"/>
    <hyperlink xmlns:r="http://schemas.openxmlformats.org/officeDocument/2006/relationships" ref="O123" r:id="rId237"/>
    <hyperlink xmlns:r="http://schemas.openxmlformats.org/officeDocument/2006/relationships" ref="F124" r:id="rId238"/>
    <hyperlink xmlns:r="http://schemas.openxmlformats.org/officeDocument/2006/relationships" ref="O124" r:id="rId239"/>
    <hyperlink xmlns:r="http://schemas.openxmlformats.org/officeDocument/2006/relationships" ref="F125" r:id="rId240"/>
    <hyperlink xmlns:r="http://schemas.openxmlformats.org/officeDocument/2006/relationships" ref="O125" r:id="rId241"/>
    <hyperlink xmlns:r="http://schemas.openxmlformats.org/officeDocument/2006/relationships" ref="F126" r:id="rId242"/>
    <hyperlink xmlns:r="http://schemas.openxmlformats.org/officeDocument/2006/relationships" ref="O126" r:id="rId243"/>
    <hyperlink xmlns:r="http://schemas.openxmlformats.org/officeDocument/2006/relationships" ref="F127" r:id="rId244"/>
    <hyperlink xmlns:r="http://schemas.openxmlformats.org/officeDocument/2006/relationships" ref="O127" r:id="rId245"/>
    <hyperlink xmlns:r="http://schemas.openxmlformats.org/officeDocument/2006/relationships" ref="F128" r:id="rId246"/>
    <hyperlink xmlns:r="http://schemas.openxmlformats.org/officeDocument/2006/relationships" ref="O128" r:id="rId247"/>
    <hyperlink xmlns:r="http://schemas.openxmlformats.org/officeDocument/2006/relationships" ref="F129" r:id="rId248"/>
    <hyperlink xmlns:r="http://schemas.openxmlformats.org/officeDocument/2006/relationships" ref="O129" r:id="rId249"/>
    <hyperlink xmlns:r="http://schemas.openxmlformats.org/officeDocument/2006/relationships" ref="F130" r:id="rId250"/>
    <hyperlink xmlns:r="http://schemas.openxmlformats.org/officeDocument/2006/relationships" ref="O130" r:id="rId251"/>
    <hyperlink xmlns:r="http://schemas.openxmlformats.org/officeDocument/2006/relationships" ref="F131" r:id="rId252"/>
    <hyperlink xmlns:r="http://schemas.openxmlformats.org/officeDocument/2006/relationships" ref="O131" r:id="rId253"/>
    <hyperlink xmlns:r="http://schemas.openxmlformats.org/officeDocument/2006/relationships" ref="F132" r:id="rId254"/>
    <hyperlink xmlns:r="http://schemas.openxmlformats.org/officeDocument/2006/relationships" ref="O132" r:id="rId255"/>
    <hyperlink xmlns:r="http://schemas.openxmlformats.org/officeDocument/2006/relationships" ref="F133" r:id="rId256"/>
    <hyperlink xmlns:r="http://schemas.openxmlformats.org/officeDocument/2006/relationships" ref="O133" r:id="rId257"/>
    <hyperlink xmlns:r="http://schemas.openxmlformats.org/officeDocument/2006/relationships" ref="F134" r:id="rId258"/>
    <hyperlink xmlns:r="http://schemas.openxmlformats.org/officeDocument/2006/relationships" ref="O134" r:id="rId259"/>
    <hyperlink xmlns:r="http://schemas.openxmlformats.org/officeDocument/2006/relationships" ref="F135" r:id="rId260"/>
    <hyperlink xmlns:r="http://schemas.openxmlformats.org/officeDocument/2006/relationships" ref="O135" r:id="rId261"/>
    <hyperlink xmlns:r="http://schemas.openxmlformats.org/officeDocument/2006/relationships" ref="F136" r:id="rId262"/>
    <hyperlink xmlns:r="http://schemas.openxmlformats.org/officeDocument/2006/relationships" ref="O136" r:id="rId263"/>
    <hyperlink xmlns:r="http://schemas.openxmlformats.org/officeDocument/2006/relationships" ref="F137" r:id="rId264"/>
    <hyperlink xmlns:r="http://schemas.openxmlformats.org/officeDocument/2006/relationships" ref="O137" r:id="rId265"/>
    <hyperlink xmlns:r="http://schemas.openxmlformats.org/officeDocument/2006/relationships" ref="F138" r:id="rId266"/>
    <hyperlink xmlns:r="http://schemas.openxmlformats.org/officeDocument/2006/relationships" ref="O138" r:id="rId267"/>
    <hyperlink xmlns:r="http://schemas.openxmlformats.org/officeDocument/2006/relationships" ref="O139" r:id="rId268"/>
    <hyperlink xmlns:r="http://schemas.openxmlformats.org/officeDocument/2006/relationships" ref="F140" r:id="rId269"/>
    <hyperlink xmlns:r="http://schemas.openxmlformats.org/officeDocument/2006/relationships" ref="O140" r:id="rId270"/>
    <hyperlink xmlns:r="http://schemas.openxmlformats.org/officeDocument/2006/relationships" ref="F141" r:id="rId271"/>
    <hyperlink xmlns:r="http://schemas.openxmlformats.org/officeDocument/2006/relationships" ref="O141" r:id="rId272"/>
    <hyperlink xmlns:r="http://schemas.openxmlformats.org/officeDocument/2006/relationships" ref="F142" r:id="rId273"/>
    <hyperlink xmlns:r="http://schemas.openxmlformats.org/officeDocument/2006/relationships" ref="O142" r:id="rId274"/>
    <hyperlink xmlns:r="http://schemas.openxmlformats.org/officeDocument/2006/relationships" ref="F143" r:id="rId275"/>
    <hyperlink xmlns:r="http://schemas.openxmlformats.org/officeDocument/2006/relationships" ref="O143" r:id="rId276"/>
    <hyperlink xmlns:r="http://schemas.openxmlformats.org/officeDocument/2006/relationships" ref="O144" r:id="rId277"/>
    <hyperlink xmlns:r="http://schemas.openxmlformats.org/officeDocument/2006/relationships" ref="F145" r:id="rId278"/>
    <hyperlink xmlns:r="http://schemas.openxmlformats.org/officeDocument/2006/relationships" ref="O145" r:id="rId279"/>
    <hyperlink xmlns:r="http://schemas.openxmlformats.org/officeDocument/2006/relationships" ref="F146" r:id="rId280"/>
    <hyperlink xmlns:r="http://schemas.openxmlformats.org/officeDocument/2006/relationships" ref="O146" r:id="rId281"/>
    <hyperlink xmlns:r="http://schemas.openxmlformats.org/officeDocument/2006/relationships" ref="F147" r:id="rId282"/>
    <hyperlink xmlns:r="http://schemas.openxmlformats.org/officeDocument/2006/relationships" ref="O147" r:id="rId283"/>
    <hyperlink xmlns:r="http://schemas.openxmlformats.org/officeDocument/2006/relationships" ref="F148" r:id="rId284"/>
    <hyperlink xmlns:r="http://schemas.openxmlformats.org/officeDocument/2006/relationships" ref="O148" r:id="rId285"/>
    <hyperlink xmlns:r="http://schemas.openxmlformats.org/officeDocument/2006/relationships" ref="F149" r:id="rId286"/>
    <hyperlink xmlns:r="http://schemas.openxmlformats.org/officeDocument/2006/relationships" ref="O149" r:id="rId287"/>
    <hyperlink xmlns:r="http://schemas.openxmlformats.org/officeDocument/2006/relationships" ref="F150" r:id="rId288"/>
    <hyperlink xmlns:r="http://schemas.openxmlformats.org/officeDocument/2006/relationships" ref="O150" r:id="rId289"/>
    <hyperlink xmlns:r="http://schemas.openxmlformats.org/officeDocument/2006/relationships" ref="O151" r:id="rId290"/>
    <hyperlink xmlns:r="http://schemas.openxmlformats.org/officeDocument/2006/relationships" ref="O152" r:id="rId291"/>
    <hyperlink xmlns:r="http://schemas.openxmlformats.org/officeDocument/2006/relationships" ref="F153" r:id="rId292"/>
    <hyperlink xmlns:r="http://schemas.openxmlformats.org/officeDocument/2006/relationships" ref="O153" r:id="rId293"/>
    <hyperlink xmlns:r="http://schemas.openxmlformats.org/officeDocument/2006/relationships" ref="F154" r:id="rId294"/>
    <hyperlink xmlns:r="http://schemas.openxmlformats.org/officeDocument/2006/relationships" ref="O154" r:id="rId295"/>
    <hyperlink xmlns:r="http://schemas.openxmlformats.org/officeDocument/2006/relationships" ref="F155" r:id="rId296"/>
    <hyperlink xmlns:r="http://schemas.openxmlformats.org/officeDocument/2006/relationships" ref="O155" r:id="rId297"/>
    <hyperlink xmlns:r="http://schemas.openxmlformats.org/officeDocument/2006/relationships" ref="F156" r:id="rId298"/>
    <hyperlink xmlns:r="http://schemas.openxmlformats.org/officeDocument/2006/relationships" ref="O156" r:id="rId299"/>
    <hyperlink xmlns:r="http://schemas.openxmlformats.org/officeDocument/2006/relationships" ref="F157" r:id="rId300"/>
    <hyperlink xmlns:r="http://schemas.openxmlformats.org/officeDocument/2006/relationships" ref="O157" r:id="rId301"/>
    <hyperlink xmlns:r="http://schemas.openxmlformats.org/officeDocument/2006/relationships" ref="F158" r:id="rId302"/>
    <hyperlink xmlns:r="http://schemas.openxmlformats.org/officeDocument/2006/relationships" ref="O158" r:id="rId303"/>
    <hyperlink xmlns:r="http://schemas.openxmlformats.org/officeDocument/2006/relationships" ref="F159" r:id="rId304"/>
    <hyperlink xmlns:r="http://schemas.openxmlformats.org/officeDocument/2006/relationships" ref="O159" r:id="rId305"/>
    <hyperlink xmlns:r="http://schemas.openxmlformats.org/officeDocument/2006/relationships" ref="F160" r:id="rId306"/>
    <hyperlink xmlns:r="http://schemas.openxmlformats.org/officeDocument/2006/relationships" ref="O160" r:id="rId307"/>
    <hyperlink xmlns:r="http://schemas.openxmlformats.org/officeDocument/2006/relationships" ref="F161" r:id="rId308"/>
    <hyperlink xmlns:r="http://schemas.openxmlformats.org/officeDocument/2006/relationships" ref="O161" r:id="rId309"/>
    <hyperlink xmlns:r="http://schemas.openxmlformats.org/officeDocument/2006/relationships" ref="F162" r:id="rId310"/>
    <hyperlink xmlns:r="http://schemas.openxmlformats.org/officeDocument/2006/relationships" ref="O162" r:id="rId311"/>
    <hyperlink xmlns:r="http://schemas.openxmlformats.org/officeDocument/2006/relationships" ref="F163" r:id="rId312"/>
    <hyperlink xmlns:r="http://schemas.openxmlformats.org/officeDocument/2006/relationships" ref="O163" r:id="rId313"/>
    <hyperlink xmlns:r="http://schemas.openxmlformats.org/officeDocument/2006/relationships" ref="F164" r:id="rId314"/>
    <hyperlink xmlns:r="http://schemas.openxmlformats.org/officeDocument/2006/relationships" ref="O164" r:id="rId315"/>
    <hyperlink xmlns:r="http://schemas.openxmlformats.org/officeDocument/2006/relationships" ref="F165" r:id="rId316"/>
    <hyperlink xmlns:r="http://schemas.openxmlformats.org/officeDocument/2006/relationships" ref="O165" r:id="rId317"/>
    <hyperlink xmlns:r="http://schemas.openxmlformats.org/officeDocument/2006/relationships" ref="F166" r:id="rId318"/>
    <hyperlink xmlns:r="http://schemas.openxmlformats.org/officeDocument/2006/relationships" ref="O166" r:id="rId319"/>
    <hyperlink xmlns:r="http://schemas.openxmlformats.org/officeDocument/2006/relationships" ref="F167" r:id="rId320"/>
    <hyperlink xmlns:r="http://schemas.openxmlformats.org/officeDocument/2006/relationships" ref="O167" r:id="rId321"/>
    <hyperlink xmlns:r="http://schemas.openxmlformats.org/officeDocument/2006/relationships" ref="F168" r:id="rId322"/>
    <hyperlink xmlns:r="http://schemas.openxmlformats.org/officeDocument/2006/relationships" ref="O168" r:id="rId323"/>
    <hyperlink xmlns:r="http://schemas.openxmlformats.org/officeDocument/2006/relationships" ref="F169" r:id="rId324"/>
    <hyperlink xmlns:r="http://schemas.openxmlformats.org/officeDocument/2006/relationships" ref="O169" r:id="rId325"/>
    <hyperlink xmlns:r="http://schemas.openxmlformats.org/officeDocument/2006/relationships" ref="F170" r:id="rId326"/>
    <hyperlink xmlns:r="http://schemas.openxmlformats.org/officeDocument/2006/relationships" ref="O170" r:id="rId327"/>
    <hyperlink xmlns:r="http://schemas.openxmlformats.org/officeDocument/2006/relationships" ref="F171" r:id="rId328"/>
    <hyperlink xmlns:r="http://schemas.openxmlformats.org/officeDocument/2006/relationships" ref="O171" r:id="rId329"/>
    <hyperlink xmlns:r="http://schemas.openxmlformats.org/officeDocument/2006/relationships" ref="F172" r:id="rId330"/>
    <hyperlink xmlns:r="http://schemas.openxmlformats.org/officeDocument/2006/relationships" ref="O172" r:id="rId331"/>
    <hyperlink xmlns:r="http://schemas.openxmlformats.org/officeDocument/2006/relationships" ref="F173" r:id="rId332"/>
    <hyperlink xmlns:r="http://schemas.openxmlformats.org/officeDocument/2006/relationships" ref="O173" r:id="rId333"/>
    <hyperlink xmlns:r="http://schemas.openxmlformats.org/officeDocument/2006/relationships" ref="F174" r:id="rId334"/>
    <hyperlink xmlns:r="http://schemas.openxmlformats.org/officeDocument/2006/relationships" ref="O174" r:id="rId335"/>
    <hyperlink xmlns:r="http://schemas.openxmlformats.org/officeDocument/2006/relationships" ref="F175" r:id="rId336"/>
    <hyperlink xmlns:r="http://schemas.openxmlformats.org/officeDocument/2006/relationships" ref="O175" r:id="rId337"/>
    <hyperlink xmlns:r="http://schemas.openxmlformats.org/officeDocument/2006/relationships" ref="F176" r:id="rId338"/>
    <hyperlink xmlns:r="http://schemas.openxmlformats.org/officeDocument/2006/relationships" ref="O176" r:id="rId339"/>
    <hyperlink xmlns:r="http://schemas.openxmlformats.org/officeDocument/2006/relationships" ref="F177" r:id="rId340"/>
    <hyperlink xmlns:r="http://schemas.openxmlformats.org/officeDocument/2006/relationships" ref="O177" r:id="rId341"/>
    <hyperlink xmlns:r="http://schemas.openxmlformats.org/officeDocument/2006/relationships" ref="F178" r:id="rId342"/>
    <hyperlink xmlns:r="http://schemas.openxmlformats.org/officeDocument/2006/relationships" ref="O178" r:id="rId343"/>
    <hyperlink xmlns:r="http://schemas.openxmlformats.org/officeDocument/2006/relationships" ref="F179" r:id="rId344"/>
    <hyperlink xmlns:r="http://schemas.openxmlformats.org/officeDocument/2006/relationships" ref="O179" r:id="rId345"/>
    <hyperlink xmlns:r="http://schemas.openxmlformats.org/officeDocument/2006/relationships" ref="F180" r:id="rId346"/>
    <hyperlink xmlns:r="http://schemas.openxmlformats.org/officeDocument/2006/relationships" ref="O180" r:id="rId347"/>
    <hyperlink xmlns:r="http://schemas.openxmlformats.org/officeDocument/2006/relationships" ref="F181" r:id="rId348"/>
    <hyperlink xmlns:r="http://schemas.openxmlformats.org/officeDocument/2006/relationships" ref="O181" r:id="rId349"/>
    <hyperlink xmlns:r="http://schemas.openxmlformats.org/officeDocument/2006/relationships" ref="F182" r:id="rId350"/>
    <hyperlink xmlns:r="http://schemas.openxmlformats.org/officeDocument/2006/relationships" ref="O182" r:id="rId351"/>
    <hyperlink xmlns:r="http://schemas.openxmlformats.org/officeDocument/2006/relationships" ref="F183" r:id="rId352"/>
    <hyperlink xmlns:r="http://schemas.openxmlformats.org/officeDocument/2006/relationships" ref="O183" r:id="rId353"/>
    <hyperlink xmlns:r="http://schemas.openxmlformats.org/officeDocument/2006/relationships" ref="F184" r:id="rId354"/>
    <hyperlink xmlns:r="http://schemas.openxmlformats.org/officeDocument/2006/relationships" ref="O184" r:id="rId355"/>
    <hyperlink xmlns:r="http://schemas.openxmlformats.org/officeDocument/2006/relationships" ref="F185" r:id="rId356"/>
    <hyperlink xmlns:r="http://schemas.openxmlformats.org/officeDocument/2006/relationships" ref="O185" r:id="rId357"/>
    <hyperlink xmlns:r="http://schemas.openxmlformats.org/officeDocument/2006/relationships" ref="O186" r:id="rId358"/>
    <hyperlink xmlns:r="http://schemas.openxmlformats.org/officeDocument/2006/relationships" ref="F187" r:id="rId359"/>
    <hyperlink xmlns:r="http://schemas.openxmlformats.org/officeDocument/2006/relationships" ref="O187" r:id="rId360"/>
    <hyperlink xmlns:r="http://schemas.openxmlformats.org/officeDocument/2006/relationships" ref="F188" r:id="rId361"/>
    <hyperlink xmlns:r="http://schemas.openxmlformats.org/officeDocument/2006/relationships" ref="O188" r:id="rId362"/>
    <hyperlink xmlns:r="http://schemas.openxmlformats.org/officeDocument/2006/relationships" ref="F189" r:id="rId363"/>
    <hyperlink xmlns:r="http://schemas.openxmlformats.org/officeDocument/2006/relationships" ref="O189" r:id="rId364"/>
    <hyperlink xmlns:r="http://schemas.openxmlformats.org/officeDocument/2006/relationships" ref="F190" r:id="rId365"/>
    <hyperlink xmlns:r="http://schemas.openxmlformats.org/officeDocument/2006/relationships" ref="O190" r:id="rId366"/>
    <hyperlink xmlns:r="http://schemas.openxmlformats.org/officeDocument/2006/relationships" ref="F191" r:id="rId367"/>
    <hyperlink xmlns:r="http://schemas.openxmlformats.org/officeDocument/2006/relationships" ref="O191" r:id="rId368"/>
    <hyperlink xmlns:r="http://schemas.openxmlformats.org/officeDocument/2006/relationships" ref="F192" r:id="rId369"/>
    <hyperlink xmlns:r="http://schemas.openxmlformats.org/officeDocument/2006/relationships" ref="O192" r:id="rId370"/>
    <hyperlink xmlns:r="http://schemas.openxmlformats.org/officeDocument/2006/relationships" ref="F193" r:id="rId371"/>
    <hyperlink xmlns:r="http://schemas.openxmlformats.org/officeDocument/2006/relationships" ref="O193" r:id="rId372"/>
    <hyperlink xmlns:r="http://schemas.openxmlformats.org/officeDocument/2006/relationships" ref="F194" r:id="rId373"/>
    <hyperlink xmlns:r="http://schemas.openxmlformats.org/officeDocument/2006/relationships" ref="O194" r:id="rId374"/>
    <hyperlink xmlns:r="http://schemas.openxmlformats.org/officeDocument/2006/relationships" ref="F195" r:id="rId375"/>
    <hyperlink xmlns:r="http://schemas.openxmlformats.org/officeDocument/2006/relationships" ref="O195" r:id="rId376"/>
    <hyperlink xmlns:r="http://schemas.openxmlformats.org/officeDocument/2006/relationships" ref="F196" r:id="rId377"/>
    <hyperlink xmlns:r="http://schemas.openxmlformats.org/officeDocument/2006/relationships" ref="O196" r:id="rId378"/>
    <hyperlink xmlns:r="http://schemas.openxmlformats.org/officeDocument/2006/relationships" ref="F197" r:id="rId379"/>
    <hyperlink xmlns:r="http://schemas.openxmlformats.org/officeDocument/2006/relationships" ref="O197" r:id="rId380"/>
    <hyperlink xmlns:r="http://schemas.openxmlformats.org/officeDocument/2006/relationships" ref="F198" r:id="rId381"/>
    <hyperlink xmlns:r="http://schemas.openxmlformats.org/officeDocument/2006/relationships" ref="O198" r:id="rId382"/>
    <hyperlink xmlns:r="http://schemas.openxmlformats.org/officeDocument/2006/relationships" ref="F199" r:id="rId383"/>
    <hyperlink xmlns:r="http://schemas.openxmlformats.org/officeDocument/2006/relationships" ref="O199" r:id="rId384"/>
    <hyperlink xmlns:r="http://schemas.openxmlformats.org/officeDocument/2006/relationships" ref="F200" r:id="rId385"/>
    <hyperlink xmlns:r="http://schemas.openxmlformats.org/officeDocument/2006/relationships" ref="O200" r:id="rId386"/>
    <hyperlink xmlns:r="http://schemas.openxmlformats.org/officeDocument/2006/relationships" ref="F201" r:id="rId387"/>
    <hyperlink xmlns:r="http://schemas.openxmlformats.org/officeDocument/2006/relationships" ref="O201" r:id="rId388"/>
    <hyperlink xmlns:r="http://schemas.openxmlformats.org/officeDocument/2006/relationships" ref="F202" r:id="rId389"/>
    <hyperlink xmlns:r="http://schemas.openxmlformats.org/officeDocument/2006/relationships" ref="O202" r:id="rId390"/>
    <hyperlink xmlns:r="http://schemas.openxmlformats.org/officeDocument/2006/relationships" ref="F203" r:id="rId391"/>
    <hyperlink xmlns:r="http://schemas.openxmlformats.org/officeDocument/2006/relationships" ref="O203" r:id="rId392"/>
    <hyperlink xmlns:r="http://schemas.openxmlformats.org/officeDocument/2006/relationships" ref="F204" r:id="rId393"/>
    <hyperlink xmlns:r="http://schemas.openxmlformats.org/officeDocument/2006/relationships" ref="O204" r:id="rId394"/>
    <hyperlink xmlns:r="http://schemas.openxmlformats.org/officeDocument/2006/relationships" ref="F205" r:id="rId395"/>
    <hyperlink xmlns:r="http://schemas.openxmlformats.org/officeDocument/2006/relationships" ref="O205" r:id="rId396"/>
    <hyperlink xmlns:r="http://schemas.openxmlformats.org/officeDocument/2006/relationships" ref="F206" r:id="rId397"/>
    <hyperlink xmlns:r="http://schemas.openxmlformats.org/officeDocument/2006/relationships" ref="O206" r:id="rId398"/>
    <hyperlink xmlns:r="http://schemas.openxmlformats.org/officeDocument/2006/relationships" ref="F207" r:id="rId399"/>
    <hyperlink xmlns:r="http://schemas.openxmlformats.org/officeDocument/2006/relationships" ref="O207" r:id="rId400"/>
    <hyperlink xmlns:r="http://schemas.openxmlformats.org/officeDocument/2006/relationships" ref="F208" r:id="rId401"/>
    <hyperlink xmlns:r="http://schemas.openxmlformats.org/officeDocument/2006/relationships" ref="O208" r:id="rId402"/>
    <hyperlink xmlns:r="http://schemas.openxmlformats.org/officeDocument/2006/relationships" ref="F209" r:id="rId403"/>
    <hyperlink xmlns:r="http://schemas.openxmlformats.org/officeDocument/2006/relationships" ref="O209" r:id="rId404"/>
    <hyperlink xmlns:r="http://schemas.openxmlformats.org/officeDocument/2006/relationships" ref="F210" r:id="rId405"/>
    <hyperlink xmlns:r="http://schemas.openxmlformats.org/officeDocument/2006/relationships" ref="O210" r:id="rId406"/>
    <hyperlink xmlns:r="http://schemas.openxmlformats.org/officeDocument/2006/relationships" ref="F211" r:id="rId407"/>
    <hyperlink xmlns:r="http://schemas.openxmlformats.org/officeDocument/2006/relationships" ref="O211" r:id="rId408"/>
    <hyperlink xmlns:r="http://schemas.openxmlformats.org/officeDocument/2006/relationships" ref="F212" r:id="rId409"/>
    <hyperlink xmlns:r="http://schemas.openxmlformats.org/officeDocument/2006/relationships" ref="O212" r:id="rId410"/>
    <hyperlink xmlns:r="http://schemas.openxmlformats.org/officeDocument/2006/relationships" ref="O213" r:id="rId411"/>
    <hyperlink xmlns:r="http://schemas.openxmlformats.org/officeDocument/2006/relationships" ref="O214" r:id="rId412"/>
    <hyperlink xmlns:r="http://schemas.openxmlformats.org/officeDocument/2006/relationships" ref="F215" r:id="rId413"/>
    <hyperlink xmlns:r="http://schemas.openxmlformats.org/officeDocument/2006/relationships" ref="O215" r:id="rId414"/>
    <hyperlink xmlns:r="http://schemas.openxmlformats.org/officeDocument/2006/relationships" ref="F216" r:id="rId415"/>
    <hyperlink xmlns:r="http://schemas.openxmlformats.org/officeDocument/2006/relationships" ref="O216" r:id="rId416"/>
    <hyperlink xmlns:r="http://schemas.openxmlformats.org/officeDocument/2006/relationships" ref="F217" r:id="rId417"/>
    <hyperlink xmlns:r="http://schemas.openxmlformats.org/officeDocument/2006/relationships" ref="O217" r:id="rId418"/>
    <hyperlink xmlns:r="http://schemas.openxmlformats.org/officeDocument/2006/relationships" ref="F218" r:id="rId419"/>
    <hyperlink xmlns:r="http://schemas.openxmlformats.org/officeDocument/2006/relationships" ref="O218" r:id="rId420"/>
    <hyperlink xmlns:r="http://schemas.openxmlformats.org/officeDocument/2006/relationships" ref="F219" r:id="rId421"/>
    <hyperlink xmlns:r="http://schemas.openxmlformats.org/officeDocument/2006/relationships" ref="O219" r:id="rId422"/>
    <hyperlink xmlns:r="http://schemas.openxmlformats.org/officeDocument/2006/relationships" ref="F220" r:id="rId423"/>
    <hyperlink xmlns:r="http://schemas.openxmlformats.org/officeDocument/2006/relationships" ref="O220" r:id="rId424"/>
    <hyperlink xmlns:r="http://schemas.openxmlformats.org/officeDocument/2006/relationships" ref="F221" r:id="rId425"/>
    <hyperlink xmlns:r="http://schemas.openxmlformats.org/officeDocument/2006/relationships" ref="O221" r:id="rId426"/>
    <hyperlink xmlns:r="http://schemas.openxmlformats.org/officeDocument/2006/relationships" ref="F222" r:id="rId427"/>
    <hyperlink xmlns:r="http://schemas.openxmlformats.org/officeDocument/2006/relationships" ref="O222" r:id="rId428"/>
    <hyperlink xmlns:r="http://schemas.openxmlformats.org/officeDocument/2006/relationships" ref="F223" r:id="rId429"/>
    <hyperlink xmlns:r="http://schemas.openxmlformats.org/officeDocument/2006/relationships" ref="O223" r:id="rId430"/>
    <hyperlink xmlns:r="http://schemas.openxmlformats.org/officeDocument/2006/relationships" ref="F224" r:id="rId431"/>
    <hyperlink xmlns:r="http://schemas.openxmlformats.org/officeDocument/2006/relationships" ref="O224" r:id="rId432"/>
    <hyperlink xmlns:r="http://schemas.openxmlformats.org/officeDocument/2006/relationships" ref="F225" r:id="rId433"/>
    <hyperlink xmlns:r="http://schemas.openxmlformats.org/officeDocument/2006/relationships" ref="O225" r:id="rId434"/>
    <hyperlink xmlns:r="http://schemas.openxmlformats.org/officeDocument/2006/relationships" ref="F226" r:id="rId435"/>
    <hyperlink xmlns:r="http://schemas.openxmlformats.org/officeDocument/2006/relationships" ref="O226" r:id="rId436"/>
    <hyperlink xmlns:r="http://schemas.openxmlformats.org/officeDocument/2006/relationships" ref="F227" r:id="rId437"/>
    <hyperlink xmlns:r="http://schemas.openxmlformats.org/officeDocument/2006/relationships" ref="O227" r:id="rId438"/>
    <hyperlink xmlns:r="http://schemas.openxmlformats.org/officeDocument/2006/relationships" ref="F228" r:id="rId439"/>
    <hyperlink xmlns:r="http://schemas.openxmlformats.org/officeDocument/2006/relationships" ref="O228" r:id="rId440"/>
    <hyperlink xmlns:r="http://schemas.openxmlformats.org/officeDocument/2006/relationships" ref="F229" r:id="rId441"/>
    <hyperlink xmlns:r="http://schemas.openxmlformats.org/officeDocument/2006/relationships" ref="O229" r:id="rId442"/>
    <hyperlink xmlns:r="http://schemas.openxmlformats.org/officeDocument/2006/relationships" ref="F230" r:id="rId443"/>
    <hyperlink xmlns:r="http://schemas.openxmlformats.org/officeDocument/2006/relationships" ref="O230" r:id="rId444"/>
    <hyperlink xmlns:r="http://schemas.openxmlformats.org/officeDocument/2006/relationships" ref="F231" r:id="rId445"/>
    <hyperlink xmlns:r="http://schemas.openxmlformats.org/officeDocument/2006/relationships" ref="O231" r:id="rId446"/>
    <hyperlink xmlns:r="http://schemas.openxmlformats.org/officeDocument/2006/relationships" ref="O232" r:id="rId447"/>
    <hyperlink xmlns:r="http://schemas.openxmlformats.org/officeDocument/2006/relationships" ref="F233" r:id="rId448"/>
    <hyperlink xmlns:r="http://schemas.openxmlformats.org/officeDocument/2006/relationships" ref="O233" r:id="rId449"/>
    <hyperlink xmlns:r="http://schemas.openxmlformats.org/officeDocument/2006/relationships" ref="F234" r:id="rId450"/>
    <hyperlink xmlns:r="http://schemas.openxmlformats.org/officeDocument/2006/relationships" ref="O234" r:id="rId451"/>
    <hyperlink xmlns:r="http://schemas.openxmlformats.org/officeDocument/2006/relationships" ref="F235" r:id="rId452"/>
    <hyperlink xmlns:r="http://schemas.openxmlformats.org/officeDocument/2006/relationships" ref="O235" r:id="rId453"/>
    <hyperlink xmlns:r="http://schemas.openxmlformats.org/officeDocument/2006/relationships" ref="F236" r:id="rId454"/>
    <hyperlink xmlns:r="http://schemas.openxmlformats.org/officeDocument/2006/relationships" ref="O236" r:id="rId455"/>
    <hyperlink xmlns:r="http://schemas.openxmlformats.org/officeDocument/2006/relationships" ref="F237" r:id="rId456"/>
    <hyperlink xmlns:r="http://schemas.openxmlformats.org/officeDocument/2006/relationships" ref="O237" r:id="rId457"/>
    <hyperlink xmlns:r="http://schemas.openxmlformats.org/officeDocument/2006/relationships" ref="F238" r:id="rId458"/>
    <hyperlink xmlns:r="http://schemas.openxmlformats.org/officeDocument/2006/relationships" ref="O238" r:id="rId459"/>
    <hyperlink xmlns:r="http://schemas.openxmlformats.org/officeDocument/2006/relationships" ref="F239" r:id="rId460"/>
    <hyperlink xmlns:r="http://schemas.openxmlformats.org/officeDocument/2006/relationships" ref="O239" r:id="rId461"/>
    <hyperlink xmlns:r="http://schemas.openxmlformats.org/officeDocument/2006/relationships" ref="F240" r:id="rId462"/>
    <hyperlink xmlns:r="http://schemas.openxmlformats.org/officeDocument/2006/relationships" ref="O240" r:id="rId463"/>
    <hyperlink xmlns:r="http://schemas.openxmlformats.org/officeDocument/2006/relationships" ref="F241" r:id="rId464"/>
    <hyperlink xmlns:r="http://schemas.openxmlformats.org/officeDocument/2006/relationships" ref="O241" r:id="rId465"/>
    <hyperlink xmlns:r="http://schemas.openxmlformats.org/officeDocument/2006/relationships" ref="F242" r:id="rId466"/>
    <hyperlink xmlns:r="http://schemas.openxmlformats.org/officeDocument/2006/relationships" ref="O242" r:id="rId467"/>
    <hyperlink xmlns:r="http://schemas.openxmlformats.org/officeDocument/2006/relationships" ref="F243" r:id="rId468"/>
    <hyperlink xmlns:r="http://schemas.openxmlformats.org/officeDocument/2006/relationships" ref="O243" r:id="rId469"/>
    <hyperlink xmlns:r="http://schemas.openxmlformats.org/officeDocument/2006/relationships" ref="F244" r:id="rId470"/>
    <hyperlink xmlns:r="http://schemas.openxmlformats.org/officeDocument/2006/relationships" ref="O244" r:id="rId471"/>
    <hyperlink xmlns:r="http://schemas.openxmlformats.org/officeDocument/2006/relationships" ref="F245" r:id="rId472"/>
    <hyperlink xmlns:r="http://schemas.openxmlformats.org/officeDocument/2006/relationships" ref="O245" r:id="rId473"/>
    <hyperlink xmlns:r="http://schemas.openxmlformats.org/officeDocument/2006/relationships" ref="F246" r:id="rId474"/>
    <hyperlink xmlns:r="http://schemas.openxmlformats.org/officeDocument/2006/relationships" ref="O246" r:id="rId475"/>
    <hyperlink xmlns:r="http://schemas.openxmlformats.org/officeDocument/2006/relationships" ref="F247" r:id="rId476"/>
    <hyperlink xmlns:r="http://schemas.openxmlformats.org/officeDocument/2006/relationships" ref="O247" r:id="rId477"/>
    <hyperlink xmlns:r="http://schemas.openxmlformats.org/officeDocument/2006/relationships" ref="F248" r:id="rId478"/>
    <hyperlink xmlns:r="http://schemas.openxmlformats.org/officeDocument/2006/relationships" ref="O248" r:id="rId479"/>
    <hyperlink xmlns:r="http://schemas.openxmlformats.org/officeDocument/2006/relationships" ref="F249" r:id="rId480"/>
    <hyperlink xmlns:r="http://schemas.openxmlformats.org/officeDocument/2006/relationships" ref="O249" r:id="rId481"/>
    <hyperlink xmlns:r="http://schemas.openxmlformats.org/officeDocument/2006/relationships" ref="F250" r:id="rId482"/>
    <hyperlink xmlns:r="http://schemas.openxmlformats.org/officeDocument/2006/relationships" ref="O250" r:id="rId483"/>
    <hyperlink xmlns:r="http://schemas.openxmlformats.org/officeDocument/2006/relationships" ref="F251" r:id="rId484"/>
    <hyperlink xmlns:r="http://schemas.openxmlformats.org/officeDocument/2006/relationships" ref="O251" r:id="rId485"/>
    <hyperlink xmlns:r="http://schemas.openxmlformats.org/officeDocument/2006/relationships" ref="F252" r:id="rId486"/>
    <hyperlink xmlns:r="http://schemas.openxmlformats.org/officeDocument/2006/relationships" ref="O252" r:id="rId487"/>
    <hyperlink xmlns:r="http://schemas.openxmlformats.org/officeDocument/2006/relationships" ref="F253" r:id="rId488"/>
    <hyperlink xmlns:r="http://schemas.openxmlformats.org/officeDocument/2006/relationships" ref="O253" r:id="rId489"/>
    <hyperlink xmlns:r="http://schemas.openxmlformats.org/officeDocument/2006/relationships" ref="F254" r:id="rId490"/>
    <hyperlink xmlns:r="http://schemas.openxmlformats.org/officeDocument/2006/relationships" ref="O254" r:id="rId491"/>
    <hyperlink xmlns:r="http://schemas.openxmlformats.org/officeDocument/2006/relationships" ref="F255" r:id="rId492"/>
    <hyperlink xmlns:r="http://schemas.openxmlformats.org/officeDocument/2006/relationships" ref="O255" r:id="rId493"/>
    <hyperlink xmlns:r="http://schemas.openxmlformats.org/officeDocument/2006/relationships" ref="F256" r:id="rId494"/>
    <hyperlink xmlns:r="http://schemas.openxmlformats.org/officeDocument/2006/relationships" ref="O256" r:id="rId495"/>
    <hyperlink xmlns:r="http://schemas.openxmlformats.org/officeDocument/2006/relationships" ref="F257" r:id="rId496"/>
    <hyperlink xmlns:r="http://schemas.openxmlformats.org/officeDocument/2006/relationships" ref="O257" r:id="rId497"/>
    <hyperlink xmlns:r="http://schemas.openxmlformats.org/officeDocument/2006/relationships" ref="F258" r:id="rId498"/>
    <hyperlink xmlns:r="http://schemas.openxmlformats.org/officeDocument/2006/relationships" ref="O258" r:id="rId499"/>
    <hyperlink xmlns:r="http://schemas.openxmlformats.org/officeDocument/2006/relationships" ref="F259" r:id="rId500"/>
    <hyperlink xmlns:r="http://schemas.openxmlformats.org/officeDocument/2006/relationships" ref="O259" r:id="rId501"/>
    <hyperlink xmlns:r="http://schemas.openxmlformats.org/officeDocument/2006/relationships" ref="F260" r:id="rId502"/>
    <hyperlink xmlns:r="http://schemas.openxmlformats.org/officeDocument/2006/relationships" ref="O260" r:id="rId503"/>
    <hyperlink xmlns:r="http://schemas.openxmlformats.org/officeDocument/2006/relationships" ref="F261" r:id="rId504"/>
    <hyperlink xmlns:r="http://schemas.openxmlformats.org/officeDocument/2006/relationships" ref="O261" r:id="rId505"/>
    <hyperlink xmlns:r="http://schemas.openxmlformats.org/officeDocument/2006/relationships" ref="F262" r:id="rId506"/>
    <hyperlink xmlns:r="http://schemas.openxmlformats.org/officeDocument/2006/relationships" ref="O262" r:id="rId507"/>
    <hyperlink xmlns:r="http://schemas.openxmlformats.org/officeDocument/2006/relationships" ref="O263" r:id="rId508"/>
    <hyperlink xmlns:r="http://schemas.openxmlformats.org/officeDocument/2006/relationships" ref="F264" r:id="rId509"/>
    <hyperlink xmlns:r="http://schemas.openxmlformats.org/officeDocument/2006/relationships" ref="O264" r:id="rId510"/>
    <hyperlink xmlns:r="http://schemas.openxmlformats.org/officeDocument/2006/relationships" ref="F265" r:id="rId511"/>
    <hyperlink xmlns:r="http://schemas.openxmlformats.org/officeDocument/2006/relationships" ref="O265" r:id="rId512"/>
    <hyperlink xmlns:r="http://schemas.openxmlformats.org/officeDocument/2006/relationships" ref="F266" r:id="rId513"/>
    <hyperlink xmlns:r="http://schemas.openxmlformats.org/officeDocument/2006/relationships" ref="O266" r:id="rId514"/>
    <hyperlink xmlns:r="http://schemas.openxmlformats.org/officeDocument/2006/relationships" ref="F267" r:id="rId515"/>
    <hyperlink xmlns:r="http://schemas.openxmlformats.org/officeDocument/2006/relationships" ref="O267" r:id="rId516"/>
    <hyperlink xmlns:r="http://schemas.openxmlformats.org/officeDocument/2006/relationships" ref="F268" r:id="rId517"/>
    <hyperlink xmlns:r="http://schemas.openxmlformats.org/officeDocument/2006/relationships" ref="O268" r:id="rId518"/>
    <hyperlink xmlns:r="http://schemas.openxmlformats.org/officeDocument/2006/relationships" ref="F269" r:id="rId519"/>
    <hyperlink xmlns:r="http://schemas.openxmlformats.org/officeDocument/2006/relationships" ref="O269" r:id="rId520"/>
    <hyperlink xmlns:r="http://schemas.openxmlformats.org/officeDocument/2006/relationships" ref="F270" r:id="rId521"/>
    <hyperlink xmlns:r="http://schemas.openxmlformats.org/officeDocument/2006/relationships" ref="O270" r:id="rId522"/>
    <hyperlink xmlns:r="http://schemas.openxmlformats.org/officeDocument/2006/relationships" ref="F271" r:id="rId523"/>
    <hyperlink xmlns:r="http://schemas.openxmlformats.org/officeDocument/2006/relationships" ref="O271" r:id="rId524"/>
    <hyperlink xmlns:r="http://schemas.openxmlformats.org/officeDocument/2006/relationships" ref="F272" r:id="rId525"/>
    <hyperlink xmlns:r="http://schemas.openxmlformats.org/officeDocument/2006/relationships" ref="O272" r:id="rId526"/>
    <hyperlink xmlns:r="http://schemas.openxmlformats.org/officeDocument/2006/relationships" ref="F273" r:id="rId527"/>
    <hyperlink xmlns:r="http://schemas.openxmlformats.org/officeDocument/2006/relationships" ref="O273" r:id="rId528"/>
    <hyperlink xmlns:r="http://schemas.openxmlformats.org/officeDocument/2006/relationships" ref="F274" r:id="rId529"/>
    <hyperlink xmlns:r="http://schemas.openxmlformats.org/officeDocument/2006/relationships" ref="O274" r:id="rId530"/>
    <hyperlink xmlns:r="http://schemas.openxmlformats.org/officeDocument/2006/relationships" ref="F275" r:id="rId531"/>
    <hyperlink xmlns:r="http://schemas.openxmlformats.org/officeDocument/2006/relationships" ref="O275" r:id="rId532"/>
    <hyperlink xmlns:r="http://schemas.openxmlformats.org/officeDocument/2006/relationships" ref="F276" r:id="rId533"/>
    <hyperlink xmlns:r="http://schemas.openxmlformats.org/officeDocument/2006/relationships" ref="O276" r:id="rId534"/>
    <hyperlink xmlns:r="http://schemas.openxmlformats.org/officeDocument/2006/relationships" ref="F277" r:id="rId535"/>
    <hyperlink xmlns:r="http://schemas.openxmlformats.org/officeDocument/2006/relationships" ref="O277" r:id="rId536"/>
    <hyperlink xmlns:r="http://schemas.openxmlformats.org/officeDocument/2006/relationships" ref="F278" r:id="rId537"/>
    <hyperlink xmlns:r="http://schemas.openxmlformats.org/officeDocument/2006/relationships" ref="O278" r:id="rId538"/>
    <hyperlink xmlns:r="http://schemas.openxmlformats.org/officeDocument/2006/relationships" ref="F279" r:id="rId539"/>
    <hyperlink xmlns:r="http://schemas.openxmlformats.org/officeDocument/2006/relationships" ref="O279" r:id="rId540"/>
    <hyperlink xmlns:r="http://schemas.openxmlformats.org/officeDocument/2006/relationships" ref="F280" r:id="rId541"/>
    <hyperlink xmlns:r="http://schemas.openxmlformats.org/officeDocument/2006/relationships" ref="O280" r:id="rId542"/>
    <hyperlink xmlns:r="http://schemas.openxmlformats.org/officeDocument/2006/relationships" ref="F281" r:id="rId543"/>
    <hyperlink xmlns:r="http://schemas.openxmlformats.org/officeDocument/2006/relationships" ref="O281" r:id="rId544"/>
    <hyperlink xmlns:r="http://schemas.openxmlformats.org/officeDocument/2006/relationships" ref="F282" r:id="rId545"/>
    <hyperlink xmlns:r="http://schemas.openxmlformats.org/officeDocument/2006/relationships" ref="O282" r:id="rId546"/>
    <hyperlink xmlns:r="http://schemas.openxmlformats.org/officeDocument/2006/relationships" ref="F283" r:id="rId547"/>
    <hyperlink xmlns:r="http://schemas.openxmlformats.org/officeDocument/2006/relationships" ref="O283" r:id="rId548"/>
    <hyperlink xmlns:r="http://schemas.openxmlformats.org/officeDocument/2006/relationships" ref="F284" r:id="rId549"/>
    <hyperlink xmlns:r="http://schemas.openxmlformats.org/officeDocument/2006/relationships" ref="O284" r:id="rId550"/>
    <hyperlink xmlns:r="http://schemas.openxmlformats.org/officeDocument/2006/relationships" ref="F285" r:id="rId551"/>
    <hyperlink xmlns:r="http://schemas.openxmlformats.org/officeDocument/2006/relationships" ref="O285" r:id="rId552"/>
    <hyperlink xmlns:r="http://schemas.openxmlformats.org/officeDocument/2006/relationships" ref="F286" r:id="rId553"/>
    <hyperlink xmlns:r="http://schemas.openxmlformats.org/officeDocument/2006/relationships" ref="O286" r:id="rId554"/>
    <hyperlink xmlns:r="http://schemas.openxmlformats.org/officeDocument/2006/relationships" ref="O287" r:id="rId555"/>
    <hyperlink xmlns:r="http://schemas.openxmlformats.org/officeDocument/2006/relationships" ref="F288" r:id="rId556"/>
    <hyperlink xmlns:r="http://schemas.openxmlformats.org/officeDocument/2006/relationships" ref="O288" r:id="rId557"/>
    <hyperlink xmlns:r="http://schemas.openxmlformats.org/officeDocument/2006/relationships" ref="F289" r:id="rId558"/>
    <hyperlink xmlns:r="http://schemas.openxmlformats.org/officeDocument/2006/relationships" ref="O289" r:id="rId559"/>
    <hyperlink xmlns:r="http://schemas.openxmlformats.org/officeDocument/2006/relationships" ref="F290" r:id="rId560"/>
    <hyperlink xmlns:r="http://schemas.openxmlformats.org/officeDocument/2006/relationships" ref="O290" r:id="rId561"/>
    <hyperlink xmlns:r="http://schemas.openxmlformats.org/officeDocument/2006/relationships" ref="F291" r:id="rId562"/>
    <hyperlink xmlns:r="http://schemas.openxmlformats.org/officeDocument/2006/relationships" ref="O291" r:id="rId563"/>
    <hyperlink xmlns:r="http://schemas.openxmlformats.org/officeDocument/2006/relationships" ref="F292" r:id="rId564"/>
    <hyperlink xmlns:r="http://schemas.openxmlformats.org/officeDocument/2006/relationships" ref="O292" r:id="rId565"/>
    <hyperlink xmlns:r="http://schemas.openxmlformats.org/officeDocument/2006/relationships" ref="F293" r:id="rId566"/>
    <hyperlink xmlns:r="http://schemas.openxmlformats.org/officeDocument/2006/relationships" ref="O293" r:id="rId567"/>
    <hyperlink xmlns:r="http://schemas.openxmlformats.org/officeDocument/2006/relationships" ref="F294" r:id="rId568"/>
    <hyperlink xmlns:r="http://schemas.openxmlformats.org/officeDocument/2006/relationships" ref="O294" r:id="rId569"/>
    <hyperlink xmlns:r="http://schemas.openxmlformats.org/officeDocument/2006/relationships" ref="F295" r:id="rId570"/>
    <hyperlink xmlns:r="http://schemas.openxmlformats.org/officeDocument/2006/relationships" ref="O295" r:id="rId571"/>
    <hyperlink xmlns:r="http://schemas.openxmlformats.org/officeDocument/2006/relationships" ref="F296" r:id="rId572"/>
    <hyperlink xmlns:r="http://schemas.openxmlformats.org/officeDocument/2006/relationships" ref="O296" r:id="rId573"/>
    <hyperlink xmlns:r="http://schemas.openxmlformats.org/officeDocument/2006/relationships" ref="F297" r:id="rId574"/>
    <hyperlink xmlns:r="http://schemas.openxmlformats.org/officeDocument/2006/relationships" ref="O297" r:id="rId575"/>
    <hyperlink xmlns:r="http://schemas.openxmlformats.org/officeDocument/2006/relationships" ref="F298" r:id="rId576"/>
    <hyperlink xmlns:r="http://schemas.openxmlformats.org/officeDocument/2006/relationships" ref="O298" r:id="rId577"/>
    <hyperlink xmlns:r="http://schemas.openxmlformats.org/officeDocument/2006/relationships" ref="F299" r:id="rId578"/>
    <hyperlink xmlns:r="http://schemas.openxmlformats.org/officeDocument/2006/relationships" ref="O299" r:id="rId579"/>
    <hyperlink xmlns:r="http://schemas.openxmlformats.org/officeDocument/2006/relationships" ref="F300" r:id="rId580"/>
    <hyperlink xmlns:r="http://schemas.openxmlformats.org/officeDocument/2006/relationships" ref="O300" r:id="rId581"/>
    <hyperlink xmlns:r="http://schemas.openxmlformats.org/officeDocument/2006/relationships" ref="F301" r:id="rId582"/>
    <hyperlink xmlns:r="http://schemas.openxmlformats.org/officeDocument/2006/relationships" ref="O301" r:id="rId583"/>
    <hyperlink xmlns:r="http://schemas.openxmlformats.org/officeDocument/2006/relationships" ref="F302" r:id="rId584"/>
    <hyperlink xmlns:r="http://schemas.openxmlformats.org/officeDocument/2006/relationships" ref="O302" r:id="rId585"/>
    <hyperlink xmlns:r="http://schemas.openxmlformats.org/officeDocument/2006/relationships" ref="F303" r:id="rId586"/>
    <hyperlink xmlns:r="http://schemas.openxmlformats.org/officeDocument/2006/relationships" ref="O303" r:id="rId587"/>
    <hyperlink xmlns:r="http://schemas.openxmlformats.org/officeDocument/2006/relationships" ref="F304" r:id="rId588"/>
    <hyperlink xmlns:r="http://schemas.openxmlformats.org/officeDocument/2006/relationships" ref="O304" r:id="rId589"/>
    <hyperlink xmlns:r="http://schemas.openxmlformats.org/officeDocument/2006/relationships" ref="F305" r:id="rId590"/>
    <hyperlink xmlns:r="http://schemas.openxmlformats.org/officeDocument/2006/relationships" ref="O305" r:id="rId591"/>
    <hyperlink xmlns:r="http://schemas.openxmlformats.org/officeDocument/2006/relationships" ref="F306" r:id="rId592"/>
    <hyperlink xmlns:r="http://schemas.openxmlformats.org/officeDocument/2006/relationships" ref="O306" r:id="rId593"/>
    <hyperlink xmlns:r="http://schemas.openxmlformats.org/officeDocument/2006/relationships" ref="F307" r:id="rId594"/>
    <hyperlink xmlns:r="http://schemas.openxmlformats.org/officeDocument/2006/relationships" ref="O307" r:id="rId595"/>
    <hyperlink xmlns:r="http://schemas.openxmlformats.org/officeDocument/2006/relationships" ref="O308" r:id="rId596"/>
    <hyperlink xmlns:r="http://schemas.openxmlformats.org/officeDocument/2006/relationships" ref="F309" r:id="rId597"/>
    <hyperlink xmlns:r="http://schemas.openxmlformats.org/officeDocument/2006/relationships" ref="O309" r:id="rId598"/>
    <hyperlink xmlns:r="http://schemas.openxmlformats.org/officeDocument/2006/relationships" ref="F310" r:id="rId599"/>
    <hyperlink xmlns:r="http://schemas.openxmlformats.org/officeDocument/2006/relationships" ref="O310" r:id="rId600"/>
    <hyperlink xmlns:r="http://schemas.openxmlformats.org/officeDocument/2006/relationships" ref="F311" r:id="rId601"/>
    <hyperlink xmlns:r="http://schemas.openxmlformats.org/officeDocument/2006/relationships" ref="O311" r:id="rId602"/>
    <hyperlink xmlns:r="http://schemas.openxmlformats.org/officeDocument/2006/relationships" ref="F312" r:id="rId603"/>
    <hyperlink xmlns:r="http://schemas.openxmlformats.org/officeDocument/2006/relationships" ref="O312" r:id="rId604"/>
    <hyperlink xmlns:r="http://schemas.openxmlformats.org/officeDocument/2006/relationships" ref="F313" r:id="rId605"/>
    <hyperlink xmlns:r="http://schemas.openxmlformats.org/officeDocument/2006/relationships" ref="O313" r:id="rId606"/>
    <hyperlink xmlns:r="http://schemas.openxmlformats.org/officeDocument/2006/relationships" ref="F314" r:id="rId607"/>
    <hyperlink xmlns:r="http://schemas.openxmlformats.org/officeDocument/2006/relationships" ref="O314" r:id="rId608"/>
    <hyperlink xmlns:r="http://schemas.openxmlformats.org/officeDocument/2006/relationships" ref="F315" r:id="rId609"/>
    <hyperlink xmlns:r="http://schemas.openxmlformats.org/officeDocument/2006/relationships" ref="O315" r:id="rId610"/>
    <hyperlink xmlns:r="http://schemas.openxmlformats.org/officeDocument/2006/relationships" ref="F316" r:id="rId611"/>
    <hyperlink xmlns:r="http://schemas.openxmlformats.org/officeDocument/2006/relationships" ref="O316" r:id="rId612"/>
    <hyperlink xmlns:r="http://schemas.openxmlformats.org/officeDocument/2006/relationships" ref="F317" r:id="rId613"/>
    <hyperlink xmlns:r="http://schemas.openxmlformats.org/officeDocument/2006/relationships" ref="O317" r:id="rId614"/>
    <hyperlink xmlns:r="http://schemas.openxmlformats.org/officeDocument/2006/relationships" ref="F318" r:id="rId615"/>
    <hyperlink xmlns:r="http://schemas.openxmlformats.org/officeDocument/2006/relationships" ref="O318" r:id="rId616"/>
    <hyperlink xmlns:r="http://schemas.openxmlformats.org/officeDocument/2006/relationships" ref="F319" r:id="rId617"/>
    <hyperlink xmlns:r="http://schemas.openxmlformats.org/officeDocument/2006/relationships" ref="O319" r:id="rId618"/>
    <hyperlink xmlns:r="http://schemas.openxmlformats.org/officeDocument/2006/relationships" ref="F320" r:id="rId619"/>
    <hyperlink xmlns:r="http://schemas.openxmlformats.org/officeDocument/2006/relationships" ref="O320" r:id="rId620"/>
    <hyperlink xmlns:r="http://schemas.openxmlformats.org/officeDocument/2006/relationships" ref="F321" r:id="rId621"/>
    <hyperlink xmlns:r="http://schemas.openxmlformats.org/officeDocument/2006/relationships" ref="O321" r:id="rId622"/>
    <hyperlink xmlns:r="http://schemas.openxmlformats.org/officeDocument/2006/relationships" ref="F322" r:id="rId623"/>
    <hyperlink xmlns:r="http://schemas.openxmlformats.org/officeDocument/2006/relationships" ref="O322" r:id="rId624"/>
    <hyperlink xmlns:r="http://schemas.openxmlformats.org/officeDocument/2006/relationships" ref="F323" r:id="rId625"/>
    <hyperlink xmlns:r="http://schemas.openxmlformats.org/officeDocument/2006/relationships" ref="O323" r:id="rId626"/>
    <hyperlink xmlns:r="http://schemas.openxmlformats.org/officeDocument/2006/relationships" ref="F324" r:id="rId627"/>
    <hyperlink xmlns:r="http://schemas.openxmlformats.org/officeDocument/2006/relationships" ref="O324" r:id="rId628"/>
    <hyperlink xmlns:r="http://schemas.openxmlformats.org/officeDocument/2006/relationships" ref="O325" r:id="rId629"/>
    <hyperlink xmlns:r="http://schemas.openxmlformats.org/officeDocument/2006/relationships" ref="F326" r:id="rId630"/>
    <hyperlink xmlns:r="http://schemas.openxmlformats.org/officeDocument/2006/relationships" ref="O326" r:id="rId631"/>
    <hyperlink xmlns:r="http://schemas.openxmlformats.org/officeDocument/2006/relationships" ref="F327" r:id="rId632"/>
    <hyperlink xmlns:r="http://schemas.openxmlformats.org/officeDocument/2006/relationships" ref="O327" r:id="rId633"/>
    <hyperlink xmlns:r="http://schemas.openxmlformats.org/officeDocument/2006/relationships" ref="F328" r:id="rId634"/>
    <hyperlink xmlns:r="http://schemas.openxmlformats.org/officeDocument/2006/relationships" ref="O328" r:id="rId635"/>
    <hyperlink xmlns:r="http://schemas.openxmlformats.org/officeDocument/2006/relationships" ref="F329" r:id="rId636"/>
    <hyperlink xmlns:r="http://schemas.openxmlformats.org/officeDocument/2006/relationships" ref="O329" r:id="rId637"/>
    <hyperlink xmlns:r="http://schemas.openxmlformats.org/officeDocument/2006/relationships" ref="F330" r:id="rId638"/>
    <hyperlink xmlns:r="http://schemas.openxmlformats.org/officeDocument/2006/relationships" ref="O330" r:id="rId639"/>
    <hyperlink xmlns:r="http://schemas.openxmlformats.org/officeDocument/2006/relationships" ref="F331" r:id="rId640"/>
    <hyperlink xmlns:r="http://schemas.openxmlformats.org/officeDocument/2006/relationships" ref="O331" r:id="rId641"/>
    <hyperlink xmlns:r="http://schemas.openxmlformats.org/officeDocument/2006/relationships" ref="F332" r:id="rId642"/>
    <hyperlink xmlns:r="http://schemas.openxmlformats.org/officeDocument/2006/relationships" ref="O332" r:id="rId643"/>
    <hyperlink xmlns:r="http://schemas.openxmlformats.org/officeDocument/2006/relationships" ref="F333" r:id="rId644"/>
    <hyperlink xmlns:r="http://schemas.openxmlformats.org/officeDocument/2006/relationships" ref="O333" r:id="rId645"/>
    <hyperlink xmlns:r="http://schemas.openxmlformats.org/officeDocument/2006/relationships" ref="F334" r:id="rId646"/>
    <hyperlink xmlns:r="http://schemas.openxmlformats.org/officeDocument/2006/relationships" ref="O334" r:id="rId647"/>
    <hyperlink xmlns:r="http://schemas.openxmlformats.org/officeDocument/2006/relationships" ref="F335" r:id="rId648"/>
    <hyperlink xmlns:r="http://schemas.openxmlformats.org/officeDocument/2006/relationships" ref="O335" r:id="rId649"/>
    <hyperlink xmlns:r="http://schemas.openxmlformats.org/officeDocument/2006/relationships" ref="F336" r:id="rId650"/>
    <hyperlink xmlns:r="http://schemas.openxmlformats.org/officeDocument/2006/relationships" ref="O336" r:id="rId651"/>
    <hyperlink xmlns:r="http://schemas.openxmlformats.org/officeDocument/2006/relationships" ref="F337" r:id="rId652"/>
    <hyperlink xmlns:r="http://schemas.openxmlformats.org/officeDocument/2006/relationships" ref="O337" r:id="rId653"/>
    <hyperlink xmlns:r="http://schemas.openxmlformats.org/officeDocument/2006/relationships" ref="F338" r:id="rId654"/>
    <hyperlink xmlns:r="http://schemas.openxmlformats.org/officeDocument/2006/relationships" ref="O338" r:id="rId655"/>
    <hyperlink xmlns:r="http://schemas.openxmlformats.org/officeDocument/2006/relationships" ref="F339" r:id="rId656"/>
    <hyperlink xmlns:r="http://schemas.openxmlformats.org/officeDocument/2006/relationships" ref="O339" r:id="rId657"/>
    <hyperlink xmlns:r="http://schemas.openxmlformats.org/officeDocument/2006/relationships" ref="F340" r:id="rId658"/>
    <hyperlink xmlns:r="http://schemas.openxmlformats.org/officeDocument/2006/relationships" ref="O340" r:id="rId659"/>
    <hyperlink xmlns:r="http://schemas.openxmlformats.org/officeDocument/2006/relationships" ref="F341" r:id="rId660"/>
    <hyperlink xmlns:r="http://schemas.openxmlformats.org/officeDocument/2006/relationships" ref="O341" r:id="rId661"/>
    <hyperlink xmlns:r="http://schemas.openxmlformats.org/officeDocument/2006/relationships" ref="F342" r:id="rId662"/>
    <hyperlink xmlns:r="http://schemas.openxmlformats.org/officeDocument/2006/relationships" ref="O342" r:id="rId663"/>
    <hyperlink xmlns:r="http://schemas.openxmlformats.org/officeDocument/2006/relationships" ref="F343" r:id="rId664"/>
    <hyperlink xmlns:r="http://schemas.openxmlformats.org/officeDocument/2006/relationships" ref="O343" r:id="rId665"/>
    <hyperlink xmlns:r="http://schemas.openxmlformats.org/officeDocument/2006/relationships" ref="F344" r:id="rId666"/>
    <hyperlink xmlns:r="http://schemas.openxmlformats.org/officeDocument/2006/relationships" ref="O344" r:id="rId667"/>
    <hyperlink xmlns:r="http://schemas.openxmlformats.org/officeDocument/2006/relationships" ref="F345" r:id="rId668"/>
    <hyperlink xmlns:r="http://schemas.openxmlformats.org/officeDocument/2006/relationships" ref="O345" r:id="rId669"/>
    <hyperlink xmlns:r="http://schemas.openxmlformats.org/officeDocument/2006/relationships" ref="F346" r:id="rId670"/>
    <hyperlink xmlns:r="http://schemas.openxmlformats.org/officeDocument/2006/relationships" ref="O346" r:id="rId671"/>
    <hyperlink xmlns:r="http://schemas.openxmlformats.org/officeDocument/2006/relationships" ref="F347" r:id="rId672"/>
    <hyperlink xmlns:r="http://schemas.openxmlformats.org/officeDocument/2006/relationships" ref="O347" r:id="rId673"/>
    <hyperlink xmlns:r="http://schemas.openxmlformats.org/officeDocument/2006/relationships" ref="F348" r:id="rId674"/>
    <hyperlink xmlns:r="http://schemas.openxmlformats.org/officeDocument/2006/relationships" ref="O348" r:id="rId675"/>
    <hyperlink xmlns:r="http://schemas.openxmlformats.org/officeDocument/2006/relationships" ref="F349" r:id="rId676"/>
    <hyperlink xmlns:r="http://schemas.openxmlformats.org/officeDocument/2006/relationships" ref="O349" r:id="rId677"/>
    <hyperlink xmlns:r="http://schemas.openxmlformats.org/officeDocument/2006/relationships" ref="F350" r:id="rId678"/>
    <hyperlink xmlns:r="http://schemas.openxmlformats.org/officeDocument/2006/relationships" ref="O350" r:id="rId679"/>
    <hyperlink xmlns:r="http://schemas.openxmlformats.org/officeDocument/2006/relationships" ref="F351" r:id="rId680"/>
    <hyperlink xmlns:r="http://schemas.openxmlformats.org/officeDocument/2006/relationships" ref="O351" r:id="rId681"/>
    <hyperlink xmlns:r="http://schemas.openxmlformats.org/officeDocument/2006/relationships" ref="F352" r:id="rId682"/>
    <hyperlink xmlns:r="http://schemas.openxmlformats.org/officeDocument/2006/relationships" ref="O352" r:id="rId683"/>
    <hyperlink xmlns:r="http://schemas.openxmlformats.org/officeDocument/2006/relationships" ref="F353" r:id="rId684"/>
    <hyperlink xmlns:r="http://schemas.openxmlformats.org/officeDocument/2006/relationships" ref="O353" r:id="rId685"/>
    <hyperlink xmlns:r="http://schemas.openxmlformats.org/officeDocument/2006/relationships" ref="F354" r:id="rId686"/>
    <hyperlink xmlns:r="http://schemas.openxmlformats.org/officeDocument/2006/relationships" ref="O354" r:id="rId687"/>
    <hyperlink xmlns:r="http://schemas.openxmlformats.org/officeDocument/2006/relationships" ref="F355" r:id="rId688"/>
    <hyperlink xmlns:r="http://schemas.openxmlformats.org/officeDocument/2006/relationships" ref="O355" r:id="rId689"/>
    <hyperlink xmlns:r="http://schemas.openxmlformats.org/officeDocument/2006/relationships" ref="F356" r:id="rId690"/>
    <hyperlink xmlns:r="http://schemas.openxmlformats.org/officeDocument/2006/relationships" ref="O356" r:id="rId691"/>
    <hyperlink xmlns:r="http://schemas.openxmlformats.org/officeDocument/2006/relationships" ref="F357" r:id="rId692"/>
    <hyperlink xmlns:r="http://schemas.openxmlformats.org/officeDocument/2006/relationships" ref="O357" r:id="rId693"/>
    <hyperlink xmlns:r="http://schemas.openxmlformats.org/officeDocument/2006/relationships" ref="F358" r:id="rId694"/>
    <hyperlink xmlns:r="http://schemas.openxmlformats.org/officeDocument/2006/relationships" ref="O358" r:id="rId695"/>
    <hyperlink xmlns:r="http://schemas.openxmlformats.org/officeDocument/2006/relationships" ref="F359" r:id="rId696"/>
    <hyperlink xmlns:r="http://schemas.openxmlformats.org/officeDocument/2006/relationships" ref="O359" r:id="rId697"/>
    <hyperlink xmlns:r="http://schemas.openxmlformats.org/officeDocument/2006/relationships" ref="F360" r:id="rId698"/>
    <hyperlink xmlns:r="http://schemas.openxmlformats.org/officeDocument/2006/relationships" ref="O360" r:id="rId699"/>
    <hyperlink xmlns:r="http://schemas.openxmlformats.org/officeDocument/2006/relationships" ref="F361" r:id="rId700"/>
    <hyperlink xmlns:r="http://schemas.openxmlformats.org/officeDocument/2006/relationships" ref="O361" r:id="rId701"/>
    <hyperlink xmlns:r="http://schemas.openxmlformats.org/officeDocument/2006/relationships" ref="F362" r:id="rId702"/>
    <hyperlink xmlns:r="http://schemas.openxmlformats.org/officeDocument/2006/relationships" ref="O362" r:id="rId703"/>
    <hyperlink xmlns:r="http://schemas.openxmlformats.org/officeDocument/2006/relationships" ref="F363" r:id="rId704"/>
    <hyperlink xmlns:r="http://schemas.openxmlformats.org/officeDocument/2006/relationships" ref="O363" r:id="rId705"/>
    <hyperlink xmlns:r="http://schemas.openxmlformats.org/officeDocument/2006/relationships" ref="F364" r:id="rId706"/>
    <hyperlink xmlns:r="http://schemas.openxmlformats.org/officeDocument/2006/relationships" ref="O364" r:id="rId707"/>
    <hyperlink xmlns:r="http://schemas.openxmlformats.org/officeDocument/2006/relationships" ref="F365" r:id="rId708"/>
    <hyperlink xmlns:r="http://schemas.openxmlformats.org/officeDocument/2006/relationships" ref="O365" r:id="rId709"/>
    <hyperlink xmlns:r="http://schemas.openxmlformats.org/officeDocument/2006/relationships" ref="F366" r:id="rId710"/>
    <hyperlink xmlns:r="http://schemas.openxmlformats.org/officeDocument/2006/relationships" ref="O366" r:id="rId711"/>
    <hyperlink xmlns:r="http://schemas.openxmlformats.org/officeDocument/2006/relationships" ref="F367" r:id="rId712"/>
    <hyperlink xmlns:r="http://schemas.openxmlformats.org/officeDocument/2006/relationships" ref="O367" r:id="rId713"/>
    <hyperlink xmlns:r="http://schemas.openxmlformats.org/officeDocument/2006/relationships" ref="F368" r:id="rId714"/>
    <hyperlink xmlns:r="http://schemas.openxmlformats.org/officeDocument/2006/relationships" ref="O368" r:id="rId715"/>
    <hyperlink xmlns:r="http://schemas.openxmlformats.org/officeDocument/2006/relationships" ref="F369" r:id="rId716"/>
    <hyperlink xmlns:r="http://schemas.openxmlformats.org/officeDocument/2006/relationships" ref="O369" r:id="rId717"/>
    <hyperlink xmlns:r="http://schemas.openxmlformats.org/officeDocument/2006/relationships" ref="F370" r:id="rId718"/>
    <hyperlink xmlns:r="http://schemas.openxmlformats.org/officeDocument/2006/relationships" ref="O370" r:id="rId719"/>
    <hyperlink xmlns:r="http://schemas.openxmlformats.org/officeDocument/2006/relationships" ref="O371" r:id="rId720"/>
    <hyperlink xmlns:r="http://schemas.openxmlformats.org/officeDocument/2006/relationships" ref="F372" r:id="rId721"/>
    <hyperlink xmlns:r="http://schemas.openxmlformats.org/officeDocument/2006/relationships" ref="O372" r:id="rId722"/>
    <hyperlink xmlns:r="http://schemas.openxmlformats.org/officeDocument/2006/relationships" ref="F373" r:id="rId723"/>
    <hyperlink xmlns:r="http://schemas.openxmlformats.org/officeDocument/2006/relationships" ref="O373" r:id="rId724"/>
    <hyperlink xmlns:r="http://schemas.openxmlformats.org/officeDocument/2006/relationships" ref="F374" r:id="rId725"/>
    <hyperlink xmlns:r="http://schemas.openxmlformats.org/officeDocument/2006/relationships" ref="O374" r:id="rId726"/>
    <hyperlink xmlns:r="http://schemas.openxmlformats.org/officeDocument/2006/relationships" ref="F375" r:id="rId727"/>
    <hyperlink xmlns:r="http://schemas.openxmlformats.org/officeDocument/2006/relationships" ref="O375" r:id="rId728"/>
    <hyperlink xmlns:r="http://schemas.openxmlformats.org/officeDocument/2006/relationships" ref="F376" r:id="rId729"/>
    <hyperlink xmlns:r="http://schemas.openxmlformats.org/officeDocument/2006/relationships" ref="O376" r:id="rId730"/>
    <hyperlink xmlns:r="http://schemas.openxmlformats.org/officeDocument/2006/relationships" ref="F377" r:id="rId731"/>
    <hyperlink xmlns:r="http://schemas.openxmlformats.org/officeDocument/2006/relationships" ref="O377" r:id="rId732"/>
    <hyperlink xmlns:r="http://schemas.openxmlformats.org/officeDocument/2006/relationships" ref="F378" r:id="rId733"/>
    <hyperlink xmlns:r="http://schemas.openxmlformats.org/officeDocument/2006/relationships" ref="O378" r:id="rId734"/>
    <hyperlink xmlns:r="http://schemas.openxmlformats.org/officeDocument/2006/relationships" ref="F379" r:id="rId735"/>
    <hyperlink xmlns:r="http://schemas.openxmlformats.org/officeDocument/2006/relationships" ref="O379" r:id="rId736"/>
    <hyperlink xmlns:r="http://schemas.openxmlformats.org/officeDocument/2006/relationships" ref="F380" r:id="rId737"/>
    <hyperlink xmlns:r="http://schemas.openxmlformats.org/officeDocument/2006/relationships" ref="O380" r:id="rId738"/>
    <hyperlink xmlns:r="http://schemas.openxmlformats.org/officeDocument/2006/relationships" ref="F381" r:id="rId739"/>
    <hyperlink xmlns:r="http://schemas.openxmlformats.org/officeDocument/2006/relationships" ref="O381" r:id="rId740"/>
    <hyperlink xmlns:r="http://schemas.openxmlformats.org/officeDocument/2006/relationships" ref="F382" r:id="rId741"/>
    <hyperlink xmlns:r="http://schemas.openxmlformats.org/officeDocument/2006/relationships" ref="O382" r:id="rId742"/>
    <hyperlink xmlns:r="http://schemas.openxmlformats.org/officeDocument/2006/relationships" ref="F383" r:id="rId743"/>
    <hyperlink xmlns:r="http://schemas.openxmlformats.org/officeDocument/2006/relationships" ref="O383" r:id="rId744"/>
    <hyperlink xmlns:r="http://schemas.openxmlformats.org/officeDocument/2006/relationships" ref="O384" r:id="rId745"/>
    <hyperlink xmlns:r="http://schemas.openxmlformats.org/officeDocument/2006/relationships" ref="F385" r:id="rId746"/>
    <hyperlink xmlns:r="http://schemas.openxmlformats.org/officeDocument/2006/relationships" ref="O385" r:id="rId747"/>
    <hyperlink xmlns:r="http://schemas.openxmlformats.org/officeDocument/2006/relationships" ref="F386" r:id="rId748"/>
    <hyperlink xmlns:r="http://schemas.openxmlformats.org/officeDocument/2006/relationships" ref="O386" r:id="rId749"/>
    <hyperlink xmlns:r="http://schemas.openxmlformats.org/officeDocument/2006/relationships" ref="F387" r:id="rId750"/>
    <hyperlink xmlns:r="http://schemas.openxmlformats.org/officeDocument/2006/relationships" ref="O387" r:id="rId751"/>
    <hyperlink xmlns:r="http://schemas.openxmlformats.org/officeDocument/2006/relationships" ref="F388" r:id="rId752"/>
    <hyperlink xmlns:r="http://schemas.openxmlformats.org/officeDocument/2006/relationships" ref="O388" r:id="rId753"/>
    <hyperlink xmlns:r="http://schemas.openxmlformats.org/officeDocument/2006/relationships" ref="F389" r:id="rId754"/>
    <hyperlink xmlns:r="http://schemas.openxmlformats.org/officeDocument/2006/relationships" ref="O389" r:id="rId755"/>
    <hyperlink xmlns:r="http://schemas.openxmlformats.org/officeDocument/2006/relationships" ref="F390" r:id="rId756"/>
    <hyperlink xmlns:r="http://schemas.openxmlformats.org/officeDocument/2006/relationships" ref="O390" r:id="rId757"/>
    <hyperlink xmlns:r="http://schemas.openxmlformats.org/officeDocument/2006/relationships" ref="F391" r:id="rId758"/>
    <hyperlink xmlns:r="http://schemas.openxmlformats.org/officeDocument/2006/relationships" ref="O391" r:id="rId759"/>
    <hyperlink xmlns:r="http://schemas.openxmlformats.org/officeDocument/2006/relationships" ref="F392" r:id="rId760"/>
    <hyperlink xmlns:r="http://schemas.openxmlformats.org/officeDocument/2006/relationships" ref="O392" r:id="rId761"/>
    <hyperlink xmlns:r="http://schemas.openxmlformats.org/officeDocument/2006/relationships" ref="F393" r:id="rId762"/>
    <hyperlink xmlns:r="http://schemas.openxmlformats.org/officeDocument/2006/relationships" ref="O393" r:id="rId763"/>
    <hyperlink xmlns:r="http://schemas.openxmlformats.org/officeDocument/2006/relationships" ref="F394" r:id="rId764"/>
    <hyperlink xmlns:r="http://schemas.openxmlformats.org/officeDocument/2006/relationships" ref="O394" r:id="rId765"/>
    <hyperlink xmlns:r="http://schemas.openxmlformats.org/officeDocument/2006/relationships" ref="F395" r:id="rId766"/>
    <hyperlink xmlns:r="http://schemas.openxmlformats.org/officeDocument/2006/relationships" ref="O395" r:id="rId767"/>
    <hyperlink xmlns:r="http://schemas.openxmlformats.org/officeDocument/2006/relationships" ref="F396" r:id="rId768"/>
    <hyperlink xmlns:r="http://schemas.openxmlformats.org/officeDocument/2006/relationships" ref="O396" r:id="rId769"/>
    <hyperlink xmlns:r="http://schemas.openxmlformats.org/officeDocument/2006/relationships" ref="F397" r:id="rId770"/>
    <hyperlink xmlns:r="http://schemas.openxmlformats.org/officeDocument/2006/relationships" ref="O397" r:id="rId771"/>
    <hyperlink xmlns:r="http://schemas.openxmlformats.org/officeDocument/2006/relationships" ref="F398" r:id="rId772"/>
    <hyperlink xmlns:r="http://schemas.openxmlformats.org/officeDocument/2006/relationships" ref="O398" r:id="rId773"/>
    <hyperlink xmlns:r="http://schemas.openxmlformats.org/officeDocument/2006/relationships" ref="F399" r:id="rId774"/>
    <hyperlink xmlns:r="http://schemas.openxmlformats.org/officeDocument/2006/relationships" ref="O399" r:id="rId775"/>
    <hyperlink xmlns:r="http://schemas.openxmlformats.org/officeDocument/2006/relationships" ref="F400" r:id="rId776"/>
    <hyperlink xmlns:r="http://schemas.openxmlformats.org/officeDocument/2006/relationships" ref="O400" r:id="rId777"/>
    <hyperlink xmlns:r="http://schemas.openxmlformats.org/officeDocument/2006/relationships" ref="F401" r:id="rId778"/>
    <hyperlink xmlns:r="http://schemas.openxmlformats.org/officeDocument/2006/relationships" ref="O401" r:id="rId779"/>
    <hyperlink xmlns:r="http://schemas.openxmlformats.org/officeDocument/2006/relationships" ref="F402" r:id="rId780"/>
    <hyperlink xmlns:r="http://schemas.openxmlformats.org/officeDocument/2006/relationships" ref="O402" r:id="rId781"/>
    <hyperlink xmlns:r="http://schemas.openxmlformats.org/officeDocument/2006/relationships" ref="F403" r:id="rId782"/>
    <hyperlink xmlns:r="http://schemas.openxmlformats.org/officeDocument/2006/relationships" ref="O403" r:id="rId783"/>
    <hyperlink xmlns:r="http://schemas.openxmlformats.org/officeDocument/2006/relationships" ref="F404" r:id="rId784"/>
    <hyperlink xmlns:r="http://schemas.openxmlformats.org/officeDocument/2006/relationships" ref="O404" r:id="rId785"/>
    <hyperlink xmlns:r="http://schemas.openxmlformats.org/officeDocument/2006/relationships" ref="F405" r:id="rId786"/>
    <hyperlink xmlns:r="http://schemas.openxmlformats.org/officeDocument/2006/relationships" ref="O405" r:id="rId787"/>
    <hyperlink xmlns:r="http://schemas.openxmlformats.org/officeDocument/2006/relationships" ref="F406" r:id="rId788"/>
    <hyperlink xmlns:r="http://schemas.openxmlformats.org/officeDocument/2006/relationships" ref="O406" r:id="rId789"/>
    <hyperlink xmlns:r="http://schemas.openxmlformats.org/officeDocument/2006/relationships" ref="F407" r:id="rId790"/>
    <hyperlink xmlns:r="http://schemas.openxmlformats.org/officeDocument/2006/relationships" ref="O407" r:id="rId791"/>
    <hyperlink xmlns:r="http://schemas.openxmlformats.org/officeDocument/2006/relationships" ref="F408" r:id="rId792"/>
    <hyperlink xmlns:r="http://schemas.openxmlformats.org/officeDocument/2006/relationships" ref="O408" r:id="rId793"/>
    <hyperlink xmlns:r="http://schemas.openxmlformats.org/officeDocument/2006/relationships" ref="F409" r:id="rId794"/>
    <hyperlink xmlns:r="http://schemas.openxmlformats.org/officeDocument/2006/relationships" ref="O409" r:id="rId795"/>
    <hyperlink xmlns:r="http://schemas.openxmlformats.org/officeDocument/2006/relationships" ref="F410" r:id="rId796"/>
    <hyperlink xmlns:r="http://schemas.openxmlformats.org/officeDocument/2006/relationships" ref="O410" r:id="rId797"/>
    <hyperlink xmlns:r="http://schemas.openxmlformats.org/officeDocument/2006/relationships" ref="F411" r:id="rId798"/>
    <hyperlink xmlns:r="http://schemas.openxmlformats.org/officeDocument/2006/relationships" ref="O411" r:id="rId799"/>
    <hyperlink xmlns:r="http://schemas.openxmlformats.org/officeDocument/2006/relationships" ref="F412" r:id="rId800"/>
    <hyperlink xmlns:r="http://schemas.openxmlformats.org/officeDocument/2006/relationships" ref="O412" r:id="rId801"/>
    <hyperlink xmlns:r="http://schemas.openxmlformats.org/officeDocument/2006/relationships" ref="F413" r:id="rId802"/>
    <hyperlink xmlns:r="http://schemas.openxmlformats.org/officeDocument/2006/relationships" ref="O413" r:id="rId803"/>
    <hyperlink xmlns:r="http://schemas.openxmlformats.org/officeDocument/2006/relationships" ref="F414" r:id="rId804"/>
    <hyperlink xmlns:r="http://schemas.openxmlformats.org/officeDocument/2006/relationships" ref="O414" r:id="rId805"/>
    <hyperlink xmlns:r="http://schemas.openxmlformats.org/officeDocument/2006/relationships" ref="F415" r:id="rId806"/>
    <hyperlink xmlns:r="http://schemas.openxmlformats.org/officeDocument/2006/relationships" ref="O415" r:id="rId807"/>
    <hyperlink xmlns:r="http://schemas.openxmlformats.org/officeDocument/2006/relationships" ref="F416" r:id="rId808"/>
    <hyperlink xmlns:r="http://schemas.openxmlformats.org/officeDocument/2006/relationships" ref="O416" r:id="rId809"/>
    <hyperlink xmlns:r="http://schemas.openxmlformats.org/officeDocument/2006/relationships" ref="F417" r:id="rId810"/>
    <hyperlink xmlns:r="http://schemas.openxmlformats.org/officeDocument/2006/relationships" ref="O417" r:id="rId811"/>
    <hyperlink xmlns:r="http://schemas.openxmlformats.org/officeDocument/2006/relationships" ref="F418" r:id="rId812"/>
    <hyperlink xmlns:r="http://schemas.openxmlformats.org/officeDocument/2006/relationships" ref="O418" r:id="rId813"/>
    <hyperlink xmlns:r="http://schemas.openxmlformats.org/officeDocument/2006/relationships" ref="F419" r:id="rId814"/>
    <hyperlink xmlns:r="http://schemas.openxmlformats.org/officeDocument/2006/relationships" ref="O419" r:id="rId815"/>
    <hyperlink xmlns:r="http://schemas.openxmlformats.org/officeDocument/2006/relationships" ref="F420" r:id="rId816"/>
    <hyperlink xmlns:r="http://schemas.openxmlformats.org/officeDocument/2006/relationships" ref="O420" r:id="rId817"/>
    <hyperlink xmlns:r="http://schemas.openxmlformats.org/officeDocument/2006/relationships" ref="O421" r:id="rId818"/>
    <hyperlink xmlns:r="http://schemas.openxmlformats.org/officeDocument/2006/relationships" ref="F422" r:id="rId819"/>
    <hyperlink xmlns:r="http://schemas.openxmlformats.org/officeDocument/2006/relationships" ref="O422" r:id="rId820"/>
    <hyperlink xmlns:r="http://schemas.openxmlformats.org/officeDocument/2006/relationships" ref="F423" r:id="rId821"/>
    <hyperlink xmlns:r="http://schemas.openxmlformats.org/officeDocument/2006/relationships" ref="O423" r:id="rId822"/>
    <hyperlink xmlns:r="http://schemas.openxmlformats.org/officeDocument/2006/relationships" ref="F424" r:id="rId823"/>
    <hyperlink xmlns:r="http://schemas.openxmlformats.org/officeDocument/2006/relationships" ref="O424" r:id="rId824"/>
    <hyperlink xmlns:r="http://schemas.openxmlformats.org/officeDocument/2006/relationships" ref="F425" r:id="rId825"/>
    <hyperlink xmlns:r="http://schemas.openxmlformats.org/officeDocument/2006/relationships" ref="O425" r:id="rId826"/>
    <hyperlink xmlns:r="http://schemas.openxmlformats.org/officeDocument/2006/relationships" ref="F426" r:id="rId827"/>
    <hyperlink xmlns:r="http://schemas.openxmlformats.org/officeDocument/2006/relationships" ref="O426" r:id="rId828"/>
    <hyperlink xmlns:r="http://schemas.openxmlformats.org/officeDocument/2006/relationships" ref="F427" r:id="rId829"/>
    <hyperlink xmlns:r="http://schemas.openxmlformats.org/officeDocument/2006/relationships" ref="O427" r:id="rId830"/>
    <hyperlink xmlns:r="http://schemas.openxmlformats.org/officeDocument/2006/relationships" ref="F428" r:id="rId831"/>
    <hyperlink xmlns:r="http://schemas.openxmlformats.org/officeDocument/2006/relationships" ref="O428" r:id="rId832"/>
    <hyperlink xmlns:r="http://schemas.openxmlformats.org/officeDocument/2006/relationships" ref="F429" r:id="rId833"/>
    <hyperlink xmlns:r="http://schemas.openxmlformats.org/officeDocument/2006/relationships" ref="O429" r:id="rId834"/>
    <hyperlink xmlns:r="http://schemas.openxmlformats.org/officeDocument/2006/relationships" ref="F430" r:id="rId835"/>
    <hyperlink xmlns:r="http://schemas.openxmlformats.org/officeDocument/2006/relationships" ref="O430" r:id="rId836"/>
    <hyperlink xmlns:r="http://schemas.openxmlformats.org/officeDocument/2006/relationships" ref="F431" r:id="rId837"/>
    <hyperlink xmlns:r="http://schemas.openxmlformats.org/officeDocument/2006/relationships" ref="O431" r:id="rId838"/>
    <hyperlink xmlns:r="http://schemas.openxmlformats.org/officeDocument/2006/relationships" ref="F432" r:id="rId839"/>
    <hyperlink xmlns:r="http://schemas.openxmlformats.org/officeDocument/2006/relationships" ref="O432" r:id="rId840"/>
    <hyperlink xmlns:r="http://schemas.openxmlformats.org/officeDocument/2006/relationships" ref="F433" r:id="rId841"/>
    <hyperlink xmlns:r="http://schemas.openxmlformats.org/officeDocument/2006/relationships" ref="O433" r:id="rId842"/>
    <hyperlink xmlns:r="http://schemas.openxmlformats.org/officeDocument/2006/relationships" ref="F434" r:id="rId843"/>
    <hyperlink xmlns:r="http://schemas.openxmlformats.org/officeDocument/2006/relationships" ref="O434" r:id="rId844"/>
    <hyperlink xmlns:r="http://schemas.openxmlformats.org/officeDocument/2006/relationships" ref="F435" r:id="rId845"/>
    <hyperlink xmlns:r="http://schemas.openxmlformats.org/officeDocument/2006/relationships" ref="O435" r:id="rId846"/>
    <hyperlink xmlns:r="http://schemas.openxmlformats.org/officeDocument/2006/relationships" ref="F436" r:id="rId847"/>
    <hyperlink xmlns:r="http://schemas.openxmlformats.org/officeDocument/2006/relationships" ref="O436" r:id="rId848"/>
    <hyperlink xmlns:r="http://schemas.openxmlformats.org/officeDocument/2006/relationships" ref="F437" r:id="rId849"/>
    <hyperlink xmlns:r="http://schemas.openxmlformats.org/officeDocument/2006/relationships" ref="O437" r:id="rId850"/>
    <hyperlink xmlns:r="http://schemas.openxmlformats.org/officeDocument/2006/relationships" ref="F438" r:id="rId851"/>
    <hyperlink xmlns:r="http://schemas.openxmlformats.org/officeDocument/2006/relationships" ref="O438" r:id="rId852"/>
    <hyperlink xmlns:r="http://schemas.openxmlformats.org/officeDocument/2006/relationships" ref="F439" r:id="rId853"/>
    <hyperlink xmlns:r="http://schemas.openxmlformats.org/officeDocument/2006/relationships" ref="O439" r:id="rId854"/>
    <hyperlink xmlns:r="http://schemas.openxmlformats.org/officeDocument/2006/relationships" ref="F440" r:id="rId855"/>
    <hyperlink xmlns:r="http://schemas.openxmlformats.org/officeDocument/2006/relationships" ref="O440" r:id="rId856"/>
    <hyperlink xmlns:r="http://schemas.openxmlformats.org/officeDocument/2006/relationships" ref="F441" r:id="rId857"/>
    <hyperlink xmlns:r="http://schemas.openxmlformats.org/officeDocument/2006/relationships" ref="O441" r:id="rId858"/>
    <hyperlink xmlns:r="http://schemas.openxmlformats.org/officeDocument/2006/relationships" ref="F442" r:id="rId859"/>
    <hyperlink xmlns:r="http://schemas.openxmlformats.org/officeDocument/2006/relationships" ref="O442" r:id="rId860"/>
    <hyperlink xmlns:r="http://schemas.openxmlformats.org/officeDocument/2006/relationships" ref="F443" r:id="rId861"/>
    <hyperlink xmlns:r="http://schemas.openxmlformats.org/officeDocument/2006/relationships" ref="O443" r:id="rId862"/>
    <hyperlink xmlns:r="http://schemas.openxmlformats.org/officeDocument/2006/relationships" ref="F444" r:id="rId863"/>
    <hyperlink xmlns:r="http://schemas.openxmlformats.org/officeDocument/2006/relationships" ref="O444" r:id="rId864"/>
    <hyperlink xmlns:r="http://schemas.openxmlformats.org/officeDocument/2006/relationships" ref="F445" r:id="rId865"/>
    <hyperlink xmlns:r="http://schemas.openxmlformats.org/officeDocument/2006/relationships" ref="O445" r:id="rId866"/>
    <hyperlink xmlns:r="http://schemas.openxmlformats.org/officeDocument/2006/relationships" ref="F446" r:id="rId867"/>
    <hyperlink xmlns:r="http://schemas.openxmlformats.org/officeDocument/2006/relationships" ref="O446" r:id="rId868"/>
    <hyperlink xmlns:r="http://schemas.openxmlformats.org/officeDocument/2006/relationships" ref="F447" r:id="rId869"/>
    <hyperlink xmlns:r="http://schemas.openxmlformats.org/officeDocument/2006/relationships" ref="O447" r:id="rId870"/>
    <hyperlink xmlns:r="http://schemas.openxmlformats.org/officeDocument/2006/relationships" ref="F448" r:id="rId871"/>
    <hyperlink xmlns:r="http://schemas.openxmlformats.org/officeDocument/2006/relationships" ref="O448" r:id="rId872"/>
    <hyperlink xmlns:r="http://schemas.openxmlformats.org/officeDocument/2006/relationships" ref="F449" r:id="rId873"/>
    <hyperlink xmlns:r="http://schemas.openxmlformats.org/officeDocument/2006/relationships" ref="O449" r:id="rId874"/>
    <hyperlink xmlns:r="http://schemas.openxmlformats.org/officeDocument/2006/relationships" ref="F450" r:id="rId875"/>
    <hyperlink xmlns:r="http://schemas.openxmlformats.org/officeDocument/2006/relationships" ref="O450" r:id="rId876"/>
    <hyperlink xmlns:r="http://schemas.openxmlformats.org/officeDocument/2006/relationships" ref="F451" r:id="rId877"/>
    <hyperlink xmlns:r="http://schemas.openxmlformats.org/officeDocument/2006/relationships" ref="O451" r:id="rId878"/>
    <hyperlink xmlns:r="http://schemas.openxmlformats.org/officeDocument/2006/relationships" ref="F452" r:id="rId879"/>
    <hyperlink xmlns:r="http://schemas.openxmlformats.org/officeDocument/2006/relationships" ref="O452" r:id="rId880"/>
    <hyperlink xmlns:r="http://schemas.openxmlformats.org/officeDocument/2006/relationships" ref="F453" r:id="rId881"/>
    <hyperlink xmlns:r="http://schemas.openxmlformats.org/officeDocument/2006/relationships" ref="O453" r:id="rId882"/>
    <hyperlink xmlns:r="http://schemas.openxmlformats.org/officeDocument/2006/relationships" ref="F454" r:id="rId883"/>
    <hyperlink xmlns:r="http://schemas.openxmlformats.org/officeDocument/2006/relationships" ref="O454" r:id="rId884"/>
    <hyperlink xmlns:r="http://schemas.openxmlformats.org/officeDocument/2006/relationships" ref="F455" r:id="rId885"/>
    <hyperlink xmlns:r="http://schemas.openxmlformats.org/officeDocument/2006/relationships" ref="O455" r:id="rId886"/>
    <hyperlink xmlns:r="http://schemas.openxmlformats.org/officeDocument/2006/relationships" ref="F456" r:id="rId887"/>
    <hyperlink xmlns:r="http://schemas.openxmlformats.org/officeDocument/2006/relationships" ref="O456" r:id="rId888"/>
    <hyperlink xmlns:r="http://schemas.openxmlformats.org/officeDocument/2006/relationships" ref="F457" r:id="rId889"/>
    <hyperlink xmlns:r="http://schemas.openxmlformats.org/officeDocument/2006/relationships" ref="O457" r:id="rId890"/>
    <hyperlink xmlns:r="http://schemas.openxmlformats.org/officeDocument/2006/relationships" ref="F458" r:id="rId891"/>
    <hyperlink xmlns:r="http://schemas.openxmlformats.org/officeDocument/2006/relationships" ref="O458" r:id="rId892"/>
    <hyperlink xmlns:r="http://schemas.openxmlformats.org/officeDocument/2006/relationships" ref="F459" r:id="rId893"/>
    <hyperlink xmlns:r="http://schemas.openxmlformats.org/officeDocument/2006/relationships" ref="O459" r:id="rId894"/>
    <hyperlink xmlns:r="http://schemas.openxmlformats.org/officeDocument/2006/relationships" ref="F460" r:id="rId895"/>
    <hyperlink xmlns:r="http://schemas.openxmlformats.org/officeDocument/2006/relationships" ref="O460" r:id="rId896"/>
    <hyperlink xmlns:r="http://schemas.openxmlformats.org/officeDocument/2006/relationships" ref="F461" r:id="rId897"/>
    <hyperlink xmlns:r="http://schemas.openxmlformats.org/officeDocument/2006/relationships" ref="O461" r:id="rId898"/>
    <hyperlink xmlns:r="http://schemas.openxmlformats.org/officeDocument/2006/relationships" ref="F462" r:id="rId899"/>
    <hyperlink xmlns:r="http://schemas.openxmlformats.org/officeDocument/2006/relationships" ref="O462" r:id="rId900"/>
    <hyperlink xmlns:r="http://schemas.openxmlformats.org/officeDocument/2006/relationships" ref="F463" r:id="rId901"/>
    <hyperlink xmlns:r="http://schemas.openxmlformats.org/officeDocument/2006/relationships" ref="O463" r:id="rId902"/>
    <hyperlink xmlns:r="http://schemas.openxmlformats.org/officeDocument/2006/relationships" ref="F464" r:id="rId903"/>
    <hyperlink xmlns:r="http://schemas.openxmlformats.org/officeDocument/2006/relationships" ref="O464" r:id="rId904"/>
    <hyperlink xmlns:r="http://schemas.openxmlformats.org/officeDocument/2006/relationships" ref="F465" r:id="rId905"/>
    <hyperlink xmlns:r="http://schemas.openxmlformats.org/officeDocument/2006/relationships" ref="O465" r:id="rId906"/>
    <hyperlink xmlns:r="http://schemas.openxmlformats.org/officeDocument/2006/relationships" ref="F466" r:id="rId907"/>
    <hyperlink xmlns:r="http://schemas.openxmlformats.org/officeDocument/2006/relationships" ref="O466" r:id="rId908"/>
    <hyperlink xmlns:r="http://schemas.openxmlformats.org/officeDocument/2006/relationships" ref="F467" r:id="rId909"/>
    <hyperlink xmlns:r="http://schemas.openxmlformats.org/officeDocument/2006/relationships" ref="O467" r:id="rId910"/>
    <hyperlink xmlns:r="http://schemas.openxmlformats.org/officeDocument/2006/relationships" ref="F468" r:id="rId911"/>
    <hyperlink xmlns:r="http://schemas.openxmlformats.org/officeDocument/2006/relationships" ref="O468" r:id="rId912"/>
    <hyperlink xmlns:r="http://schemas.openxmlformats.org/officeDocument/2006/relationships" ref="F469" r:id="rId913"/>
    <hyperlink xmlns:r="http://schemas.openxmlformats.org/officeDocument/2006/relationships" ref="O469" r:id="rId914"/>
    <hyperlink xmlns:r="http://schemas.openxmlformats.org/officeDocument/2006/relationships" ref="F470" r:id="rId915"/>
    <hyperlink xmlns:r="http://schemas.openxmlformats.org/officeDocument/2006/relationships" ref="O470" r:id="rId916"/>
    <hyperlink xmlns:r="http://schemas.openxmlformats.org/officeDocument/2006/relationships" ref="F471" r:id="rId917"/>
    <hyperlink xmlns:r="http://schemas.openxmlformats.org/officeDocument/2006/relationships" ref="O471" r:id="rId918"/>
    <hyperlink xmlns:r="http://schemas.openxmlformats.org/officeDocument/2006/relationships" ref="F472" r:id="rId919"/>
    <hyperlink xmlns:r="http://schemas.openxmlformats.org/officeDocument/2006/relationships" ref="O472" r:id="rId920"/>
    <hyperlink xmlns:r="http://schemas.openxmlformats.org/officeDocument/2006/relationships" ref="F473" r:id="rId921"/>
    <hyperlink xmlns:r="http://schemas.openxmlformats.org/officeDocument/2006/relationships" ref="O473" r:id="rId922"/>
    <hyperlink xmlns:r="http://schemas.openxmlformats.org/officeDocument/2006/relationships" ref="F474" r:id="rId923"/>
    <hyperlink xmlns:r="http://schemas.openxmlformats.org/officeDocument/2006/relationships" ref="O474" r:id="rId924"/>
    <hyperlink xmlns:r="http://schemas.openxmlformats.org/officeDocument/2006/relationships" ref="F475" r:id="rId925"/>
    <hyperlink xmlns:r="http://schemas.openxmlformats.org/officeDocument/2006/relationships" ref="O475" r:id="rId926"/>
    <hyperlink xmlns:r="http://schemas.openxmlformats.org/officeDocument/2006/relationships" ref="F476" r:id="rId927"/>
    <hyperlink xmlns:r="http://schemas.openxmlformats.org/officeDocument/2006/relationships" ref="O476" r:id="rId928"/>
    <hyperlink xmlns:r="http://schemas.openxmlformats.org/officeDocument/2006/relationships" ref="F477" r:id="rId929"/>
    <hyperlink xmlns:r="http://schemas.openxmlformats.org/officeDocument/2006/relationships" ref="O477" r:id="rId930"/>
    <hyperlink xmlns:r="http://schemas.openxmlformats.org/officeDocument/2006/relationships" ref="F478" r:id="rId931"/>
    <hyperlink xmlns:r="http://schemas.openxmlformats.org/officeDocument/2006/relationships" ref="O478" r:id="rId932"/>
    <hyperlink xmlns:r="http://schemas.openxmlformats.org/officeDocument/2006/relationships" ref="F479" r:id="rId933"/>
    <hyperlink xmlns:r="http://schemas.openxmlformats.org/officeDocument/2006/relationships" ref="O479" r:id="rId934"/>
    <hyperlink xmlns:r="http://schemas.openxmlformats.org/officeDocument/2006/relationships" ref="F480" r:id="rId935"/>
    <hyperlink xmlns:r="http://schemas.openxmlformats.org/officeDocument/2006/relationships" ref="O480" r:id="rId936"/>
    <hyperlink xmlns:r="http://schemas.openxmlformats.org/officeDocument/2006/relationships" ref="F481" r:id="rId937"/>
    <hyperlink xmlns:r="http://schemas.openxmlformats.org/officeDocument/2006/relationships" ref="O481" r:id="rId938"/>
    <hyperlink xmlns:r="http://schemas.openxmlformats.org/officeDocument/2006/relationships" ref="F482" r:id="rId939"/>
    <hyperlink xmlns:r="http://schemas.openxmlformats.org/officeDocument/2006/relationships" ref="O482" r:id="rId940"/>
    <hyperlink xmlns:r="http://schemas.openxmlformats.org/officeDocument/2006/relationships" ref="F483" r:id="rId941"/>
    <hyperlink xmlns:r="http://schemas.openxmlformats.org/officeDocument/2006/relationships" ref="O483" r:id="rId942"/>
    <hyperlink xmlns:r="http://schemas.openxmlformats.org/officeDocument/2006/relationships" ref="F484" r:id="rId943"/>
    <hyperlink xmlns:r="http://schemas.openxmlformats.org/officeDocument/2006/relationships" ref="O484" r:id="rId944"/>
    <hyperlink xmlns:r="http://schemas.openxmlformats.org/officeDocument/2006/relationships" ref="F485" r:id="rId945"/>
    <hyperlink xmlns:r="http://schemas.openxmlformats.org/officeDocument/2006/relationships" ref="O485" r:id="rId946"/>
    <hyperlink xmlns:r="http://schemas.openxmlformats.org/officeDocument/2006/relationships" ref="F486" r:id="rId947"/>
    <hyperlink xmlns:r="http://schemas.openxmlformats.org/officeDocument/2006/relationships" ref="O486" r:id="rId948"/>
    <hyperlink xmlns:r="http://schemas.openxmlformats.org/officeDocument/2006/relationships" ref="F487" r:id="rId949"/>
    <hyperlink xmlns:r="http://schemas.openxmlformats.org/officeDocument/2006/relationships" ref="O487" r:id="rId950"/>
    <hyperlink xmlns:r="http://schemas.openxmlformats.org/officeDocument/2006/relationships" ref="F488" r:id="rId951"/>
    <hyperlink xmlns:r="http://schemas.openxmlformats.org/officeDocument/2006/relationships" ref="O488" r:id="rId952"/>
    <hyperlink xmlns:r="http://schemas.openxmlformats.org/officeDocument/2006/relationships" ref="F489" r:id="rId953"/>
    <hyperlink xmlns:r="http://schemas.openxmlformats.org/officeDocument/2006/relationships" ref="O489" r:id="rId954"/>
    <hyperlink xmlns:r="http://schemas.openxmlformats.org/officeDocument/2006/relationships" ref="F490" r:id="rId955"/>
    <hyperlink xmlns:r="http://schemas.openxmlformats.org/officeDocument/2006/relationships" ref="O490" r:id="rId956"/>
    <hyperlink xmlns:r="http://schemas.openxmlformats.org/officeDocument/2006/relationships" ref="F491" r:id="rId957"/>
    <hyperlink xmlns:r="http://schemas.openxmlformats.org/officeDocument/2006/relationships" ref="O491" r:id="rId958"/>
    <hyperlink xmlns:r="http://schemas.openxmlformats.org/officeDocument/2006/relationships" ref="F492" r:id="rId959"/>
    <hyperlink xmlns:r="http://schemas.openxmlformats.org/officeDocument/2006/relationships" ref="O492" r:id="rId960"/>
    <hyperlink xmlns:r="http://schemas.openxmlformats.org/officeDocument/2006/relationships" ref="F493" r:id="rId961"/>
    <hyperlink xmlns:r="http://schemas.openxmlformats.org/officeDocument/2006/relationships" ref="O493" r:id="rId962"/>
    <hyperlink xmlns:r="http://schemas.openxmlformats.org/officeDocument/2006/relationships" ref="F494" r:id="rId963"/>
    <hyperlink xmlns:r="http://schemas.openxmlformats.org/officeDocument/2006/relationships" ref="O494" r:id="rId964"/>
    <hyperlink xmlns:r="http://schemas.openxmlformats.org/officeDocument/2006/relationships" ref="F495" r:id="rId965"/>
    <hyperlink xmlns:r="http://schemas.openxmlformats.org/officeDocument/2006/relationships" ref="O495" r:id="rId966"/>
    <hyperlink xmlns:r="http://schemas.openxmlformats.org/officeDocument/2006/relationships" ref="F496" r:id="rId967"/>
    <hyperlink xmlns:r="http://schemas.openxmlformats.org/officeDocument/2006/relationships" ref="O496" r:id="rId968"/>
    <hyperlink xmlns:r="http://schemas.openxmlformats.org/officeDocument/2006/relationships" ref="F497" r:id="rId969"/>
    <hyperlink xmlns:r="http://schemas.openxmlformats.org/officeDocument/2006/relationships" ref="O497" r:id="rId970"/>
    <hyperlink xmlns:r="http://schemas.openxmlformats.org/officeDocument/2006/relationships" ref="F498" r:id="rId971"/>
    <hyperlink xmlns:r="http://schemas.openxmlformats.org/officeDocument/2006/relationships" ref="O498" r:id="rId972"/>
    <hyperlink xmlns:r="http://schemas.openxmlformats.org/officeDocument/2006/relationships" ref="F499" r:id="rId973"/>
    <hyperlink xmlns:r="http://schemas.openxmlformats.org/officeDocument/2006/relationships" ref="O499" r:id="rId974"/>
    <hyperlink xmlns:r="http://schemas.openxmlformats.org/officeDocument/2006/relationships" ref="F500" r:id="rId975"/>
    <hyperlink xmlns:r="http://schemas.openxmlformats.org/officeDocument/2006/relationships" ref="O500" r:id="rId976"/>
    <hyperlink xmlns:r="http://schemas.openxmlformats.org/officeDocument/2006/relationships" ref="F501" r:id="rId977"/>
    <hyperlink xmlns:r="http://schemas.openxmlformats.org/officeDocument/2006/relationships" ref="O501" r:id="rId978"/>
    <hyperlink xmlns:r="http://schemas.openxmlformats.org/officeDocument/2006/relationships" ref="F502" r:id="rId979"/>
    <hyperlink xmlns:r="http://schemas.openxmlformats.org/officeDocument/2006/relationships" ref="O502" r:id="rId980"/>
    <hyperlink xmlns:r="http://schemas.openxmlformats.org/officeDocument/2006/relationships" ref="F503" r:id="rId981"/>
    <hyperlink xmlns:r="http://schemas.openxmlformats.org/officeDocument/2006/relationships" ref="O503" r:id="rId982"/>
    <hyperlink xmlns:r="http://schemas.openxmlformats.org/officeDocument/2006/relationships" ref="F504" r:id="rId983"/>
    <hyperlink xmlns:r="http://schemas.openxmlformats.org/officeDocument/2006/relationships" ref="O504" r:id="rId984"/>
    <hyperlink xmlns:r="http://schemas.openxmlformats.org/officeDocument/2006/relationships" ref="F505" r:id="rId985"/>
    <hyperlink xmlns:r="http://schemas.openxmlformats.org/officeDocument/2006/relationships" ref="O505" r:id="rId986"/>
    <hyperlink xmlns:r="http://schemas.openxmlformats.org/officeDocument/2006/relationships" ref="F506" r:id="rId987"/>
    <hyperlink xmlns:r="http://schemas.openxmlformats.org/officeDocument/2006/relationships" ref="O506" r:id="rId988"/>
    <hyperlink xmlns:r="http://schemas.openxmlformats.org/officeDocument/2006/relationships" ref="F507" r:id="rId989"/>
    <hyperlink xmlns:r="http://schemas.openxmlformats.org/officeDocument/2006/relationships" ref="O507" r:id="rId990"/>
    <hyperlink xmlns:r="http://schemas.openxmlformats.org/officeDocument/2006/relationships" ref="F508" r:id="rId991"/>
    <hyperlink xmlns:r="http://schemas.openxmlformats.org/officeDocument/2006/relationships" ref="O508" r:id="rId992"/>
    <hyperlink xmlns:r="http://schemas.openxmlformats.org/officeDocument/2006/relationships" ref="F509" r:id="rId993"/>
    <hyperlink xmlns:r="http://schemas.openxmlformats.org/officeDocument/2006/relationships" ref="O509" r:id="rId994"/>
    <hyperlink xmlns:r="http://schemas.openxmlformats.org/officeDocument/2006/relationships" ref="F510" r:id="rId995"/>
    <hyperlink xmlns:r="http://schemas.openxmlformats.org/officeDocument/2006/relationships" ref="O510" r:id="rId996"/>
    <hyperlink xmlns:r="http://schemas.openxmlformats.org/officeDocument/2006/relationships" ref="F511" r:id="rId997"/>
    <hyperlink xmlns:r="http://schemas.openxmlformats.org/officeDocument/2006/relationships" ref="O511" r:id="rId998"/>
    <hyperlink xmlns:r="http://schemas.openxmlformats.org/officeDocument/2006/relationships" ref="F512" r:id="rId999"/>
    <hyperlink xmlns:r="http://schemas.openxmlformats.org/officeDocument/2006/relationships" ref="O512" r:id="rId1000"/>
    <hyperlink xmlns:r="http://schemas.openxmlformats.org/officeDocument/2006/relationships" ref="F513" r:id="rId1001"/>
    <hyperlink xmlns:r="http://schemas.openxmlformats.org/officeDocument/2006/relationships" ref="O513" r:id="rId1002"/>
    <hyperlink xmlns:r="http://schemas.openxmlformats.org/officeDocument/2006/relationships" ref="F514" r:id="rId1003"/>
    <hyperlink xmlns:r="http://schemas.openxmlformats.org/officeDocument/2006/relationships" ref="O514" r:id="rId1004"/>
    <hyperlink xmlns:r="http://schemas.openxmlformats.org/officeDocument/2006/relationships" ref="F515" r:id="rId1005"/>
    <hyperlink xmlns:r="http://schemas.openxmlformats.org/officeDocument/2006/relationships" ref="O515" r:id="rId1006"/>
    <hyperlink xmlns:r="http://schemas.openxmlformats.org/officeDocument/2006/relationships" ref="F516" r:id="rId1007"/>
    <hyperlink xmlns:r="http://schemas.openxmlformats.org/officeDocument/2006/relationships" ref="O516" r:id="rId1008"/>
    <hyperlink xmlns:r="http://schemas.openxmlformats.org/officeDocument/2006/relationships" ref="F517" r:id="rId1009"/>
    <hyperlink xmlns:r="http://schemas.openxmlformats.org/officeDocument/2006/relationships" ref="O517" r:id="rId1010"/>
    <hyperlink xmlns:r="http://schemas.openxmlformats.org/officeDocument/2006/relationships" ref="F518" r:id="rId1011"/>
  </hyperlink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O477"/>
  <sheetViews>
    <sheetView workbookViewId="0">
      <selection activeCell="F2" sqref="F2"/>
    </sheetView>
  </sheetViews>
  <sheetFormatPr baseColWidth="10" defaultRowHeight="16"/>
  <cols>
    <col width="20" customWidth="1" min="6" max="6"/>
    <col width="26.140625" customWidth="1" min="7" max="7"/>
    <col width="22.28515625" customWidth="1" min="8" max="8"/>
    <col width="17.28515625" customWidth="1" min="10" max="10"/>
  </cols>
  <sheetData>
    <row r="1" ht="30" customHeight="1">
      <c r="A1" s="15" t="inlineStr">
        <is>
          <t>Компания</t>
        </is>
      </c>
      <c r="B1" s="15" t="inlineStr">
        <is>
          <t>Стенд</t>
        </is>
      </c>
      <c r="C1" s="15" t="inlineStr">
        <is>
          <t>Страна</t>
        </is>
      </c>
      <c r="D1" s="15" t="inlineStr">
        <is>
          <t>Город</t>
        </is>
      </c>
      <c r="E1" s="15" t="inlineStr">
        <is>
          <t>Адрес</t>
        </is>
      </c>
      <c r="F1" s="15" t="inlineStr">
        <is>
          <t>Сайт</t>
        </is>
      </c>
      <c r="G1" s="15" t="inlineStr">
        <is>
          <t>E-mail</t>
        </is>
      </c>
      <c r="H1" s="15" t="inlineStr">
        <is>
          <t>Описание</t>
        </is>
      </c>
      <c r="I1" s="15" t="inlineStr">
        <is>
          <t>Рубрики</t>
        </is>
      </c>
      <c r="J1" s="17" t="inlineStr">
        <is>
          <t>Производитель / Поставщик Услуг</t>
        </is>
      </c>
      <c r="K1" s="18" t="inlineStr">
        <is>
          <t>Проверка</t>
        </is>
      </c>
      <c r="L1" s="18" t="inlineStr">
        <is>
          <t>Продукция</t>
        </is>
      </c>
      <c r="M1" s="18" t="inlineStr">
        <is>
          <t>Компания (сокращенно)</t>
        </is>
      </c>
      <c r="N1" s="15" t="inlineStr">
        <is>
          <t>Конференция</t>
        </is>
      </c>
      <c r="O1" s="15" t="inlineStr">
        <is>
          <t>Конференция сайт</t>
        </is>
      </c>
    </row>
    <row r="2">
      <c r="A2" s="15" t="inlineStr">
        <is>
          <t>МЕДРЕНТЕХ, СКБ, ООО</t>
        </is>
      </c>
      <c r="B2" s="15" t="inlineStr">
        <is>
          <t>8D100</t>
        </is>
      </c>
      <c r="C2" s="15" t="inlineStr">
        <is>
          <t>Россия</t>
        </is>
      </c>
      <c r="D2" s="15" t="inlineStr">
        <is>
          <t>Москва</t>
        </is>
      </c>
      <c r="E2" s="15" t="inlineStr">
        <is>
          <t>Россия, 108820, г. Москва, р-н Коммунарка, п. завода Мосрентген, ул. Героя России Соломатина, д. 6, корп. 3</t>
        </is>
      </c>
      <c r="F2" s="15" t="inlineStr">
        <is>
          <t>http://www.медрентех.рф</t>
        </is>
      </c>
      <c r="G2" s="15" t="inlineStr">
        <is>
          <t>skbmrt@skbmrt.ru</t>
        </is>
      </c>
      <c r="H2" s="15" t="inlineStr">
        <is>
          <t>ООО «СКБ «МЕДРЕНТЕХ» — российский разработчик и производитель высокотехнологичного медицинского оборудования, предлагающий решения для рентгеновских диагностических исследований и терапии.</t>
        </is>
      </c>
      <c r="I2" s="15" t="inlineStr">
        <is>
          <t>Прочие диагностические устройства; Рентгеновские диагностические установки, передвижные и стационарные; Маммографы; Флюорографы</t>
        </is>
      </c>
      <c r="J2" s="15" t="inlineStr">
        <is>
          <t>Производитель</t>
        </is>
      </c>
      <c r="K2" s="15" t="inlineStr">
        <is>
          <t>OK</t>
        </is>
      </c>
      <c r="L2" s="15" t="inlineStr">
        <is>
          <t>диагностические устройства, рентгеновские установки, маммографы и флюорографы</t>
        </is>
      </c>
      <c r="M2" s="15" t="inlineStr">
        <is>
          <t>МЕДРЕНТЕХ, СКБ</t>
        </is>
      </c>
      <c r="N2" s="15" t="inlineStr">
        <is>
          <t>Здравоохранение-2025</t>
        </is>
      </c>
      <c r="O2" s="20" t="inlineStr">
        <is>
          <t>https://icatalog.expocentr.ru/ru/exhibitions/de590dc5-417d-11ee-80ce-a0d3c1fab97f</t>
        </is>
      </c>
    </row>
    <row r="3">
      <c r="A3" s="15" t="inlineStr">
        <is>
          <t>ПРОДЖЕКТ ТРЕЙД, ООО</t>
        </is>
      </c>
      <c r="B3" s="15" t="inlineStr">
        <is>
          <t>8D130</t>
        </is>
      </c>
      <c r="C3" s="15" t="inlineStr">
        <is>
          <t>Россия</t>
        </is>
      </c>
      <c r="D3" s="15" t="inlineStr">
        <is>
          <t>Москва</t>
        </is>
      </c>
      <c r="E3" s="15" t="inlineStr">
        <is>
          <t>Россия, 115419, г. Москва, 2-й Рощинский пр-д, д. 8, пом. XI, этаж 6, комн. 2-11</t>
        </is>
      </c>
      <c r="F3" s="20" t="inlineStr">
        <is>
          <t>http://www.projecttrade.ru</t>
        </is>
      </c>
      <c r="G3" s="15" t="inlineStr">
        <is>
          <t>a.melnikova@projecttrade.ru</t>
        </is>
      </c>
      <c r="H3" s="15" t="inlineStr">
        <is>
          <t>Компания «Проджект Трейд» — поставщик медоборудования и расходных материалов, производства Hamilton Medical AG, Infomed SA, Medela AG, Phoenix Medical Systems Private Limited. Сервисные услуги.</t>
        </is>
      </c>
      <c r="I3" s="15" t="inlineStr">
        <is>
          <t>Инкубаторы и открытые реанимационные системы; Расходные материалы для медицинского оборудования; Оборудование и расходные материалы для проведения гемосорбции, гемодиализа и плазмофереза; Средства для оказания экстренной медицинской помощи; Аппараты для искусственной вентиляции легких; Вакуумные экстракторы, аспираторы</t>
        </is>
      </c>
      <c r="J3" s="15" t="inlineStr">
        <is>
          <t>Дилер</t>
        </is>
      </c>
      <c r="K3" s="15" t="inlineStr">
        <is>
          <t>OK</t>
        </is>
      </c>
      <c r="L3" s="15" t="inlineStr">
        <is>
          <t>медоборудование, расходные материалы, инкубаторы, аспираторы и аппараты ИВЛ</t>
        </is>
      </c>
      <c r="M3" s="15" t="inlineStr">
        <is>
          <t>Проджект Трейд</t>
        </is>
      </c>
      <c r="N3" s="15" t="inlineStr">
        <is>
          <t>Здравоохранение-2025</t>
        </is>
      </c>
      <c r="O3" s="20" t="inlineStr">
        <is>
          <t>https://icatalog.expocentr.ru/ru/exhibitions/de590dc5-417d-11ee-80ce-a0d3c1fab97f</t>
        </is>
      </c>
    </row>
    <row r="4">
      <c r="A4" s="15" t="inlineStr">
        <is>
          <t>МЕДИЦИНСКИЕ ТЕХНОЛОГИИ ЛТД, АО (МТЛ)</t>
        </is>
      </c>
      <c r="B4" s="15" t="inlineStr">
        <is>
          <t>8F010</t>
        </is>
      </c>
      <c r="C4" s="15" t="inlineStr">
        <is>
          <t>Россия</t>
        </is>
      </c>
      <c r="D4" s="15" t="inlineStr">
        <is>
          <t>Москва</t>
        </is>
      </c>
      <c r="E4" s="15" t="inlineStr">
        <is>
          <t>Россия, 105118, г. Москва, Измайловское ш., д. 6, пом. 12</t>
        </is>
      </c>
      <c r="F4" s="20" t="inlineStr">
        <is>
          <t>http://www.mtl.ru</t>
        </is>
      </c>
      <c r="G4" s="15" t="inlineStr">
        <is>
          <t>mtl@mtl.ru</t>
        </is>
      </c>
      <c r="H4" s="15" t="inlineStr">
        <is>
          <t>МТЛ — № 1 в списке системообразующих предприятий медицинской промышленности России. Ведущий российский разработчик, производитель цифрового оборудования и информационных систем для лучевой диагностики.</t>
        </is>
      </c>
      <c r="I4" s="15" t="inlineStr">
        <is>
          <t>Рентгеновские диагностические установки, передвижные и стационарные; Компьютерные томографы; Маммографы; Флюорографы</t>
        </is>
      </c>
      <c r="J4" s="15" t="inlineStr">
        <is>
          <t>Производитель</t>
        </is>
      </c>
      <c r="K4" s="15" t="inlineStr">
        <is>
          <t>OK</t>
        </is>
      </c>
      <c r="L4" s="15" t="inlineStr">
        <is>
          <t>рентгеновские установки, томографы, маммографы и флюорографы</t>
        </is>
      </c>
      <c r="M4" s="15" t="inlineStr">
        <is>
          <t>МТЛ</t>
        </is>
      </c>
      <c r="N4" s="15" t="inlineStr">
        <is>
          <t>Здравоохранение-2025</t>
        </is>
      </c>
      <c r="O4" s="20" t="inlineStr">
        <is>
          <t>https://icatalog.expocentr.ru/ru/exhibitions/de590dc5-417d-11ee-80ce-a0d3c1fab97f</t>
        </is>
      </c>
    </row>
    <row r="5">
      <c r="A5" s="15" t="inlineStr">
        <is>
          <t>ЭКСПЕРТ ТОМОГРАФ</t>
        </is>
      </c>
      <c r="B5" s="15" t="inlineStr">
        <is>
          <t>8A030</t>
        </is>
      </c>
      <c r="C5" s="15" t="inlineStr">
        <is>
          <t>Россия</t>
        </is>
      </c>
      <c r="D5" s="15" t="inlineStr">
        <is>
          <t>Тула</t>
        </is>
      </c>
      <c r="E5" s="15" t="inlineStr">
        <is>
          <t>Россия, 300041, г. Тула, ул. Тургеневская, д. 50, литера А, оф. 701</t>
        </is>
      </c>
      <c r="F5" s="20" t="inlineStr">
        <is>
          <t>http://www.expert-tomograph.ru</t>
        </is>
      </c>
      <c r="G5" s="15" t="inlineStr">
        <is>
          <t>info@e-tmg.ru</t>
        </is>
      </c>
      <c r="H5" s="15" t="inlineStr">
        <is>
          <t>Сервис по ремонту, обслуживанию, поставкам запчастей МРТ/КТ (Canon, Philips, Siemens, General Electric). Компонентный ремонт и восстановление РЧ-катушек МРТ, а также блоков и других узлов МРТ.</t>
        </is>
      </c>
      <c r="I5" s="15" t="inlineStr">
        <is>
          <t>Рентгеновские диагностические установки, передвижные и стационарные; Вспомогательное оборудование; Компьютерные томографы; ПЭТ; Маммографы; Магнитно-резонансные томографы</t>
        </is>
      </c>
      <c r="J5" s="15" t="inlineStr">
        <is>
          <t>Поставщик услуг</t>
        </is>
      </c>
      <c r="K5" s="15" t="inlineStr">
        <is>
          <t>OK</t>
        </is>
      </c>
      <c r="L5" s="15" t="inlineStr">
        <is>
          <t>томографы, рентгеновские установки, маммографы и запчасти</t>
        </is>
      </c>
      <c r="M5" s="15" t="inlineStr">
        <is>
          <t>Эксперт Томограф</t>
        </is>
      </c>
      <c r="N5" s="15" t="inlineStr">
        <is>
          <t>Здравоохранение-2025</t>
        </is>
      </c>
      <c r="O5" s="20" t="inlineStr">
        <is>
          <t>https://icatalog.expocentr.ru/ru/exhibitions/de590dc5-417d-11ee-80ce-a0d3c1fab97f</t>
        </is>
      </c>
    </row>
    <row r="6">
      <c r="A6" s="15" t="inlineStr">
        <is>
          <t>БТЛ, ООО</t>
        </is>
      </c>
      <c r="B6" s="15" t="inlineStr">
        <is>
          <t>8B120</t>
        </is>
      </c>
      <c r="C6" s="15" t="inlineStr">
        <is>
          <t>Россия</t>
        </is>
      </c>
      <c r="D6" s="15" t="inlineStr">
        <is>
          <t>Москва</t>
        </is>
      </c>
      <c r="E6" s="15" t="inlineStr">
        <is>
          <t>Россия, 125284, г. Москва, Ленинградский просп., д. 35, стр. 2, пом. XVIII</t>
        </is>
      </c>
      <c r="F6" s="20" t="inlineStr">
        <is>
          <t>http://www.btlnet.com</t>
        </is>
      </c>
      <c r="G6" s="15" t="inlineStr">
        <is>
          <t>btl-ru@btlnet.com</t>
        </is>
      </c>
      <c r="H6" s="15" t="inlineStr">
        <is>
          <t>BTL — мировой лидер в области разработки и производства медицинского и эстетического оборудования.</t>
        </is>
      </c>
      <c r="I6" s="15" t="inlineStr">
        <is>
          <t>Оборудование для мониторинга функций сердечно-сосудистой системы; Приборы и принадлежности для кардиографических исследований; Системы мониторирования ЭКГ и АД; Ортопедическое оборудование и инструменты</t>
        </is>
      </c>
      <c r="J6" s="15" t="inlineStr">
        <is>
          <t>Производитель</t>
        </is>
      </c>
      <c r="K6" s="15" t="inlineStr">
        <is>
          <t>OK</t>
        </is>
      </c>
      <c r="L6" s="15" t="inlineStr">
        <is>
          <t>медицинское оборудование, эстетическое оборудование и ортопедическое оборудование</t>
        </is>
      </c>
      <c r="M6" s="15" t="inlineStr">
        <is>
          <t>БТЛ</t>
        </is>
      </c>
      <c r="N6" s="15" t="inlineStr">
        <is>
          <t>Здравоохранение-2025</t>
        </is>
      </c>
      <c r="O6" s="20" t="inlineStr">
        <is>
          <t>https://icatalog.expocentr.ru/ru/exhibitions/de590dc5-417d-11ee-80ce-a0d3c1fab97f</t>
        </is>
      </c>
    </row>
    <row r="7">
      <c r="A7" s="15" t="inlineStr">
        <is>
          <t>РАША БОНСС МЕДИКАЛ ТЕХНОЛОДЖИ КО. ЛТД</t>
        </is>
      </c>
      <c r="B7" s="15" t="inlineStr">
        <is>
          <t>8A140</t>
        </is>
      </c>
      <c r="C7" s="15" t="inlineStr">
        <is>
          <t>Россия</t>
        </is>
      </c>
      <c r="D7" s="15" t="inlineStr">
        <is>
          <t>Смоленск</t>
        </is>
      </c>
      <c r="E7" s="15" t="inlineStr">
        <is>
          <t>Россия, 214031, г. Смоленск, ул. Рыленкова, д. 11Б, оф. 2</t>
        </is>
      </c>
      <c r="F7" s="20" t="inlineStr">
        <is>
          <t>http://www.bonss-russia.ru</t>
        </is>
      </c>
      <c r="G7" s="15" t="inlineStr">
        <is>
          <t>m.vavilov@bonss-russia.ru</t>
        </is>
      </c>
      <c r="H7" s="15" t="inlineStr">
        <is>
          <t>Радиочастотные хирургические системы и холодноплазменные биполярные электроды для артроскопии, нейрохирургии, лор (тонзиллэктомии и аденоидэктомии), резектоскопы и электроды для урологии и гинекологии.</t>
        </is>
      </c>
      <c r="I7" s="15" t="inlineStr">
        <is>
          <t>Инструменты гинекологические; Эндоскопы жесткие; Ортопедическое оборудование и инструменты</t>
        </is>
      </c>
      <c r="J7" s="15" t="inlineStr">
        <is>
          <t>Производитель</t>
        </is>
      </c>
      <c r="K7" s="15" t="inlineStr">
        <is>
          <t>OK</t>
        </is>
      </c>
      <c r="L7" s="15" t="inlineStr">
        <is>
          <t>хирургические системы, электроды, эндоскопы и инструменты</t>
        </is>
      </c>
      <c r="M7" s="15" t="inlineStr">
        <is>
          <t>Раша Бонсс Медикал Технолоджи</t>
        </is>
      </c>
      <c r="N7" s="15" t="inlineStr">
        <is>
          <t>Здравоохранение-2025</t>
        </is>
      </c>
      <c r="O7" s="20" t="inlineStr">
        <is>
          <t>https://icatalog.expocentr.ru/ru/exhibitions/de590dc5-417d-11ee-80ce-a0d3c1fab97f</t>
        </is>
      </c>
    </row>
    <row r="8">
      <c r="A8" s="15" t="inlineStr">
        <is>
          <t>НЕЙРОСОФТ, ООО</t>
        </is>
      </c>
      <c r="B8" s="15" t="inlineStr">
        <is>
          <t>8D010</t>
        </is>
      </c>
      <c r="C8" s="15" t="inlineStr">
        <is>
          <t>Россия</t>
        </is>
      </c>
      <c r="D8" s="15" t="inlineStr">
        <is>
          <t>Иваново</t>
        </is>
      </c>
      <c r="E8" s="15" t="inlineStr">
        <is>
          <t>Россия, 153032, г. Иваново, ул. Воронина, д. 5</t>
        </is>
      </c>
      <c r="F8" s="20" t="inlineStr">
        <is>
          <t>https://neurosoft.com</t>
        </is>
      </c>
      <c r="G8" s="15" t="inlineStr">
        <is>
          <t>info@neurosoft.com</t>
        </is>
      </c>
      <c r="H8" s="15" t="inlineStr">
        <is>
          <t>Компания разрабатывает и производит оборудование для функциональной диагностики, нейрофизиологии, аудиологии и реабилитации. Качество продукции подтверждают более 330 сертификатов по всему миру.</t>
        </is>
      </c>
      <c r="I8" s="15" t="inlineStr">
        <is>
          <t>Системы мониторирования ЭЭГ; Нейрофизиологическое оборудование; Оборудование и материалы для неонатального скрининга; Оборудование для урологической диагностики; Производство медицинских изделий; Реабилитационное оборудование</t>
        </is>
      </c>
      <c r="J8" s="15" t="inlineStr">
        <is>
          <t>Производитель</t>
        </is>
      </c>
      <c r="K8" s="15" t="inlineStr">
        <is>
          <t>OK</t>
        </is>
      </c>
      <c r="L8" s="15" t="inlineStr">
        <is>
          <t>медицинские изделия, реабилитационное оборудование, нейрофизиологическое оборудование и системы мониторирования ЭЭГ</t>
        </is>
      </c>
      <c r="M8" s="15" t="inlineStr">
        <is>
          <t>Нейрософт</t>
        </is>
      </c>
      <c r="N8" s="15" t="inlineStr">
        <is>
          <t>Здравоохранение-2025</t>
        </is>
      </c>
      <c r="O8" s="20" t="inlineStr">
        <is>
          <t>https://icatalog.expocentr.ru/ru/exhibitions/de590dc5-417d-11ee-80ce-a0d3c1fab97f</t>
        </is>
      </c>
    </row>
    <row r="9">
      <c r="A9" s="15" t="inlineStr">
        <is>
          <t>С.П. ГЕЛПИК, ООО</t>
        </is>
      </c>
      <c r="B9" s="21" t="n">
        <v>8e+30</v>
      </c>
      <c r="C9" s="15" t="inlineStr">
        <is>
          <t>Россия</t>
        </is>
      </c>
      <c r="D9" s="15" t="inlineStr">
        <is>
          <t>Москва</t>
        </is>
      </c>
      <c r="E9" s="15" t="inlineStr">
        <is>
          <t>Россия, 117485, г. Москва, ул. Профсоюзная, д. 86, стр. 2</t>
        </is>
      </c>
      <c r="F9" s="20" t="inlineStr">
        <is>
          <t>http://www.helpic.ru</t>
        </is>
      </c>
      <c r="G9" s="15" t="inlineStr">
        <is>
          <t>mail@helpic.ru</t>
        </is>
      </c>
      <c r="H9" s="15" t="inlineStr">
        <is>
          <t>ООО «С.П. ГЕЛПИК» является одним из ведущих в Российской Федерации разработчиков, производителей и поставщиков рентгенодиагностического оборудования, выпускаемого под торговой маркой «РЕНЕКС».</t>
        </is>
      </c>
      <c r="I9" s="15" t="inlineStr">
        <is>
          <t>Рентгеновские диагностические установки, передвижные и стационарные; Средства защиты от рентгеновских лучей; Маммографы; Флюорографы; Магнитно-резонансные томографы</t>
        </is>
      </c>
      <c r="J9" s="15" t="inlineStr">
        <is>
          <t>Производитель</t>
        </is>
      </c>
      <c r="K9" s="15" t="inlineStr">
        <is>
          <t>OK</t>
        </is>
      </c>
      <c r="L9" s="15" t="inlineStr">
        <is>
          <t>рентгеновские установки, средства защиты и томографы</t>
        </is>
      </c>
      <c r="M9" s="15" t="inlineStr">
        <is>
          <t>Гелпик</t>
        </is>
      </c>
      <c r="N9" s="15" t="inlineStr">
        <is>
          <t>Здравоохранение-2025</t>
        </is>
      </c>
      <c r="O9" s="20" t="inlineStr">
        <is>
          <t>https://icatalog.expocentr.ru/ru/exhibitions/de590dc5-417d-11ee-80ce-a0d3c1fab97f</t>
        </is>
      </c>
    </row>
    <row r="10">
      <c r="A10" s="15" t="inlineStr">
        <is>
          <t>МЕДКОМПЛЕКС А.В.К., ООО</t>
        </is>
      </c>
      <c r="B10" s="15" t="inlineStr">
        <is>
          <t>8G110</t>
        </is>
      </c>
      <c r="C10" s="15" t="inlineStr">
        <is>
          <t>Россия</t>
        </is>
      </c>
      <c r="D10" s="15" t="inlineStr">
        <is>
          <t>Москва</t>
        </is>
      </c>
      <c r="E10" s="15" t="inlineStr">
        <is>
          <t>Россия, 107241, г. Москва, Щёлковское ш., д. 23а, этаж 1, пом. 1, комн. 12</t>
        </is>
      </c>
      <c r="F10" s="20" t="inlineStr">
        <is>
          <t>http://www.medcomp.ru</t>
        </is>
      </c>
      <c r="G10" s="15" t="inlineStr">
        <is>
          <t>reklama@medcomp.ru</t>
        </is>
      </c>
      <c r="H10" s="15" t="inlineStr">
        <is>
          <t>Компания занимается дистрибьюцией медицинского оборудования по всей России. Мы предлагаем долгосрочное сотрудничество в сфере поставок медицинской мебели и оборудования.</t>
        </is>
      </c>
      <c r="I10" s="15" t="inlineStr">
        <is>
          <t>Системы мониторирования ЭКГ и АД; Медицинская мебель; Прочее общебольничное оборудование; Оборудование для стерилизации; Мониторы пациента</t>
        </is>
      </c>
      <c r="J10" s="15" t="inlineStr">
        <is>
          <t>Дилер</t>
        </is>
      </c>
      <c r="K10" s="15" t="inlineStr">
        <is>
          <t>OK</t>
        </is>
      </c>
      <c r="L10" s="15" t="inlineStr">
        <is>
          <t>медицинское оборудование, медицинская мебель, мониторы пациента и оборудование для стерилизации</t>
        </is>
      </c>
      <c r="M10" s="15" t="inlineStr">
        <is>
          <t>Медкомплекс А.В.К.</t>
        </is>
      </c>
      <c r="N10" s="15" t="inlineStr">
        <is>
          <t>Здравоохранение-2025</t>
        </is>
      </c>
      <c r="O10" s="20" t="inlineStr">
        <is>
          <t>https://icatalog.expocentr.ru/ru/exhibitions/de590dc5-417d-11ee-80ce-a0d3c1fab97f</t>
        </is>
      </c>
    </row>
    <row r="11">
      <c r="A11" s="15" t="inlineStr">
        <is>
          <t>ЛИЗИНГ-МЕДИЦИНА, ООО</t>
        </is>
      </c>
      <c r="B11" s="15" t="inlineStr">
        <is>
          <t>8B090</t>
        </is>
      </c>
      <c r="C11" s="15" t="inlineStr">
        <is>
          <t>Россия</t>
        </is>
      </c>
      <c r="D11" s="15" t="inlineStr">
        <is>
          <t>Москва</t>
        </is>
      </c>
      <c r="E11" s="15" t="inlineStr">
        <is>
          <t>Россия, 125424, г. Москва, Сходненский тупик, д. 4, этаж 3, оф. 301</t>
        </is>
      </c>
      <c r="F11" s="20" t="inlineStr">
        <is>
          <t>http://www.lmed.ru</t>
        </is>
      </c>
      <c r="G11" s="15" t="inlineStr">
        <is>
          <t>info@leasingmed.ru</t>
        </is>
      </c>
      <c r="H11" s="15" t="inlineStr">
        <is>
          <t>«Лизинг-Медицина» предоставляет в лизинг все виды медицинского оборудования, предлагая гибкие финансовые решения с учетом потребностей и пожеланий клиентов.</t>
        </is>
      </c>
      <c r="I11" s="15" t="inlineStr">
        <is>
          <t>Офтальмоскопы; Эндоскопические комплексы и системы; Лазерные  хирургические аппараты</t>
        </is>
      </c>
      <c r="J11" s="15" t="inlineStr">
        <is>
          <t>Поставщик услуг</t>
        </is>
      </c>
      <c r="K11" s="15" t="inlineStr">
        <is>
          <t>OK</t>
        </is>
      </c>
      <c r="L11" s="15" t="inlineStr">
        <is>
          <t>медицинское оборудование, офтальмоскопы, эндоскопические комплексы и лазерные аппараты</t>
        </is>
      </c>
      <c r="M11" s="15" t="inlineStr">
        <is>
          <t>Лизинг-Медицина</t>
        </is>
      </c>
      <c r="N11" s="15" t="inlineStr">
        <is>
          <t>Здравоохранение-2025</t>
        </is>
      </c>
      <c r="O11" s="20" t="inlineStr">
        <is>
          <t>https://icatalog.expocentr.ru/ru/exhibitions/de590dc5-417d-11ee-80ce-a0d3c1fab97f</t>
        </is>
      </c>
    </row>
    <row r="12">
      <c r="A12" s="15" t="inlineStr">
        <is>
          <t>АДАНИ РУС, ООО</t>
        </is>
      </c>
      <c r="B12" s="15" t="inlineStr">
        <is>
          <t>8D070</t>
        </is>
      </c>
      <c r="C12" s="15" t="inlineStr">
        <is>
          <t>Россия</t>
        </is>
      </c>
      <c r="D12" s="15" t="inlineStr">
        <is>
          <t>Санкт-Петербург</t>
        </is>
      </c>
      <c r="E12" s="15" t="inlineStr">
        <is>
          <t>Россия, 190005, г. Санкт-Петербург, наб. Обводного канала, д. 118а, литера Х, пом. 7-Н, оф. 7</t>
        </is>
      </c>
      <c r="F12" s="20" t="inlineStr">
        <is>
          <t>http://www.adanirus.ru</t>
        </is>
      </c>
      <c r="G12" s="15" t="inlineStr">
        <is>
          <t>rus-info@advin.ru</t>
        </is>
      </c>
      <c r="H12" s="15" t="inlineStr">
        <is>
          <t>ООО «АДАНИ РУС» является официальным представителем ЗАО «Адвин Смарт Фэктори» (г. Минск) на территории РФ (производство рентгеновской медицинской техники и рентгеновского досмотрового оборудования).</t>
        </is>
      </c>
      <c r="I12" s="15" t="inlineStr">
        <is>
          <t>Рентгеновские диагностические установки, передвижные и стационарные; Компьютерные томографы; Маммографы; Флюорографы</t>
        </is>
      </c>
      <c r="J12" s="15" t="inlineStr">
        <is>
          <t>Дилер</t>
        </is>
      </c>
      <c r="K12" s="15" t="inlineStr">
        <is>
          <t>OK</t>
        </is>
      </c>
      <c r="L12" s="15" t="inlineStr">
        <is>
          <t>рентгеновская медицинская техника, досмотровое оборудование, томографы, маммографы и флюорографы</t>
        </is>
      </c>
      <c r="M12" s="15" t="inlineStr">
        <is>
          <t>Адани Рус</t>
        </is>
      </c>
      <c r="N12" s="15" t="inlineStr">
        <is>
          <t>Здравоохранение-2025</t>
        </is>
      </c>
      <c r="O12" s="20" t="inlineStr">
        <is>
          <t>https://icatalog.expocentr.ru/ru/exhibitions/de590dc5-417d-11ee-80ce-a0d3c1fab97f</t>
        </is>
      </c>
    </row>
    <row r="13">
      <c r="A13" s="15" t="inlineStr">
        <is>
          <t>РЕН ИНН МЕД</t>
        </is>
      </c>
      <c r="B13" s="15" t="inlineStr">
        <is>
          <t>8H030</t>
        </is>
      </c>
      <c r="C13" s="15" t="inlineStr">
        <is>
          <t>Россия</t>
        </is>
      </c>
      <c r="D13" s="15" t="inlineStr">
        <is>
          <t>Москва</t>
        </is>
      </c>
      <c r="E13" s="15" t="inlineStr">
        <is>
          <t>Россия, 125362, г. Москва, ул. Свободы, д. 35, стр. 11</t>
        </is>
      </c>
      <c r="F13" s="20" t="inlineStr">
        <is>
          <t>http://www.reninnmed.com</t>
        </is>
      </c>
      <c r="G13" s="15" t="inlineStr">
        <is>
          <t>rim@reninnmed.com</t>
        </is>
      </c>
      <c r="H13" s="15" t="inlineStr">
        <is>
          <t>Разработка, производство и поставка инновационного медицинского диагностического оборудования.</t>
        </is>
      </c>
      <c r="I13" s="15" t="inlineStr">
        <is>
          <t>Рентгеновские диагностические установки, передвижные и стационарные; Маммографы; Флюорографы</t>
        </is>
      </c>
      <c r="J13" s="15" t="inlineStr">
        <is>
          <t>Производитель</t>
        </is>
      </c>
      <c r="K13" s="15" t="inlineStr">
        <is>
          <t>OK</t>
        </is>
      </c>
      <c r="L13" s="15" t="inlineStr">
        <is>
          <t>рентгеновские установки, маммографы и флюорографы</t>
        </is>
      </c>
      <c r="M13" s="15" t="inlineStr">
        <is>
          <t>РЕН ИНН МЕД</t>
        </is>
      </c>
      <c r="N13" s="15" t="inlineStr">
        <is>
          <t>Здравоохранение-2025</t>
        </is>
      </c>
      <c r="O13" s="20" t="inlineStr">
        <is>
          <t>https://icatalog.expocentr.ru/ru/exhibitions/de590dc5-417d-11ee-80ce-a0d3c1fab97f</t>
        </is>
      </c>
    </row>
    <row r="14">
      <c r="A14" s="15" t="inlineStr">
        <is>
          <t>МК КЛЕВЕР, ООО</t>
        </is>
      </c>
      <c r="B14" s="15" t="inlineStr">
        <is>
          <t>8B065</t>
        </is>
      </c>
      <c r="C14" s="15" t="inlineStr">
        <is>
          <t>Россия</t>
        </is>
      </c>
      <c r="D14" s="15" t="inlineStr">
        <is>
          <t>Казань</t>
        </is>
      </c>
      <c r="E14" s="15" t="inlineStr">
        <is>
          <t>Россия, Республика Татарстан, г. Казань, ул. Чапаева, д. 24, пом. 10Н, 1101</t>
        </is>
      </c>
      <c r="F14" s="20" t="inlineStr">
        <is>
          <t>http://www.mk-klever.ru</t>
        </is>
      </c>
      <c r="G14" s="15" t="inlineStr">
        <is>
          <t>info@mk-klever.ru</t>
        </is>
      </c>
      <c r="H14" s="15" t="inlineStr">
        <is>
          <t>Отечественный производитель лор-установок. Мы стремимся не просто выпускать технику, а предлагать решения, которые помогут тысячам врачей делать свою работу быстрее, точнее и безопаснее. На связи 24/7.</t>
        </is>
      </c>
      <c r="I14" s="15" t="inlineStr">
        <is>
          <t>Эндоскопические комплексы и системы</t>
        </is>
      </c>
      <c r="J14" s="15" t="inlineStr">
        <is>
          <t>Производитель</t>
        </is>
      </c>
      <c r="K14" s="15" t="inlineStr">
        <is>
          <t>OK</t>
        </is>
      </c>
      <c r="L14" s="15" t="inlineStr">
        <is>
          <t>лор-установки и эндоскопические комплексы</t>
        </is>
      </c>
      <c r="M14" s="15" t="inlineStr">
        <is>
          <t>МК Клевер</t>
        </is>
      </c>
      <c r="N14" s="15" t="inlineStr">
        <is>
          <t>Здравоохранение-2025</t>
        </is>
      </c>
      <c r="O14" s="20" t="inlineStr">
        <is>
          <t>https://icatalog.expocentr.ru/ru/exhibitions/de590dc5-417d-11ee-80ce-a0d3c1fab97f</t>
        </is>
      </c>
    </row>
    <row r="15">
      <c r="A15" s="15" t="inlineStr">
        <is>
          <t>ЭЛМЕД, НАУЧНО-ПРОИЗВОДСТВЕННАЯ ФИРМА</t>
        </is>
      </c>
      <c r="B15" s="15" t="inlineStr">
        <is>
          <t>8A114</t>
        </is>
      </c>
      <c r="C15" s="15" t="inlineStr">
        <is>
          <t>Россия</t>
        </is>
      </c>
      <c r="D15" s="15" t="inlineStr">
        <is>
          <t>Казань</t>
        </is>
      </c>
      <c r="E15" s="15" t="inlineStr">
        <is>
          <t>Россия, 420127, Республика Татарстан, г. Казань, ул. Короленко, д. 120д</t>
        </is>
      </c>
      <c r="F15" s="20" t="inlineStr">
        <is>
          <t>http://www.elmed-kzn.ru</t>
        </is>
      </c>
      <c r="G15" s="15" t="inlineStr">
        <is>
          <t>info@elmed-kzn.ru</t>
        </is>
      </c>
      <c r="H15" s="15" t="inlineStr">
        <is>
          <t>ООО "НПФ «ЭлМед» занимается производством и продажей инструментов, эндоскопов и оборудования для эндохирургии:— лапароскопии;— лор-эндоскопии;— гистерорезектоскопии;— урологии;— артроскопии и др.</t>
        </is>
      </c>
      <c r="I15" s="15" t="inlineStr">
        <is>
          <t>Эндоскопы жесткие; Эндоскопы гибкие; Эндоскопические комплексы и системы; Оборудование и средства для лапароскопии; Инструменты и принадлежности для эндоскопии; Специализированные медицинские инструменты</t>
        </is>
      </c>
      <c r="J15" s="15" t="inlineStr">
        <is>
          <t>Производитель</t>
        </is>
      </c>
      <c r="K15" s="15" t="inlineStr">
        <is>
          <t>OK</t>
        </is>
      </c>
      <c r="L15" s="15" t="inlineStr">
        <is>
          <t>эндоскопы, оборудование и инструменты</t>
        </is>
      </c>
      <c r="M15" s="15" t="inlineStr">
        <is>
          <t>Элмед</t>
        </is>
      </c>
      <c r="N15" s="15" t="inlineStr">
        <is>
          <t>Здравоохранение-2025</t>
        </is>
      </c>
      <c r="O15" s="20" t="inlineStr">
        <is>
          <t>https://icatalog.expocentr.ru/ru/exhibitions/de590dc5-417d-11ee-80ce-a0d3c1fab97f</t>
        </is>
      </c>
    </row>
    <row r="16">
      <c r="A16" s="15" t="inlineStr">
        <is>
          <t>МЕДИЭЙС, ЗАО</t>
        </is>
      </c>
      <c r="B16" s="15" t="inlineStr">
        <is>
          <t>8F040</t>
        </is>
      </c>
      <c r="C16" s="15" t="inlineStr">
        <is>
          <t>Россия</t>
        </is>
      </c>
      <c r="D16" s="15" t="inlineStr">
        <is>
          <t>Москва</t>
        </is>
      </c>
      <c r="E16" s="15" t="inlineStr">
        <is>
          <t>Россия, 123112, г. Москва, Пресненская наб., д. 6, стр. 2, ММДЦ «Москва-Сити», ДК «Империя», оф. 1623</t>
        </is>
      </c>
      <c r="F16" s="20" t="inlineStr">
        <is>
          <t>http://www.medison.ru</t>
        </is>
      </c>
      <c r="G16" s="15" t="inlineStr">
        <is>
          <t>info@medison.ru</t>
        </is>
      </c>
      <c r="H16" s="15" t="inlineStr">
        <is>
          <t>ЗАО «Медиэйс» — официальный партнер Samsung Medison в РФ. Предлагаем ультразвуковые диагностические системы Samsung Medison.</t>
        </is>
      </c>
      <c r="I16" s="15" t="inlineStr">
        <is>
          <t>Диагностическое оборудование для гинекологии; Ультразвуковые сканеры и диагностические системы</t>
        </is>
      </c>
      <c r="J16" s="15" t="inlineStr">
        <is>
          <t>Дилер</t>
        </is>
      </c>
      <c r="K16" s="15" t="inlineStr">
        <is>
          <t>OK</t>
        </is>
      </c>
      <c r="L16" s="15" t="inlineStr">
        <is>
          <t>ультразвуковые сканеры и диагностическое оборудование</t>
        </is>
      </c>
      <c r="M16" s="15" t="inlineStr">
        <is>
          <t>Медиэйс</t>
        </is>
      </c>
      <c r="N16" s="15" t="inlineStr">
        <is>
          <t>Здравоохранение-2025</t>
        </is>
      </c>
      <c r="O16" s="20" t="inlineStr">
        <is>
          <t>https://icatalog.expocentr.ru/ru/exhibitions/de590dc5-417d-11ee-80ce-a0d3c1fab97f</t>
        </is>
      </c>
    </row>
    <row r="17">
      <c r="A17" s="15" t="inlineStr">
        <is>
          <t>СОНОМЕДИКА, ООО</t>
        </is>
      </c>
      <c r="B17" s="15" t="inlineStr">
        <is>
          <t>8G040</t>
        </is>
      </c>
      <c r="C17" s="15" t="inlineStr">
        <is>
          <t>Россия</t>
        </is>
      </c>
      <c r="D17" s="15" t="inlineStr">
        <is>
          <t>Химки</t>
        </is>
      </c>
      <c r="E17" s="15" t="inlineStr">
        <is>
          <t>Россия, Московская обл., г. Химки, ул. Панфилова, стр. 10a</t>
        </is>
      </c>
      <c r="F17" s="20" t="inlineStr">
        <is>
          <t>http://sonomedica.ru</t>
        </is>
      </c>
      <c r="G17" s="15" t="inlineStr">
        <is>
          <t>info@sonomedica.ru</t>
        </is>
      </c>
      <c r="H17" s="15" t="inlineStr">
        <is>
          <t>Более 20 лет мы поставляем УЗ-аппараты Esaote и GE HealthCare, эндоскопическое оборудование Pentax Medical, оптические кольпоскопы ALScope и видеокольпоскопы SLV-101 HD, МРТ Esaote, медицинские мониторы Beacon.</t>
        </is>
      </c>
      <c r="I17" s="15" t="inlineStr">
        <is>
          <t>Диагностическое оборудование для гинекологии; Магнитно-резонансные томографы; Ультразвуковые сканеры и диагностические системы; Эндоскопы гибкие; Эндоскопические комплексы и системы; Наркозно-дыхательные аппараты</t>
        </is>
      </c>
      <c r="J17" s="15" t="inlineStr">
        <is>
          <t>Дилер</t>
        </is>
      </c>
      <c r="K17" s="15" t="inlineStr">
        <is>
          <t>OK</t>
        </is>
      </c>
      <c r="L17" s="15" t="inlineStr">
        <is>
          <t>ультразвуковые сканеры, эндоскопы, томографы и кольпоскопы</t>
        </is>
      </c>
      <c r="M17" s="15" t="inlineStr">
        <is>
          <t>Сономедика</t>
        </is>
      </c>
      <c r="N17" s="15" t="inlineStr">
        <is>
          <t>Здравоохранение-2025</t>
        </is>
      </c>
      <c r="O17" s="20" t="inlineStr">
        <is>
          <t>https://icatalog.expocentr.ru/ru/exhibitions/de590dc5-417d-11ee-80ce-a0d3c1fab97f</t>
        </is>
      </c>
    </row>
    <row r="18">
      <c r="A18" s="15" t="inlineStr">
        <is>
          <t>MEDEQ</t>
        </is>
      </c>
      <c r="B18" s="15" t="inlineStr">
        <is>
          <t>8B040</t>
        </is>
      </c>
      <c r="C18" s="15" t="inlineStr">
        <is>
          <t>Россия</t>
        </is>
      </c>
      <c r="D18" s="15" t="inlineStr">
        <is>
          <t>Москва</t>
        </is>
      </c>
      <c r="E18" s="15" t="inlineStr">
        <is>
          <t>Россия, 129626, г. Москва, просп. Мира, д. 102, корп. 1</t>
        </is>
      </c>
      <c r="F18" s="20" t="inlineStr">
        <is>
          <t>http://medeq.ru</t>
        </is>
      </c>
      <c r="G18" s="15" t="inlineStr">
        <is>
          <t>info@medeq.ru</t>
        </is>
      </c>
      <c r="H18" s="15" t="inlineStr">
        <is>
          <t>MEDEQ — комплексный поставщик медицинского и косметологического оборудования в России. 12 лет на рынке. Более 7500 реализованных проектов. Офисы в Москве, Санкт-Петербурге, Екатеринбурге, Новосибирске.</t>
        </is>
      </c>
      <c r="I18" s="15" t="inlineStr">
        <is>
          <t>Рентгеновские диагностические установки, передвижные и стационарные; Компьютерные томографы; Магнитно-резонансные томографы; Ультразвуковые сканеры и диагностические системы; Эндоскопические комплексы и системы; Наркозно-дыхательные аппараты</t>
        </is>
      </c>
      <c r="J18" s="15" t="inlineStr">
        <is>
          <t>Дилер</t>
        </is>
      </c>
      <c r="K18" s="15" t="inlineStr">
        <is>
          <t>OK</t>
        </is>
      </c>
      <c r="L18" s="15" t="inlineStr">
        <is>
          <t>томографы, сканеры, аппараты и установки</t>
        </is>
      </c>
      <c r="M18" s="15" t="inlineStr">
        <is>
          <t>MEDEQ</t>
        </is>
      </c>
      <c r="N18" s="15" t="inlineStr">
        <is>
          <t>Здравоохранение-2025</t>
        </is>
      </c>
      <c r="O18" s="20" t="inlineStr">
        <is>
          <t>https://icatalog.expocentr.ru/ru/exhibitions/de590dc5-417d-11ee-80ce-a0d3c1fab97f</t>
        </is>
      </c>
    </row>
    <row r="19">
      <c r="A19" s="15" t="inlineStr">
        <is>
          <t>СИБИРСКИЙ УСПЕХ</t>
        </is>
      </c>
      <c r="B19" s="15" t="inlineStr">
        <is>
          <t>8A070</t>
        </is>
      </c>
      <c r="C19" s="15" t="inlineStr">
        <is>
          <t>Россия</t>
        </is>
      </c>
      <c r="D19" s="15" t="inlineStr">
        <is>
          <t>Новосибирск</t>
        </is>
      </c>
      <c r="E19" s="15" t="inlineStr">
        <is>
          <t>Россия, 630009, г. Новосибирск, ул. Добролюбова, д. 16</t>
        </is>
      </c>
      <c r="F19" s="20" t="inlineStr">
        <is>
          <t>http://uspekh.ru</t>
        </is>
      </c>
      <c r="G19" s="15" t="inlineStr">
        <is>
          <t>ms@uspekh.ru</t>
        </is>
      </c>
      <c r="H19" s="15" t="inlineStr">
        <is>
          <t>«СИБИРСКИЙ УСПЕХ» — из центра Сибири для всей России. 30 лет опыта работы в сфере медтехники. Презентация нового оборудования. Инновации, качество, сервис. Наш стенд 8А070. Специальные условия участникам выставки!</t>
        </is>
      </c>
      <c r="I19" s="15" t="inlineStr">
        <is>
          <t>Рентгеновские диагностические установки, передвижные и стационарные; Системы оцифровки и хранения изображений; Аппараты и системы для обработки рентгеновской пленки; Вспомогательное оборудование; Маммографы; Флюорографы</t>
        </is>
      </c>
      <c r="J19" s="15" t="inlineStr">
        <is>
          <t>Дилер</t>
        </is>
      </c>
      <c r="K19" s="15" t="inlineStr">
        <is>
          <t>OK</t>
        </is>
      </c>
      <c r="L19" s="15" t="inlineStr">
        <is>
          <t>рентгеновские установки, маммографы и флюорографы</t>
        </is>
      </c>
      <c r="M19" s="15" t="inlineStr">
        <is>
          <t>Сибирский Успех</t>
        </is>
      </c>
      <c r="N19" s="15" t="inlineStr">
        <is>
          <t>Здравоохранение-2025</t>
        </is>
      </c>
      <c r="O19" s="20" t="inlineStr">
        <is>
          <t>https://icatalog.expocentr.ru/ru/exhibitions/de590dc5-417d-11ee-80ce-a0d3c1fab97f</t>
        </is>
      </c>
    </row>
    <row r="20">
      <c r="A20" s="15" t="inlineStr">
        <is>
          <t>МОСНЕЙРО, OOO</t>
        </is>
      </c>
      <c r="B20" s="15" t="inlineStr">
        <is>
          <t>8C005</t>
        </is>
      </c>
      <c r="C20" s="15" t="inlineStr">
        <is>
          <t>Россия</t>
        </is>
      </c>
      <c r="D20" s="15" t="inlineStr">
        <is>
          <t>Москва</t>
        </is>
      </c>
      <c r="E20" s="15" t="inlineStr">
        <is>
          <t>Россия, 115114, г. Москва, Даниловская наб., д. 4а, оф. 7</t>
        </is>
      </c>
      <c r="F20" s="20" t="inlineStr">
        <is>
          <t>http://www.mosnerv.ru</t>
        </is>
      </c>
      <c r="G20" s="15" t="inlineStr">
        <is>
          <t>com@mosneuro.com</t>
        </is>
      </c>
      <c r="H20" s="15" t="inlineStr">
        <is>
          <t>Эксклюзивный представитель ООО «Нейрософт» на территории Москвы и Московской области, Республики Татарстан и Республики Башкортостан, представитель в Республике Дагестан.</t>
        </is>
      </c>
      <c r="I20" s="15" t="inlineStr">
        <is>
          <t>Системы мониторирования ЭЭГ; Нейрофизиологическое оборудование; Приборы и аппараты для офтальмодиагностики; Медицинская мебель; Физиотерапия и реабилитация; Ортопедия и травматология</t>
        </is>
      </c>
      <c r="J20" s="15" t="inlineStr">
        <is>
          <t>Дилер</t>
        </is>
      </c>
      <c r="K20" s="15" t="inlineStr">
        <is>
          <t>OK</t>
        </is>
      </c>
      <c r="L20" s="15" t="inlineStr">
        <is>
          <t>системы, оборудование, приборы, мебель и ортопедия</t>
        </is>
      </c>
      <c r="M20" s="15" t="inlineStr">
        <is>
          <t>Моснейро</t>
        </is>
      </c>
      <c r="N20" s="15" t="inlineStr">
        <is>
          <t>Здравоохранение-2025</t>
        </is>
      </c>
      <c r="O20" s="20" t="inlineStr">
        <is>
          <t>https://icatalog.expocentr.ru/ru/exhibitions/de590dc5-417d-11ee-80ce-a0d3c1fab97f</t>
        </is>
      </c>
    </row>
    <row r="21">
      <c r="A21" s="15" t="inlineStr">
        <is>
          <t>ИННОБИОСИСТЕМС, ООО</t>
        </is>
      </c>
      <c r="B21" s="15" t="inlineStr">
        <is>
          <t>8B125</t>
        </is>
      </c>
      <c r="C21" s="15" t="inlineStr">
        <is>
          <t>Россия</t>
        </is>
      </c>
      <c r="D21" s="15" t="inlineStr">
        <is>
          <t>Москва</t>
        </is>
      </c>
      <c r="E21" s="15" t="inlineStr">
        <is>
          <t>Россия, 117342, г. Москва, ул. Обручева, д. 52, стр. 3</t>
        </is>
      </c>
      <c r="F21" s="20" t="inlineStr">
        <is>
          <t>http://innobiosystems.com</t>
        </is>
      </c>
      <c r="G21" s="15" t="inlineStr">
        <is>
          <t>g.alekseev@innobiosystems.com</t>
        </is>
      </c>
      <c r="H21" s="15" t="inlineStr">
        <is>
          <t>«ИнноБиоСистемс» — это научно-исследовательский инжиниринговый центр, специализирующийся на разработке передовых технологий в области естественных наук. Мы создаем продукты, улучшающие качество жизни и окружающую среду.</t>
        </is>
      </c>
      <c r="I21" s="15" t="inlineStr">
        <is>
          <t>Прочие диагностические устройства; Приборы для измерения уровня глюкозы (глюкометры)</t>
        </is>
      </c>
      <c r="J21" s="15" t="inlineStr">
        <is>
          <t>Производитель</t>
        </is>
      </c>
      <c r="K21" s="15" t="inlineStr">
        <is>
          <t>OK</t>
        </is>
      </c>
      <c r="L21" s="15" t="inlineStr">
        <is>
          <t>диагностические устройства и глюкометры</t>
        </is>
      </c>
      <c r="M21" s="15" t="inlineStr">
        <is>
          <t>Иннобиосистемс</t>
        </is>
      </c>
      <c r="N21" s="15" t="inlineStr">
        <is>
          <t>Здравоохранение-2025</t>
        </is>
      </c>
      <c r="O21" s="20" t="inlineStr">
        <is>
          <t>https://icatalog.expocentr.ru/ru/exhibitions/de590dc5-417d-11ee-80ce-a0d3c1fab97f</t>
        </is>
      </c>
    </row>
    <row r="22">
      <c r="A22" s="15" t="inlineStr">
        <is>
          <t>НИМП ЕСН, ООО</t>
        </is>
      </c>
      <c r="B22" s="15" t="inlineStr">
        <is>
          <t>8A040</t>
        </is>
      </c>
      <c r="C22" s="15" t="inlineStr">
        <is>
          <t>Россия</t>
        </is>
      </c>
      <c r="D22" s="15" t="n"/>
      <c r="E22" s="15" t="inlineStr">
        <is>
          <t>Россия, 607188, Нижегородская обл., г. о. ЗАТО город Саров, Южное ш., д. 12, стр. 1</t>
        </is>
      </c>
      <c r="F22" s="20" t="inlineStr">
        <is>
          <t>http://www.miocard.ru</t>
        </is>
      </c>
      <c r="G22" s="15" t="inlineStr">
        <is>
          <t>esn@sar.info</t>
        </is>
      </c>
      <c r="H22" s="15" t="inlineStr">
        <is>
          <t>Производство оборудования для ЭКГ: суточных мониторов, компьютерных электрокардиографов, нагрузочных проб, телекардиографов, домашних кардиоанализаторов.</t>
        </is>
      </c>
      <c r="I22" s="15" t="inlineStr">
        <is>
          <t>Оборудование для мониторинга функций сердечно-сосудистой системы; Системы мониторирования ЭКГ и АД</t>
        </is>
      </c>
      <c r="J22" s="15" t="inlineStr">
        <is>
          <t>Производитель</t>
        </is>
      </c>
      <c r="K22" s="15" t="inlineStr">
        <is>
          <t>OK</t>
        </is>
      </c>
      <c r="L22" s="15" t="inlineStr">
        <is>
          <t>оборудование для ЭКГ, мониторы, электрокардиографы и кардиоанализаторы</t>
        </is>
      </c>
      <c r="M22" s="15" t="inlineStr">
        <is>
          <t>НИМП ЕСН</t>
        </is>
      </c>
      <c r="N22" s="15" t="inlineStr">
        <is>
          <t>Здравоохранение-2025</t>
        </is>
      </c>
      <c r="O22" s="20" t="inlineStr">
        <is>
          <t>https://icatalog.expocentr.ru/ru/exhibitions/de590dc5-417d-11ee-80ce-a0d3c1fab97f</t>
        </is>
      </c>
    </row>
    <row r="23">
      <c r="A23" s="15" t="inlineStr">
        <is>
          <t>FOCAL-SPOT</t>
        </is>
      </c>
      <c r="B23" s="15" t="inlineStr">
        <is>
          <t>8B115</t>
        </is>
      </c>
      <c r="C23" s="15" t="inlineStr">
        <is>
          <t>Россия</t>
        </is>
      </c>
      <c r="D23" s="15" t="inlineStr">
        <is>
          <t>Иваново</t>
        </is>
      </c>
      <c r="E23" s="15" t="inlineStr">
        <is>
          <t>Россия, 153000, г. Иваново, ул. Колотилова, д. 38, пом. 17001</t>
        </is>
      </c>
      <c r="F23" s="20" t="inlineStr">
        <is>
          <t>https://focal-spot.ru</t>
        </is>
      </c>
      <c r="G23" s="15" t="inlineStr">
        <is>
          <t>sales@focal-spot.ru</t>
        </is>
      </c>
      <c r="H23" s="15" t="inlineStr">
        <is>
          <t>Focal-spot — официальный поставщик рентгеновских излучателей для всего медицинского рентгеновского оборудования, компьютерных томографов, маммографов и др.Бренды Varex, IAE, Dunlee, IMD и другие.</t>
        </is>
      </c>
      <c r="I23" s="15" t="inlineStr">
        <is>
          <t>Рентгеновские диагностические установки, передвижные и стационарные; Системы оцифровки и хранения изображений; Компьютерные томографы; ПЭТ; Маммографы; Флюорографы</t>
        </is>
      </c>
      <c r="J23" s="15" t="inlineStr">
        <is>
          <t>Дилер</t>
        </is>
      </c>
      <c r="K23" s="15" t="inlineStr">
        <is>
          <t>OK</t>
        </is>
      </c>
      <c r="L23" s="15" t="inlineStr">
        <is>
          <t>излучатели, установки, томографы, маммографы и флюорографы</t>
        </is>
      </c>
      <c r="M23" s="15" t="inlineStr">
        <is>
          <t>Focal-Spot</t>
        </is>
      </c>
      <c r="N23" s="15" t="inlineStr">
        <is>
          <t>Здравоохранение-2025</t>
        </is>
      </c>
      <c r="O23" s="20" t="inlineStr">
        <is>
          <t>https://icatalog.expocentr.ru/ru/exhibitions/de590dc5-417d-11ee-80ce-a0d3c1fab97f</t>
        </is>
      </c>
    </row>
    <row r="24">
      <c r="A24" s="15" t="inlineStr">
        <is>
          <t>МРТ 10, ООО</t>
        </is>
      </c>
      <c r="B24" s="21" t="n">
        <v>8e+140</v>
      </c>
      <c r="C24" s="15" t="inlineStr">
        <is>
          <t>Россия</t>
        </is>
      </c>
      <c r="D24" s="15" t="inlineStr">
        <is>
          <t>Барнаул</t>
        </is>
      </c>
      <c r="E24" s="15" t="inlineStr">
        <is>
          <t>Россия, 656043, Алтайский край, г. Барнаул, ул. Партизанская, д. 103</t>
        </is>
      </c>
      <c r="F24" s="20" t="inlineStr">
        <is>
          <t>https://medcustoms.ru</t>
        </is>
      </c>
      <c r="G24" s="15" t="inlineStr">
        <is>
          <t>medcustoms@inbox.ru</t>
        </is>
      </c>
      <c r="H24" s="15" t="inlineStr">
        <is>
          <t>Предоставляем полный спектр услуг по подбору, доставке, таможенному оформлению, установке под ключ, обслуживанию магнитно-резонансных, компьютерных томографов и другого медицинского оборудования и запчастей со всего мира.</t>
        </is>
      </c>
      <c r="I24" s="15" t="inlineStr">
        <is>
          <t>Рентгеновские диагностические установки, передвижные и стационарные; Компьютерные томографы; Магнитно-резонансные томографы</t>
        </is>
      </c>
      <c r="J24" s="15" t="inlineStr">
        <is>
          <t>Поставщик услуг</t>
        </is>
      </c>
      <c r="K24" s="15" t="inlineStr">
        <is>
          <t>OK</t>
        </is>
      </c>
      <c r="L24" s="15" t="inlineStr">
        <is>
          <t>томографы, диагностические установки и запчасти</t>
        </is>
      </c>
      <c r="M24" s="15" t="inlineStr">
        <is>
          <t>Мрт 10</t>
        </is>
      </c>
      <c r="N24" s="15" t="inlineStr">
        <is>
          <t>Здравоохранение-2025</t>
        </is>
      </c>
      <c r="O24" s="20" t="inlineStr">
        <is>
          <t>https://icatalog.expocentr.ru/ru/exhibitions/de590dc5-417d-11ee-80ce-a0d3c1fab97f</t>
        </is>
      </c>
    </row>
    <row r="25">
      <c r="A25" s="15" t="inlineStr">
        <is>
          <t>МЕДСТРАТЕГИЯ, ООО</t>
        </is>
      </c>
      <c r="B25" s="15" t="inlineStr">
        <is>
          <t>8H110</t>
        </is>
      </c>
      <c r="C25" s="15" t="inlineStr">
        <is>
          <t>Россия</t>
        </is>
      </c>
      <c r="D25" s="15" t="inlineStr">
        <is>
          <t>Санкт-Петербург</t>
        </is>
      </c>
      <c r="E25" s="15" t="inlineStr">
        <is>
          <t>Россия, 195299, г. Санкт-Петербург, ул. Киришская, д. 2а, оф. 587-589</t>
        </is>
      </c>
      <c r="F25" s="20" t="inlineStr">
        <is>
          <t>http://medstrategy.ru</t>
        </is>
      </c>
      <c r="G25" s="15" t="inlineStr">
        <is>
          <t>sales@medstrategy.ru</t>
        </is>
      </c>
      <c r="H25" s="15" t="inlineStr">
        <is>
          <t>Российский разработчик медицинского оборудования под брендом CarePuz. Производство инновационных фетальных мониторов, бифазных дефибрилляторов-мониторов и систем пневмокомпрессии.</t>
        </is>
      </c>
      <c r="I25" s="15" t="inlineStr">
        <is>
          <t>Фетальные мониторы; Производство медицинских изделий; Дефибрилляторы</t>
        </is>
      </c>
      <c r="J25" s="15" t="inlineStr">
        <is>
          <t>Производитель</t>
        </is>
      </c>
      <c r="K25" s="15" t="inlineStr">
        <is>
          <t>OK</t>
        </is>
      </c>
      <c r="L25" s="15" t="inlineStr">
        <is>
          <t>мониторы, дефибрилляторы и системы</t>
        </is>
      </c>
      <c r="M25" s="15" t="inlineStr">
        <is>
          <t>Медстратегия</t>
        </is>
      </c>
      <c r="N25" s="15" t="inlineStr">
        <is>
          <t>Здравоохранение-2025</t>
        </is>
      </c>
      <c r="O25" s="20" t="inlineStr">
        <is>
          <t>https://icatalog.expocentr.ru/ru/exhibitions/de590dc5-417d-11ee-80ce-a0d3c1fab97f</t>
        </is>
      </c>
    </row>
    <row r="26">
      <c r="A26" s="15" t="inlineStr">
        <is>
          <t>АВАМЕДИКА СИСТЕМС, ООО</t>
        </is>
      </c>
      <c r="B26" s="15" t="inlineStr">
        <is>
          <t>8B060</t>
        </is>
      </c>
      <c r="C26" s="15" t="inlineStr">
        <is>
          <t>Россия</t>
        </is>
      </c>
      <c r="D26" s="15" t="inlineStr">
        <is>
          <t>Санкт-Петербург</t>
        </is>
      </c>
      <c r="E26" s="15" t="inlineStr">
        <is>
          <t>Россия, 197342, г. Санкт-Петербург, вн. тер. г. м. о. Ланское, ул. Новосибирская, д. 6, литера А, пом. 2-Н, оф. 4, раб. место 2</t>
        </is>
      </c>
      <c r="F26" s="20" t="inlineStr">
        <is>
          <t>https://avamedica.ru</t>
        </is>
      </c>
      <c r="G26" s="15" t="inlineStr">
        <is>
          <t>info@avamedica.ru</t>
        </is>
      </c>
      <c r="H26" s="15" t="inlineStr">
        <is>
          <t>Компания «Авамедика» предлагает высокотехнологичные и инновационные маммографы и рентген-аппараты от надежных мировых производителей, обеспечивая отличное соотношение цены и качества.</t>
        </is>
      </c>
      <c r="I26" s="15" t="inlineStr">
        <is>
          <t>Поставка медицинского оборудования и расходных материалов; Рентгеновские диагностические установки, передвижные и стационарные; Компьютерные томографы; Маммографы; Магнитно-резонансные томографы; Ультразвуковые сканеры и диагностические системы</t>
        </is>
      </c>
      <c r="J26" s="15" t="inlineStr">
        <is>
          <t>Дилер</t>
        </is>
      </c>
      <c r="K26" s="15" t="inlineStr">
        <is>
          <t>OK</t>
        </is>
      </c>
      <c r="L26" s="15" t="inlineStr">
        <is>
          <t>маммографы, рентген-аппараты, томографы и сканеры</t>
        </is>
      </c>
      <c r="M26" s="15" t="inlineStr">
        <is>
          <t>Авамедика Системс</t>
        </is>
      </c>
      <c r="N26" s="15" t="inlineStr">
        <is>
          <t>Здравоохранение-2025</t>
        </is>
      </c>
      <c r="O26" s="20" t="inlineStr">
        <is>
          <t>https://icatalog.expocentr.ru/ru/exhibitions/de590dc5-417d-11ee-80ce-a0d3c1fab97f</t>
        </is>
      </c>
    </row>
    <row r="27">
      <c r="A27" s="15" t="inlineStr">
        <is>
          <t>ИННОВАЦИИ В ВИЗУАЛИЗАЦИИ, ООО</t>
        </is>
      </c>
      <c r="B27" s="15" t="inlineStr">
        <is>
          <t>8C050</t>
        </is>
      </c>
      <c r="C27" s="15" t="inlineStr">
        <is>
          <t>Россия</t>
        </is>
      </c>
      <c r="D27" s="15" t="inlineStr">
        <is>
          <t>Зеленодольск</t>
        </is>
      </c>
      <c r="E27" s="15" t="inlineStr">
        <is>
          <t>Россия, 422527, Республика Татарстан, г. Зеленодольск, п/р промышленная площадка Зеленодольск, зд. 2, корп. 1, пом. С103</t>
        </is>
      </c>
      <c r="F27" s="20" t="inlineStr">
        <is>
          <t>http://www.sonorus.ru</t>
        </is>
      </c>
      <c r="G27" s="20" t="inlineStr">
        <is>
          <t>mail@info-sonic.ru</t>
        </is>
      </c>
      <c r="H27" s="15" t="inlineStr">
        <is>
          <t>Российский производитель медицинского оборудования «СОНОРУС», разработанного на базе новейших технологий. Новаторское решение в УЗД, включающее в себя УЗ-сканеры и автоматизированные рабочие станции врача УЗД.</t>
        </is>
      </c>
      <c r="I27" s="15" t="inlineStr">
        <is>
          <t>Диагностическое оборудование для гинекологии; Ультразвуковые сканеры и диагностические системы</t>
        </is>
      </c>
      <c r="J27" s="15" t="inlineStr">
        <is>
          <t>Производитель</t>
        </is>
      </c>
      <c r="K27" s="15" t="inlineStr">
        <is>
          <t>OK</t>
        </is>
      </c>
      <c r="L27" s="15" t="inlineStr">
        <is>
          <t>сканеры, рабочие станции и медицинское оборудование</t>
        </is>
      </c>
      <c r="M27" s="15" t="inlineStr">
        <is>
          <t>Инновации В Визуализации</t>
        </is>
      </c>
      <c r="N27" s="15" t="inlineStr">
        <is>
          <t>Здравоохранение-2025</t>
        </is>
      </c>
      <c r="O27" s="20" t="inlineStr">
        <is>
          <t>https://icatalog.expocentr.ru/ru/exhibitions/de590dc5-417d-11ee-80ce-a0d3c1fab97f</t>
        </is>
      </c>
    </row>
    <row r="28">
      <c r="A28" s="15" t="inlineStr">
        <is>
          <t>РМК, ООО</t>
        </is>
      </c>
      <c r="B28" s="15" t="inlineStr">
        <is>
          <t>8C055</t>
        </is>
      </c>
      <c r="C28" s="15" t="inlineStr">
        <is>
          <t>Россия</t>
        </is>
      </c>
      <c r="D28" s="15" t="inlineStr">
        <is>
          <t>Москва</t>
        </is>
      </c>
      <c r="E28" s="15" t="inlineStr">
        <is>
          <t>Россия, 111123, г. Москва, вн. тер. г. м. о. Перово, ул. Плеханова, д. 4а, пом. 3Л/26</t>
        </is>
      </c>
      <c r="F28" s="20" t="inlineStr">
        <is>
          <t>https://rusmedcompany.ru</t>
        </is>
      </c>
      <c r="G28" s="15" t="inlineStr">
        <is>
          <t>sales@rusmedcompany.ru</t>
        </is>
      </c>
      <c r="H28" s="15" t="inlineStr">
        <is>
          <t>ООО «Русская Медицинская Компания» — поставщик оборудования мировых брендов: Canon, Samsung, GE, Mindray, Philips, Olympus, Pentax, SinoVision по таким направлениям, как УЗИ, КТ, МРТ, эндоскопия. Лучшие цены и сервис.</t>
        </is>
      </c>
      <c r="I28" s="15" t="inlineStr">
        <is>
          <t>Приборы и аппараты для офтальмодиагностики; Рентгеновские диагностические установки, передвижные и стационарные; Компьютерные томографы; Маммографы; Магнитно-резонансные томографы; Ультразвуковые сканеры и диагностические системы; Эндоскопические комплексы и системы</t>
        </is>
      </c>
      <c r="J28" s="15" t="inlineStr">
        <is>
          <t>Дилер</t>
        </is>
      </c>
      <c r="K28" s="15" t="inlineStr">
        <is>
          <t>OK</t>
        </is>
      </c>
      <c r="L28" s="15" t="inlineStr">
        <is>
          <t>томографы, сканеры, маммографы, эндоскопические комплексы и приборы для офтальмодиагностики</t>
        </is>
      </c>
      <c r="M28" s="15" t="inlineStr">
        <is>
          <t>РМК</t>
        </is>
      </c>
      <c r="N28" s="15" t="inlineStr">
        <is>
          <t>Здравоохранение-2025</t>
        </is>
      </c>
      <c r="O28" s="20" t="inlineStr">
        <is>
          <t>https://icatalog.expocentr.ru/ru/exhibitions/de590dc5-417d-11ee-80ce-a0d3c1fab97f</t>
        </is>
      </c>
    </row>
    <row r="29">
      <c r="A29" s="15" t="inlineStr">
        <is>
          <t>МИЦАР, ООО</t>
        </is>
      </c>
      <c r="B29" s="15" t="inlineStr">
        <is>
          <t>8A050</t>
        </is>
      </c>
      <c r="C29" s="15" t="inlineStr">
        <is>
          <t>Россия</t>
        </is>
      </c>
      <c r="D29" s="15" t="inlineStr">
        <is>
          <t>Санкт-Петербург</t>
        </is>
      </c>
      <c r="E29" s="15" t="inlineStr">
        <is>
          <t>Россия, 197374, г. Санкт-Петербург, ул. Оптиков, д. 4, корп. 2, литера А, БЦ «ЛАХТА», оф. 406</t>
        </is>
      </c>
      <c r="F29" s="20" t="inlineStr">
        <is>
          <t>http://www.mitsar-eeg.ru</t>
        </is>
      </c>
      <c r="G29" s="15" t="inlineStr">
        <is>
          <t>info@mitsar-eeg.ru</t>
        </is>
      </c>
      <c r="H29" s="15" t="inlineStr">
        <is>
          <t>Оборудование для нейрофизиологии и нейроинжиниринга торговой марки «Мицар-ЭЭГ» — электроэнцефалографы, системы для видео-ЭЭГ и инвазивного ЭЭГ-мониторинга, амбулаторное ЭЭГ, носимые нейроинтерфейсы, БОС-тренажеры. ПО для регистрации и анализа ЭЭГ.</t>
        </is>
      </c>
      <c r="I29" s="15" t="inlineStr">
        <is>
          <t>Системы мониторирования ЭЭГ; Нейрофизиологическое оборудование</t>
        </is>
      </c>
      <c r="J29" s="15" t="inlineStr">
        <is>
          <t>Производитель</t>
        </is>
      </c>
      <c r="K29" s="15" t="inlineStr">
        <is>
          <t>OK</t>
        </is>
      </c>
      <c r="L29" s="15" t="inlineStr">
        <is>
          <t>электроэнцефалографы, нейроинтерфейсы и тренажеры</t>
        </is>
      </c>
      <c r="M29" s="15" t="inlineStr">
        <is>
          <t>Мицар</t>
        </is>
      </c>
      <c r="N29" s="15" t="inlineStr">
        <is>
          <t>Здравоохранение-2025</t>
        </is>
      </c>
      <c r="O29" s="20" t="inlineStr">
        <is>
          <t>https://icatalog.expocentr.ru/ru/exhibitions/de590dc5-417d-11ee-80ce-a0d3c1fab97f</t>
        </is>
      </c>
    </row>
    <row r="30">
      <c r="A30" s="15" t="inlineStr">
        <is>
          <t>МЕДИТЕК, АО</t>
        </is>
      </c>
      <c r="B30" s="15" t="inlineStr">
        <is>
          <t>8F115</t>
        </is>
      </c>
      <c r="C30" s="15" t="inlineStr">
        <is>
          <t>Россия</t>
        </is>
      </c>
      <c r="D30" s="15" t="inlineStr">
        <is>
          <t>Москва</t>
        </is>
      </c>
      <c r="E30" s="15" t="inlineStr">
        <is>
          <t>Россия, 125445, г. Москва, ул. Смольная, д. 52, стр. 6</t>
        </is>
      </c>
      <c r="F30" s="20" t="inlineStr">
        <is>
          <t>http://www.astrocard-meditek.ru</t>
        </is>
      </c>
      <c r="G30" s="15" t="inlineStr">
        <is>
          <t>shatalova@astrocard-meditek.ru</t>
        </is>
      </c>
      <c r="H30" s="15" t="inlineStr">
        <is>
          <t>Продукция АО «Медитек» — широкий спектр медицинского оборудования для кардиологии и функциональной диагностики Astrocard® («Астрокард®»).</t>
        </is>
      </c>
      <c r="I30" s="15" t="inlineStr">
        <is>
          <t>Оборудование для мониторинга функций сердечно-сосудистой системы; Приборы и принадлежности для кардиографических исследований; Системы мониторирования ЭКГ и АД; Прочие диагностические устройства</t>
        </is>
      </c>
      <c r="J30" s="15" t="inlineStr">
        <is>
          <t>Производитель</t>
        </is>
      </c>
      <c r="K30" s="15" t="inlineStr">
        <is>
          <t>OK</t>
        </is>
      </c>
      <c r="L30" s="15" t="inlineStr">
        <is>
          <t>медицинское оборудование, приборы и принадлежности, системы мониторирования, диагностические устройства</t>
        </is>
      </c>
      <c r="M30" s="15" t="inlineStr">
        <is>
          <t>Медитек</t>
        </is>
      </c>
      <c r="N30" s="15" t="inlineStr">
        <is>
          <t>Здравоохранение-2025</t>
        </is>
      </c>
      <c r="O30" s="20" t="inlineStr">
        <is>
          <t>https://icatalog.expocentr.ru/ru/exhibitions/de590dc5-417d-11ee-80ce-a0d3c1fab97f</t>
        </is>
      </c>
    </row>
    <row r="31">
      <c r="A31" s="15" t="inlineStr">
        <is>
          <t>СПЕКТРУМ, ООО</t>
        </is>
      </c>
      <c r="B31" s="21" t="n">
        <v>8e+142</v>
      </c>
      <c r="C31" s="15" t="inlineStr">
        <is>
          <t>Россия</t>
        </is>
      </c>
      <c r="D31" s="15" t="inlineStr">
        <is>
          <t>Москва</t>
        </is>
      </c>
      <c r="E31" s="15" t="inlineStr">
        <is>
          <t>Россия, 127422, г. Москва, ул. Тимирязевская, д. 1, стр. 2</t>
        </is>
      </c>
      <c r="F31" s="20" t="inlineStr">
        <is>
          <t>http://www.spectrumllc.org</t>
        </is>
      </c>
      <c r="G31" s="15" t="inlineStr">
        <is>
          <t>spectrumllc@yandex.ru</t>
        </is>
      </c>
      <c r="H31" s="15" t="inlineStr">
        <is>
          <t>ООО «Спектрум» — дистрибьютор компаний Paxman Coolers Ltd (аппараты PSCS для профилактики алопеции при химиотерапии) и PPS LLC (системы матраса PPS Glide для бокового перемещения пациентов).</t>
        </is>
      </c>
      <c r="I31" s="15" t="inlineStr">
        <is>
          <t>Медицинская мебель; Оборудование для лечения онкологических заболеваний; Средства перевозки (перемещения) пациентов, оборудования и материалов; Физиотерапия и реабилитация; Онкология; Принадлежности и расходные материалы для реанимации и экстренной помощи</t>
        </is>
      </c>
      <c r="J31" s="15" t="inlineStr">
        <is>
          <t>Дилер</t>
        </is>
      </c>
      <c r="K31" s="15" t="inlineStr">
        <is>
          <t>OK</t>
        </is>
      </c>
      <c r="L31" s="15" t="inlineStr">
        <is>
          <t>медицинское оборудование и средства перевозки</t>
        </is>
      </c>
      <c r="M31" s="15" t="inlineStr">
        <is>
          <t>Спектрум</t>
        </is>
      </c>
      <c r="N31" s="15" t="inlineStr">
        <is>
          <t>Здравоохранение-2025</t>
        </is>
      </c>
      <c r="O31" s="20" t="inlineStr">
        <is>
          <t>https://icatalog.expocentr.ru/ru/exhibitions/de590dc5-417d-11ee-80ce-a0d3c1fab97f</t>
        </is>
      </c>
    </row>
    <row r="32">
      <c r="A32" s="15" t="inlineStr">
        <is>
          <t>ЗАСЛОН, АО</t>
        </is>
      </c>
      <c r="B32" s="15" t="inlineStr">
        <is>
          <t>8C040</t>
        </is>
      </c>
      <c r="C32" s="15" t="inlineStr">
        <is>
          <t>Россия</t>
        </is>
      </c>
      <c r="D32" s="15" t="inlineStr">
        <is>
          <t>Санкт-Петербург</t>
        </is>
      </c>
      <c r="E32" s="15" t="inlineStr">
        <is>
          <t>Россия, 196006, г. Санкт-Петербург, ул. Коли Томчака, д. 9, литера Н</t>
        </is>
      </c>
      <c r="F32" s="20" t="inlineStr">
        <is>
          <t>http://zaslon.ru</t>
        </is>
      </c>
      <c r="G32" s="15" t="inlineStr">
        <is>
          <t>info@onegroup.ru</t>
        </is>
      </c>
      <c r="H32" s="15" t="inlineStr">
        <is>
          <t>АО «ЗАСЛОН» — российская частная инженерная компания, разработчик и производитель медицинского диагностического оборудования, СВЧ-схем, комплексных систем автоматизированного управления, ПО и др.</t>
        </is>
      </c>
      <c r="I32" s="15" t="inlineStr">
        <is>
          <t>Прочие диагностические устройства; Ультразвуковые сканеры и диагностические системы</t>
        </is>
      </c>
      <c r="J32" s="15" t="inlineStr">
        <is>
          <t>Производитель</t>
        </is>
      </c>
      <c r="K32" s="15" t="inlineStr">
        <is>
          <t>OK</t>
        </is>
      </c>
      <c r="L32" s="15" t="inlineStr">
        <is>
          <t>диагностическое оборудование, СВЧ-схемы и системы управления</t>
        </is>
      </c>
      <c r="M32" s="15" t="inlineStr">
        <is>
          <t>Заслон</t>
        </is>
      </c>
      <c r="N32" s="15" t="inlineStr">
        <is>
          <t>Здравоохранение-2025</t>
        </is>
      </c>
      <c r="O32" s="20" t="inlineStr">
        <is>
          <t>https://icatalog.expocentr.ru/ru/exhibitions/de590dc5-417d-11ee-80ce-a0d3c1fab97f</t>
        </is>
      </c>
    </row>
    <row r="33">
      <c r="A33" s="15" t="inlineStr">
        <is>
          <t>ДМ-ГРУПП, ООО</t>
        </is>
      </c>
      <c r="B33" s="15" t="inlineStr">
        <is>
          <t>8C095</t>
        </is>
      </c>
      <c r="C33" s="15" t="inlineStr">
        <is>
          <t>Россия</t>
        </is>
      </c>
      <c r="D33" s="15" t="inlineStr">
        <is>
          <t>Москва</t>
        </is>
      </c>
      <c r="E33" s="15" t="inlineStr">
        <is>
          <t>Россия, 117041, г. Москва, ул. Адмирала Руднева, д. 4, этаж 6, пом. 6, оф. 1Д</t>
        </is>
      </c>
      <c r="F33" s="20" t="inlineStr">
        <is>
          <t>http://dm-group.org</t>
        </is>
      </c>
      <c r="G33" s="15" t="inlineStr">
        <is>
          <t>info@dm-group.org</t>
        </is>
      </c>
      <c r="H33" s="15" t="inlineStr">
        <is>
          <t>20 лет опыта работы на медицинском рынке, более 1000 успешных поставок — от нескольких единиц техники до комплексного оснащения лечебных учреждений по всей России. Эффективное оборудование для вас!</t>
        </is>
      </c>
      <c r="I33" s="15" t="inlineStr">
        <is>
          <t>Диагностическое оборудование для гинекологии; Ультразвуковые сканеры и диагностические системы; Эндоскопы жесткие; Эндоскопы гибкие; Инструменты и принадлежности для эндоскопии</t>
        </is>
      </c>
      <c r="J33" s="15" t="inlineStr">
        <is>
          <t>Дилер</t>
        </is>
      </c>
      <c r="K33" s="15" t="inlineStr">
        <is>
          <t>OK</t>
        </is>
      </c>
      <c r="L33" s="15" t="inlineStr">
        <is>
          <t>оборудование, сканеры, эндоскопы и инструменты</t>
        </is>
      </c>
      <c r="M33" s="15" t="inlineStr">
        <is>
          <t>Дм-Групп</t>
        </is>
      </c>
      <c r="N33" s="15" t="inlineStr">
        <is>
          <t>Здравоохранение-2025</t>
        </is>
      </c>
      <c r="O33" s="20" t="inlineStr">
        <is>
          <t>https://icatalog.expocentr.ru/ru/exhibitions/de590dc5-417d-11ee-80ce-a0d3c1fab97f</t>
        </is>
      </c>
    </row>
    <row r="34">
      <c r="A34" s="15" t="inlineStr">
        <is>
          <t>СКАНЕР НПО, АО</t>
        </is>
      </c>
      <c r="B34" s="15" t="inlineStr">
        <is>
          <t>8G030,    8G050,   8G070</t>
        </is>
      </c>
      <c r="C34" s="15" t="inlineStr">
        <is>
          <t>Россия</t>
        </is>
      </c>
      <c r="D34" s="15" t="inlineStr">
        <is>
          <t>Москва</t>
        </is>
      </c>
      <c r="E34" s="15" t="inlineStr">
        <is>
          <t>Россия, 109316, г. Москва, Волгоградский просп., д. 42, корп. 24</t>
        </is>
      </c>
      <c r="F34" s="20" t="inlineStr">
        <is>
          <t>http://www.medscanner.ru</t>
        </is>
      </c>
      <c r="G34" s="15" t="inlineStr">
        <is>
          <t>info@medscanner.ru</t>
        </is>
      </c>
      <c r="H34" s="15" t="inlineStr">
        <is>
          <t>Научно-производственное объединение «СКАНЕР» – один из ведущих российских разработчиков и производителей медицинских ультразвуковых диагностических систем.</t>
        </is>
      </c>
      <c r="I34" s="15" t="inlineStr">
        <is>
          <t>Ультразвуковые сканеры и диагностические системы</t>
        </is>
      </c>
      <c r="J34" s="15" t="inlineStr">
        <is>
          <t>Производитель</t>
        </is>
      </c>
      <c r="K34" s="15" t="inlineStr">
        <is>
          <t>OK</t>
        </is>
      </c>
      <c r="L34" s="15" t="inlineStr">
        <is>
          <t>ультразвуковые сканеры и диагностические системы</t>
        </is>
      </c>
      <c r="M34" s="15" t="inlineStr">
        <is>
          <t>Сканер НПО</t>
        </is>
      </c>
      <c r="N34" s="15" t="inlineStr">
        <is>
          <t>Здравоохранение-2025</t>
        </is>
      </c>
      <c r="O34" s="20" t="inlineStr">
        <is>
          <t>https://icatalog.expocentr.ru/ru/exhibitions/de590dc5-417d-11ee-80ce-a0d3c1fab97f</t>
        </is>
      </c>
    </row>
    <row r="35">
      <c r="A35" s="15" t="inlineStr">
        <is>
          <t>ФРАНОМ ТРЕЙД, ООО</t>
        </is>
      </c>
      <c r="B35" s="15" t="inlineStr">
        <is>
          <t>8A065</t>
        </is>
      </c>
      <c r="C35" s="15" t="inlineStr">
        <is>
          <t>Россия</t>
        </is>
      </c>
      <c r="D35" s="15" t="inlineStr">
        <is>
          <t>Электросталь</t>
        </is>
      </c>
      <c r="E35" s="15" t="inlineStr">
        <is>
          <t>Россия, 144000, Московская обл., г. Электросталь, ул. Красная, д. 14а, пом. 5</t>
        </is>
      </c>
      <c r="F35" s="20" t="inlineStr">
        <is>
          <t>https://franom.ru</t>
        </is>
      </c>
      <c r="G35" s="15" t="inlineStr">
        <is>
          <t>sales@franom.ru</t>
        </is>
      </c>
      <c r="H35" s="15" t="inlineStr">
        <is>
          <t>ООО «ФРАНОМ ТРЕЙД» — поставщик нового и б/у медоборудования. Комплексное оснащение клиник и подбор решений под ваш бюджет. Весь спектр услуг — от консультации до монтажа. Лицензия, гибкие условия и гарантии.</t>
        </is>
      </c>
      <c r="I35" s="15" t="inlineStr">
        <is>
          <t>Рентгеновские диагностические установки, передвижные и стационарные; Компьютерные томографы; Маммографы; Флюорографы; Магнитно-резонансные томографы; Ультразвуковые сканеры и диагностические системы</t>
        </is>
      </c>
      <c r="J35" s="15" t="inlineStr">
        <is>
          <t>Дилер</t>
        </is>
      </c>
      <c r="K35" s="15" t="inlineStr">
        <is>
          <t>OK</t>
        </is>
      </c>
      <c r="L35" s="15" t="inlineStr">
        <is>
          <t>медоборудование, томографы, маммографы и сканеры</t>
        </is>
      </c>
      <c r="M35" s="15" t="inlineStr">
        <is>
          <t>Франом Трейд</t>
        </is>
      </c>
      <c r="N35" s="15" t="inlineStr">
        <is>
          <t>Здравоохранение-2025</t>
        </is>
      </c>
      <c r="O35" s="20" t="inlineStr">
        <is>
          <t>https://icatalog.expocentr.ru/ru/exhibitions/de590dc5-417d-11ee-80ce-a0d3c1fab97f</t>
        </is>
      </c>
    </row>
    <row r="36">
      <c r="A36" s="15" t="inlineStr">
        <is>
          <t>САНТЕ МЕДИКАЛ СИСТЕМС, АО</t>
        </is>
      </c>
      <c r="B36" s="15" t="inlineStr">
        <is>
          <t>8C030</t>
        </is>
      </c>
      <c r="C36" s="15" t="inlineStr">
        <is>
          <t>Россия</t>
        </is>
      </c>
      <c r="D36" s="15" t="inlineStr">
        <is>
          <t>Москва</t>
        </is>
      </c>
      <c r="E36" s="15" t="inlineStr">
        <is>
          <t>Россия, 127015, г. Москва, ул. Новодмитровская, д. 2, корп. 1, этаж 14, пом. XCII, комн. 32</t>
        </is>
      </c>
      <c r="F36" s="20" t="inlineStr">
        <is>
          <t>http://www.sante.ru</t>
        </is>
      </c>
      <c r="G36" s="15" t="inlineStr">
        <is>
          <t>info@sante.ru</t>
        </is>
      </c>
      <c r="H36" s="15" t="inlineStr">
        <is>
          <t>Официальный дистрибьютор медицинского оборудования для введения контрастного вещества, лучевой диагностики, оториноларингологии, артроскопии, нейрохирургии, неонатологии, анестезиологии и реанимации.</t>
        </is>
      </c>
      <c r="I36" s="15" t="inlineStr">
        <is>
          <t>Рентгеновские диагностические установки, передвижные и стационарные; Отоскопы и лор-инструменты; Эндоскопы жесткие; Мониторы пациента; Наркозно-дыхательные аппараты; Хирургическое оборудование; Хирургические инструменты</t>
        </is>
      </c>
      <c r="J36" s="15" t="inlineStr">
        <is>
          <t>Дилер</t>
        </is>
      </c>
      <c r="K36" s="15" t="inlineStr">
        <is>
          <t>OK</t>
        </is>
      </c>
      <c r="L36" s="15" t="inlineStr">
        <is>
          <t>медицинское оборудование, эндоскопы, наркозно-дыхательные аппараты, хирургические инструменты</t>
        </is>
      </c>
      <c r="M36" s="15" t="inlineStr">
        <is>
          <t>Санте Медикал Системс</t>
        </is>
      </c>
      <c r="N36" s="15" t="inlineStr">
        <is>
          <t>Здравоохранение-2025</t>
        </is>
      </c>
      <c r="O36" s="20" t="inlineStr">
        <is>
          <t>https://icatalog.expocentr.ru/ru/exhibitions/de590dc5-417d-11ee-80ce-a0d3c1fab97f</t>
        </is>
      </c>
    </row>
    <row r="37">
      <c r="A37" s="15" t="inlineStr">
        <is>
          <t>ПРЕМИУМ ЭСТЕТИКС</t>
        </is>
      </c>
      <c r="B37" s="15" t="inlineStr">
        <is>
          <t>8F130</t>
        </is>
      </c>
      <c r="C37" s="15" t="inlineStr">
        <is>
          <t>Россия</t>
        </is>
      </c>
      <c r="D37" s="15" t="inlineStr">
        <is>
          <t>Москва</t>
        </is>
      </c>
      <c r="E37" s="15" t="inlineStr">
        <is>
          <t>Россия, 123154, г. Москва, просп. Маршала Жукова, д. 51</t>
        </is>
      </c>
      <c r="F37" s="20" t="inlineStr">
        <is>
          <t>https://www.premium-a.ru</t>
        </is>
      </c>
      <c r="G37" s="15" t="inlineStr">
        <is>
          <t>info@premium-a.ru</t>
        </is>
      </c>
      <c r="H37" s="15" t="inlineStr">
        <is>
          <t>Premium Aesthetics — лидер в области медицинской диагностики, предлагающий решения для дерматологии: от 3D-визуализации кожи Antera 3D, ИИ-систем FotoFinder до портативных дерматоскопов DermLite и Skeen. Разработанный компанией онлайн-сервис «Меланоме — НЕТ» для раннего выявления меланомы и ЗНОК объединяет приложение, цифровой дерматоскоп и ИИ-алгоритмы для более точной и быстрой диагностики.</t>
        </is>
      </c>
      <c r="I37" s="15" t="inlineStr">
        <is>
          <t>Ультразвуковые сканеры и диагностические системы; Дерматоскопы; Оборудование для фототерапии; Оборудование для лазерной терапии; Косметические препараты; Оборудование для эстетической медицины</t>
        </is>
      </c>
      <c r="J37" s="15" t="inlineStr">
        <is>
          <t>Производитель</t>
        </is>
      </c>
      <c r="K37" s="15" t="inlineStr">
        <is>
          <t>OK</t>
        </is>
      </c>
      <c r="L37" s="15" t="inlineStr">
        <is>
          <t>ультразвуковые сканеры, дерматоскопы, оборудование для фототерапии, оборудование для лазерной терапии и косметические препараты</t>
        </is>
      </c>
      <c r="M37" s="15" t="inlineStr">
        <is>
          <t>Премиум Эстетикс</t>
        </is>
      </c>
      <c r="N37" s="15" t="inlineStr">
        <is>
          <t>Здравоохранение-2025</t>
        </is>
      </c>
      <c r="O37" s="20" t="inlineStr">
        <is>
          <t>https://icatalog.expocentr.ru/ru/exhibitions/de590dc5-417d-11ee-80ce-a0d3c1fab97f</t>
        </is>
      </c>
    </row>
    <row r="38">
      <c r="A38" s="15" t="inlineStr">
        <is>
          <t>С.Е.Д.-СПб, АО</t>
        </is>
      </c>
      <c r="B38" s="15" t="inlineStr">
        <is>
          <t>8H070</t>
        </is>
      </c>
      <c r="C38" s="15" t="inlineStr">
        <is>
          <t>Россия</t>
        </is>
      </c>
      <c r="D38" s="15" t="inlineStr">
        <is>
          <t>Санкт-Петербург</t>
        </is>
      </c>
      <c r="E38" s="15" t="inlineStr">
        <is>
          <t>Россия, 194156, г. Санкт-Петербург, просп. Энгельса, д. 27, литера ВМ, пом. 1Н</t>
        </is>
      </c>
      <c r="F38" s="20" t="inlineStr">
        <is>
          <t>http://rg.sedspb.ru</t>
        </is>
      </c>
      <c r="G38" s="15" t="inlineStr">
        <is>
          <t>sedspb@sedspb.ru</t>
        </is>
      </c>
      <c r="H38" s="15" t="inlineStr">
        <is>
          <t>АО «С.Е.Д.-СПб» — российский производитель рентгеновских излучателей для рентгенодиагностических и маммографических аппаратов на базе отечественных рентгеновских трубок производства «Светлана-Рентген».</t>
        </is>
      </c>
      <c r="I38" s="15" t="inlineStr">
        <is>
          <t>Производство медицинских изделий; Комплектующие для производства медицинских изделий; Рентгеновские диагностические установки, передвижные и стационарные; Компьютерные томографы; Маммографы; Флюорографы</t>
        </is>
      </c>
      <c r="J38" s="15" t="inlineStr">
        <is>
          <t>Производитель</t>
        </is>
      </c>
      <c r="K38" s="15" t="inlineStr">
        <is>
          <t>OK</t>
        </is>
      </c>
      <c r="L38" s="15" t="inlineStr">
        <is>
          <t>рентгеновские излучатели, комплектующие и томографы</t>
        </is>
      </c>
      <c r="M38" s="15" t="inlineStr">
        <is>
          <t>С.Е.Д.-СПб</t>
        </is>
      </c>
      <c r="N38" s="15" t="inlineStr">
        <is>
          <t>Здравоохранение-2025</t>
        </is>
      </c>
      <c r="O38" s="20" t="inlineStr">
        <is>
          <t>https://icatalog.expocentr.ru/ru/exhibitions/de590dc5-417d-11ee-80ce-a0d3c1fab97f</t>
        </is>
      </c>
    </row>
    <row r="39">
      <c r="A39" s="15" t="inlineStr">
        <is>
          <t>АКТИВ МЕДИКА, ООО</t>
        </is>
      </c>
      <c r="B39" s="15" t="inlineStr">
        <is>
          <t>8D134</t>
        </is>
      </c>
      <c r="C39" s="15" t="inlineStr">
        <is>
          <t>Россия</t>
        </is>
      </c>
      <c r="D39" s="15" t="inlineStr">
        <is>
          <t>Санкт-Петербург</t>
        </is>
      </c>
      <c r="E39" s="15" t="inlineStr">
        <is>
          <t>Россия, 197374, г. Санкт-Петербург, ул. Мебельная, д. 12, корп. 1, литера А, пом. 46-Н № 7, оф. 533</t>
        </is>
      </c>
      <c r="F39" s="20" t="inlineStr">
        <is>
          <t>https://activ-medica.ru</t>
        </is>
      </c>
      <c r="G39" s="15" t="inlineStr">
        <is>
          <t>office@activ-medica.ru</t>
        </is>
      </c>
      <c r="H39" s="15" t="inlineStr">
        <is>
          <t>«АКТИВ медика» — поставщик высокотехнологичного медицинского оборудования, официальный дистрибьютор Hamilton Medical AG, medin Medical Innovations GmbH, а также других лидеров рынка медицинской техники.</t>
        </is>
      </c>
      <c r="I39" s="15" t="inlineStr">
        <is>
          <t>Аппараты для искусственной вентиляции легких; Мониторы пациента; Наркозно-дыхательные аппараты; Комплекты реанимационного оборудования; Устройства для энтерального питания; Принадлежности и расходные материалы для реанимации и экстренной помощи</t>
        </is>
      </c>
      <c r="J39" s="15" t="inlineStr">
        <is>
          <t>Дилер</t>
        </is>
      </c>
      <c r="K39" s="15" t="inlineStr">
        <is>
          <t>OK</t>
        </is>
      </c>
      <c r="L39" s="15" t="inlineStr">
        <is>
          <t>медицинское оборудование, мониторы пациента, наркозно-дыхательные аппараты, комплекты реанимационного оборудования и расходные материалы</t>
        </is>
      </c>
      <c r="M39" s="15" t="inlineStr">
        <is>
          <t>Актив Медика</t>
        </is>
      </c>
      <c r="N39" s="15" t="inlineStr">
        <is>
          <t>Здравоохранение-2025</t>
        </is>
      </c>
      <c r="O39" s="20" t="inlineStr">
        <is>
          <t>https://icatalog.expocentr.ru/ru/exhibitions/de590dc5-417d-11ee-80ce-a0d3c1fab97f</t>
        </is>
      </c>
    </row>
    <row r="40">
      <c r="A40" s="15" t="inlineStr">
        <is>
          <t>ЗЕРЦ</t>
        </is>
      </c>
      <c r="B40" s="15" t="inlineStr">
        <is>
          <t>8H090</t>
        </is>
      </c>
      <c r="C40" s="15" t="inlineStr">
        <is>
          <t>Россия</t>
        </is>
      </c>
      <c r="D40" s="15" t="n"/>
      <c r="E40" s="15" t="inlineStr">
        <is>
          <t>Россия</t>
        </is>
      </c>
      <c r="F40" s="20" t="inlineStr">
        <is>
          <t>http://zerts.ru</t>
        </is>
      </c>
      <c r="G40" s="15" t="inlineStr">
        <is>
          <t>zerts@zerts.ru</t>
        </is>
      </c>
      <c r="H40" s="15" t="inlineStr">
        <is>
          <t>Компания ZERTS – российский производитель медицинского оборудования и мебели под собственной торговой маркой, основана в 2007 году. Производство ZERTS находится в г. Сергиев Посад Московской области.</t>
        </is>
      </c>
      <c r="I40" s="15" t="inlineStr">
        <is>
          <t>Мебель для гинекологии и акушерства; Гинекологические кресла; Родовые кровати; Медицинская мебель; Кушетки медицинские; Отоскопы и лор-инструменты</t>
        </is>
      </c>
      <c r="J40" s="15" t="inlineStr">
        <is>
          <t>Производитель</t>
        </is>
      </c>
      <c r="K40" s="15" t="inlineStr">
        <is>
          <t>OK</t>
        </is>
      </c>
      <c r="L40" s="15" t="inlineStr">
        <is>
          <t>медицинское оборудование, медицинская мебель и лор-инструменты</t>
        </is>
      </c>
      <c r="M40" s="15" t="inlineStr">
        <is>
          <t>ЗЕРЦ</t>
        </is>
      </c>
      <c r="N40" s="15" t="inlineStr">
        <is>
          <t>Здравоохранение-2025</t>
        </is>
      </c>
      <c r="O40" s="20" t="inlineStr">
        <is>
          <t>https://icatalog.expocentr.ru/ru/exhibitions/de590dc5-417d-11ee-80ce-a0d3c1fab97f</t>
        </is>
      </c>
    </row>
    <row r="41">
      <c r="A41" s="15" t="inlineStr">
        <is>
          <t>ТАКО ЛАЙН, ООО</t>
        </is>
      </c>
      <c r="B41" s="15" t="inlineStr">
        <is>
          <t>8G118</t>
        </is>
      </c>
      <c r="C41" s="15" t="inlineStr">
        <is>
          <t>Россия</t>
        </is>
      </c>
      <c r="D41" s="15" t="inlineStr">
        <is>
          <t>Москва</t>
        </is>
      </c>
      <c r="E41" s="15" t="inlineStr">
        <is>
          <t>Россия, 115184, г. Москва, Озерковская наб., д. 26, стр. 1</t>
        </is>
      </c>
      <c r="F41" s="20" t="inlineStr">
        <is>
          <t>http://www.tako-line.ru</t>
        </is>
      </c>
      <c r="G41" s="15" t="inlineStr">
        <is>
          <t>alexandr@tako-line.ru</t>
        </is>
      </c>
      <c r="H41" s="15" t="inlineStr">
        <is>
          <t>ООО «ТАКО Лайн» — проектно-производственная компания, которая на протяжении уже более 20 лет успешно занимается изготовлением и поставкой источников медицинских газов, разработкой и производством установок любой сложности по техническому заданию заказчика.</t>
        </is>
      </c>
      <c r="I41" s="15" t="inlineStr">
        <is>
          <t>Оборудование для медицинских газов</t>
        </is>
      </c>
      <c r="J41" s="15" t="inlineStr">
        <is>
          <t>Производитель</t>
        </is>
      </c>
      <c r="K41" s="15" t="inlineStr">
        <is>
          <t>OK</t>
        </is>
      </c>
      <c r="L41" s="15" t="inlineStr">
        <is>
          <t>источники газов и установки</t>
        </is>
      </c>
      <c r="M41" s="15" t="inlineStr">
        <is>
          <t>Тако Лайн</t>
        </is>
      </c>
      <c r="N41" s="15" t="inlineStr">
        <is>
          <t>Здравоохранение-2025</t>
        </is>
      </c>
      <c r="O41" s="20" t="inlineStr">
        <is>
          <t>https://icatalog.expocentr.ru/ru/exhibitions/de590dc5-417d-11ee-80ce-a0d3c1fab97f</t>
        </is>
      </c>
    </row>
    <row r="42">
      <c r="A42" s="15" t="inlineStr">
        <is>
          <t>АктюбРентген, ООО</t>
        </is>
      </c>
      <c r="B42" s="21" t="n">
        <v>8.000000000000001e+70</v>
      </c>
      <c r="C42" s="15" t="inlineStr">
        <is>
          <t>Россия</t>
        </is>
      </c>
      <c r="D42" s="15" t="inlineStr">
        <is>
          <t>Москва</t>
        </is>
      </c>
      <c r="E42" s="15" t="inlineStr">
        <is>
          <t>Россия, 117279, г. Москва, ул. Миклухо-Маклая, д. 34</t>
        </is>
      </c>
      <c r="F42" s="20" t="inlineStr">
        <is>
          <t>http://www.aktubrentgen.ru</t>
        </is>
      </c>
      <c r="G42" s="15" t="inlineStr">
        <is>
          <t>predaktobe@gmail.com</t>
        </is>
      </c>
      <c r="H42" s="15" t="inlineStr">
        <is>
          <t>ООО «АктюбРентген» совместно с партнером, компанией «Форматек», занимаются продажей медицинского оборудования и средств радиационной защиты.</t>
        </is>
      </c>
      <c r="I42" s="15" t="inlineStr">
        <is>
          <t>Вспомогательное оборудование; Маммографы; Флюорографы</t>
        </is>
      </c>
      <c r="J42" s="15" t="inlineStr">
        <is>
          <t>Дилер</t>
        </is>
      </c>
      <c r="K42" s="15" t="inlineStr">
        <is>
          <t>OK</t>
        </is>
      </c>
      <c r="L42" s="15" t="inlineStr">
        <is>
          <t>маммографы, флюорографы и средства защиты</t>
        </is>
      </c>
      <c r="M42" s="15" t="inlineStr">
        <is>
          <t>Актюбрeнтген</t>
        </is>
      </c>
      <c r="N42" s="15" t="inlineStr">
        <is>
          <t>Здравоохранение-2025</t>
        </is>
      </c>
      <c r="O42" s="20" t="inlineStr">
        <is>
          <t>https://icatalog.expocentr.ru/ru/exhibitions/de590dc5-417d-11ee-80ce-a0d3c1fab97f</t>
        </is>
      </c>
    </row>
    <row r="43">
      <c r="A43" s="15" t="inlineStr">
        <is>
          <t>ИНФОМЕД-НЕЙРО, ООО</t>
        </is>
      </c>
      <c r="B43" s="15" t="inlineStr">
        <is>
          <t>8D110</t>
        </is>
      </c>
      <c r="C43" s="15" t="inlineStr">
        <is>
          <t>Россия</t>
        </is>
      </c>
      <c r="D43" s="15" t="inlineStr">
        <is>
          <t>Москва</t>
        </is>
      </c>
      <c r="E43" s="15" t="inlineStr">
        <is>
          <t>Россия, 125445, г. Москва, Ленинградское ш., д. 69, корп. 1, пом. I</t>
        </is>
      </c>
      <c r="F43" s="15" t="inlineStr">
        <is>
          <t>https://инфомед-нейро.рф</t>
        </is>
      </c>
      <c r="G43" s="15" t="inlineStr">
        <is>
          <t>sales@im-neuro.ru</t>
        </is>
      </c>
      <c r="H43" s="15" t="inlineStr">
        <is>
          <t>Компания «Инфомед-Нейро» более 15 лет поставляет на российский рынок медицинское оборудование и расходные материалы напрямую от производителей США, Европы, Южной Кореи. В портфеле компании представлены решения для физиотерапии, реабилитации, электромиографии, электроэнцефалографии, ботулинотерапии, нейрохирургии, косметологии.</t>
        </is>
      </c>
      <c r="I43" s="15" t="inlineStr">
        <is>
          <t>Физиотерапия и реабилитация; Оборудование для ударно-волновой терапии; Оборудование для термотерапии; Оборудование для магнитотерапии; Оборудование для лазерной терапии; Оборудование для комбинированной физиотерапии; Оборудование для криотерапии; Оборудование для радиоволновой и ультразвуковой терапии; Оборудование для эстетической медицины; Технологии, оборудование и расходные материалы для спа и велнес; Закаливание; Средства и методы борьбы с наркоманией, алкоголизмом и табакокурением</t>
        </is>
      </c>
      <c r="J43" s="15" t="inlineStr">
        <is>
          <t>Дилер</t>
        </is>
      </c>
      <c r="K43" s="15" t="inlineStr">
        <is>
          <t>OK</t>
        </is>
      </c>
      <c r="L43" s="15" t="inlineStr">
        <is>
          <t>медицинское оборудование, расходные материалы и решения</t>
        </is>
      </c>
      <c r="M43" s="15" t="inlineStr">
        <is>
          <t>Инфомед-Нейро</t>
        </is>
      </c>
      <c r="N43" s="15" t="inlineStr">
        <is>
          <t>Здравоохранение-2025</t>
        </is>
      </c>
      <c r="O43" s="20" t="inlineStr">
        <is>
          <t>https://icatalog.expocentr.ru/ru/exhibitions/de590dc5-417d-11ee-80ce-a0d3c1fab97f</t>
        </is>
      </c>
    </row>
    <row r="44">
      <c r="A44" s="15" t="inlineStr">
        <is>
          <t>ДИАЛОГ, ООО</t>
        </is>
      </c>
      <c r="B44" s="15" t="inlineStr">
        <is>
          <t>8B002</t>
        </is>
      </c>
      <c r="C44" s="15" t="inlineStr">
        <is>
          <t>Россия</t>
        </is>
      </c>
      <c r="D44" s="15" t="inlineStr">
        <is>
          <t>Москва</t>
        </is>
      </c>
      <c r="E44" s="15" t="inlineStr">
        <is>
          <t>Россия, 125438, г. Москва, ул. Михалковская, д. 63Б, стр. 4, пом. 9/2</t>
        </is>
      </c>
      <c r="F44" s="20" t="inlineStr">
        <is>
          <t>http://www.heine-opto.ru</t>
        </is>
      </c>
      <c r="G44" s="15" t="inlineStr">
        <is>
          <t>info@heine-opto.ru</t>
        </is>
      </c>
      <c r="H44" s="15" t="inlineStr">
        <is>
          <t>Авторизованный импортер и дистрибьютор в России оборудования Heine Optotechnik GmbH &amp; Co. KG (Германия): офтальмоскопов, дерматоскопов, ларингоскопов, налобных осветителей, бинокулярных луп, отоскопов, проктоскопов.</t>
        </is>
      </c>
      <c r="I44" s="15" t="inlineStr">
        <is>
          <t>Приборы и аппараты для офтальмодиагностики; Отоскопы и лор-инструменты; Проктология; Физиотерапия и реабилитация; Ларингоскопы; Осветители налобные с бинокулярными лупами</t>
        </is>
      </c>
      <c r="J44" s="15" t="inlineStr">
        <is>
          <t>Дилер</t>
        </is>
      </c>
      <c r="K44" s="15" t="inlineStr">
        <is>
          <t>OK</t>
        </is>
      </c>
      <c r="L44" s="15" t="inlineStr">
        <is>
          <t>офтальмоскопы, дерматоскопы, ларингоскопы и отоскопы</t>
        </is>
      </c>
      <c r="M44" s="15" t="inlineStr">
        <is>
          <t>Диалог</t>
        </is>
      </c>
      <c r="N44" s="15" t="inlineStr">
        <is>
          <t>Здравоохранение-2025</t>
        </is>
      </c>
      <c r="O44" s="20" t="inlineStr">
        <is>
          <t>https://icatalog.expocentr.ru/ru/exhibitions/de590dc5-417d-11ee-80ce-a0d3c1fab97f</t>
        </is>
      </c>
    </row>
    <row r="45">
      <c r="A45" s="15" t="inlineStr">
        <is>
          <t>ЭЛЬМЕДИКА, ООО</t>
        </is>
      </c>
      <c r="B45" s="15" t="inlineStr">
        <is>
          <t>8C125</t>
        </is>
      </c>
      <c r="C45" s="15" t="inlineStr">
        <is>
          <t>Россия</t>
        </is>
      </c>
      <c r="D45" s="15" t="inlineStr">
        <is>
          <t>Москва</t>
        </is>
      </c>
      <c r="E45" s="15" t="inlineStr">
        <is>
          <t>Россия, 117342, г. Москва, ул. Бутлерова, д. 17, этаж 3, комн. 271</t>
        </is>
      </c>
      <c r="F45" s="20" t="inlineStr">
        <is>
          <t>http://www.elmedica.ru</t>
        </is>
      </c>
      <c r="G45" s="15" t="inlineStr">
        <is>
          <t>info@elmedica.ru</t>
        </is>
      </c>
      <c r="H45" s="15" t="inlineStr">
        <is>
          <t>Поставка оборудования для транспортной реанимации для экстренных служб и скорой помощи. Производство чемоданов первой помощи Эlmedic. Видеоларингоскопы. Хирургические и диагностические инструменты.</t>
        </is>
      </c>
      <c r="I45" s="15" t="inlineStr">
        <is>
          <t>Инструменты гинекологические; Офтальмоскопы; Инструменты для офтальмологии; Дерматоскопы; Отоскопы и лор-инструменты; Средства для оказания экстренной медицинской помощи; Аппараты для искусственной вентиляции легких; Ларингоскопы; Дефибрилляторы; Комплекты реанимационного оборудования; Хирургические инструменты; Ортопедическое оборудование и инструменты</t>
        </is>
      </c>
      <c r="J45" s="15" t="inlineStr">
        <is>
          <t>Производитель</t>
        </is>
      </c>
      <c r="K45" s="15" t="inlineStr">
        <is>
          <t>OK</t>
        </is>
      </c>
      <c r="L45" s="15" t="inlineStr">
        <is>
          <t>оборудование, инструменты, чемоданы, дефибрилляторы и ларингоскопы</t>
        </is>
      </c>
      <c r="M45" s="15" t="inlineStr">
        <is>
          <t>Эльмедика</t>
        </is>
      </c>
      <c r="N45" s="15" t="inlineStr">
        <is>
          <t>Здравоохранение-2025</t>
        </is>
      </c>
      <c r="O45" s="20" t="inlineStr">
        <is>
          <t>https://icatalog.expocentr.ru/ru/exhibitions/de590dc5-417d-11ee-80ce-a0d3c1fab97f</t>
        </is>
      </c>
    </row>
    <row r="46">
      <c r="A46" s="15" t="inlineStr">
        <is>
          <t>МЕДИЦИНСКИЕ РЕНТГЕНОВСКИЕ ТРУБКИ, ООО</t>
        </is>
      </c>
      <c r="B46" s="15" t="inlineStr">
        <is>
          <t>8H060</t>
        </is>
      </c>
      <c r="C46" s="15" t="inlineStr">
        <is>
          <t>Россия</t>
        </is>
      </c>
      <c r="D46" s="15" t="inlineStr">
        <is>
          <t>Москва</t>
        </is>
      </c>
      <c r="E46" s="15" t="inlineStr">
        <is>
          <t>Россия, 107199, г. Москва, ул. Байкальская, д. 1/3, стр. 1, пом. 18</t>
        </is>
      </c>
      <c r="F46" s="20" t="inlineStr">
        <is>
          <t>http://iae.it</t>
        </is>
      </c>
      <c r="G46" s="15" t="inlineStr">
        <is>
          <t>m-r-t@inbox.ru</t>
        </is>
      </c>
      <c r="H46" s="15" t="inlineStr">
        <is>
          <t>Мы представляем товары компании IAE SpA (Италия), которая является крупнейшим в Европе независимым изготовителем рентгеновских трубок для радиологических, маммографических и КТ-систем. Мы предлагаем трубки для мобильных аппаратов, средних и мощных систем, маммографии и для перезарядки излучателей.</t>
        </is>
      </c>
      <c r="I46" s="15" t="inlineStr">
        <is>
          <t>Прочие диагностические устройства; Рентгеновские диагностические установки, передвижные и стационарные; Маммографы; Флюорографы</t>
        </is>
      </c>
      <c r="J46" s="15" t="inlineStr">
        <is>
          <t>Дилер</t>
        </is>
      </c>
      <c r="K46" s="15" t="inlineStr">
        <is>
          <t>OK</t>
        </is>
      </c>
      <c r="L46" s="15" t="inlineStr">
        <is>
          <t>рентгеновские трубки, диагностические устройства, маммографы и флюорографы</t>
        </is>
      </c>
      <c r="M46" s="15" t="inlineStr">
        <is>
          <t>Медицинские Рентгеновские Трубки</t>
        </is>
      </c>
      <c r="N46" s="15" t="inlineStr">
        <is>
          <t>Здравоохранение-2025</t>
        </is>
      </c>
      <c r="O46" s="20" t="inlineStr">
        <is>
          <t>https://icatalog.expocentr.ru/ru/exhibitions/de590dc5-417d-11ee-80ce-a0d3c1fab97f</t>
        </is>
      </c>
    </row>
    <row r="47">
      <c r="A47" s="15" t="inlineStr">
        <is>
          <t>ЦЕНТР МЕДИЦИНСКОЙ ТЕХНИКИ, ООО</t>
        </is>
      </c>
      <c r="B47" s="15" t="inlineStr">
        <is>
          <t>8A080</t>
        </is>
      </c>
      <c r="C47" s="15" t="inlineStr">
        <is>
          <t>Россия</t>
        </is>
      </c>
      <c r="D47" s="15" t="inlineStr">
        <is>
          <t>Москва</t>
        </is>
      </c>
      <c r="E47" s="15" t="inlineStr">
        <is>
          <t>Россия, 127299, г. Москва, ул. Космонавта Волкова, вн. тер. г. м. о. Войковский, д. 12, пом. VII</t>
        </is>
      </c>
      <c r="F47" s="20" t="inlineStr">
        <is>
          <t>http://www.endocentr.tech</t>
        </is>
      </c>
      <c r="G47" s="15" t="inlineStr">
        <is>
          <t>info@cmtmos.ru</t>
        </is>
      </c>
      <c r="H47" s="15" t="inlineStr">
        <is>
          <t>Комплексное оснащение кабинетов эндоскопии — оборудование, расходные материалы и инструмент, запасные части для эндоскопов. Ремонт гибких и жестких эндоскопов, видеопроцессоров, видеокамер.</t>
        </is>
      </c>
      <c r="I47" s="15" t="inlineStr">
        <is>
          <t>Ультразвуковые сканеры и диагностические системы; Эндоскопы жесткие; Эндоскопы гибкие; Эндоскопические комплексы и системы; Оборудование и средства для лапароскопии; Инструменты и принадлежности для эндоскопии</t>
        </is>
      </c>
      <c r="J47" s="15" t="inlineStr">
        <is>
          <t>Дилер</t>
        </is>
      </c>
      <c r="K47" s="15" t="inlineStr">
        <is>
          <t>OK</t>
        </is>
      </c>
      <c r="L47" s="15" t="inlineStr">
        <is>
          <t>эндоскопы, сканеры, расходные материалы и инструменты</t>
        </is>
      </c>
      <c r="M47" s="15" t="inlineStr">
        <is>
          <t>Центр Медицинской Техники</t>
        </is>
      </c>
      <c r="N47" s="15" t="inlineStr">
        <is>
          <t>Здравоохранение-2025</t>
        </is>
      </c>
      <c r="O47" s="20" t="inlineStr">
        <is>
          <t>https://icatalog.expocentr.ru/ru/exhibitions/de590dc5-417d-11ee-80ce-a0d3c1fab97f</t>
        </is>
      </c>
    </row>
    <row r="48">
      <c r="A48" s="15" t="inlineStr">
        <is>
          <t>ВЕБКЛИНИКА, ООО</t>
        </is>
      </c>
      <c r="B48" s="15" t="inlineStr">
        <is>
          <t>8A052</t>
        </is>
      </c>
      <c r="C48" s="15" t="inlineStr">
        <is>
          <t>Россия</t>
        </is>
      </c>
      <c r="D48" s="15" t="inlineStr">
        <is>
          <t>Москва</t>
        </is>
      </c>
      <c r="E48" s="15" t="inlineStr">
        <is>
          <t>Россия, г. Москва, бизнес-парк "Румянцево", 22-й км Киевского ш., домовл. 4, стр. 1, корп. Б, офисный подъезд 5, этаж 5, оф. 509Б</t>
        </is>
      </c>
      <c r="F48" s="20" t="inlineStr">
        <is>
          <t>https://webclinic.ru</t>
        </is>
      </c>
      <c r="G48" s="15" t="inlineStr">
        <is>
          <t>info@webclinic.ru</t>
        </is>
      </c>
      <c r="H48" s="15" t="inlineStr">
        <is>
          <t>Центр дистанционной медицинской диагностики.Специализируется на удаленной интерпретации функциональных исследований:1. ЭКГ2. Холтер ЭКГ/СМАД (3, 12 отведений)3. ЭЭГ4. Спирометрия.</t>
        </is>
      </c>
      <c r="I48" s="15" t="inlineStr">
        <is>
          <t>Оборудование для мониторинга функций сердечно-сосудистой системы; Приборы и принадлежности для кардиографических исследований; Системы мониторирования ЭКГ и АД; Системы мониторирования ЭЭГ; Приборы для исследования внешнего дыхания</t>
        </is>
      </c>
      <c r="J48" s="15" t="inlineStr">
        <is>
          <t>Поставщик услуг</t>
        </is>
      </c>
      <c r="K48" s="15" t="inlineStr">
        <is>
          <t>OK</t>
        </is>
      </c>
      <c r="L48" s="15" t="inlineStr">
        <is>
          <t>оборудование, приборы и системы</t>
        </is>
      </c>
      <c r="M48" s="15" t="inlineStr">
        <is>
          <t>Вебклиника</t>
        </is>
      </c>
      <c r="N48" s="15" t="inlineStr">
        <is>
          <t>Здравоохранение-2025</t>
        </is>
      </c>
      <c r="O48" s="20" t="inlineStr">
        <is>
          <t>https://icatalog.expocentr.ru/ru/exhibitions/de590dc5-417d-11ee-80ce-a0d3c1fab97f</t>
        </is>
      </c>
    </row>
    <row r="49">
      <c r="A49" s="15" t="inlineStr">
        <is>
          <t>МАК БРАЗЕРС, АО</t>
        </is>
      </c>
      <c r="B49" s="15" t="inlineStr">
        <is>
          <t>8B070</t>
        </is>
      </c>
      <c r="C49" s="15" t="inlineStr">
        <is>
          <t>Россия</t>
        </is>
      </c>
      <c r="D49" s="15" t="inlineStr">
        <is>
          <t>Санкт-Петербург</t>
        </is>
      </c>
      <c r="E49" s="15" t="inlineStr">
        <is>
          <t>Россия, 194352, г. Санкт-Петербург, ул. Руднева, д. 22, корп. 2, литера А, пом. 10Н</t>
        </is>
      </c>
      <c r="F49" s="20" t="inlineStr">
        <is>
          <t>https://swissspinesolution.ru</t>
        </is>
      </c>
      <c r="G49" s="15" t="inlineStr">
        <is>
          <t>office@mcbrothers.ru</t>
        </is>
      </c>
      <c r="H49" s="15" t="inlineStr">
        <is>
          <t>Поставки и комплексное обслуживание оборудования любых производителей для лучевой диагностики, а также для реабилитации. Эксклюзивный дистрибьютор SUMSUNG, DRTECH, SRI, Perfint в России. Наличие на складе в РФ.</t>
        </is>
      </c>
      <c r="I49" s="15" t="inlineStr">
        <is>
          <t>Рентгеновские диагностические установки, передвижные и стационарные; Маммографы; Терапевтическое оборудование; Реабилитационное оборудование; Ортопедия и травматология; Ортопедическое оборудование и инструменты</t>
        </is>
      </c>
      <c r="J49" s="15" t="inlineStr">
        <is>
          <t>Дилер</t>
        </is>
      </c>
      <c r="K49" s="15" t="inlineStr">
        <is>
          <t>OK</t>
        </is>
      </c>
      <c r="L49" s="15" t="inlineStr">
        <is>
          <t>рентгеновские установки, маммографы, терапевтическое, реабилитационное и ортопедическое оборудование</t>
        </is>
      </c>
      <c r="M49" s="15" t="inlineStr">
        <is>
          <t>Мак Бразарс</t>
        </is>
      </c>
      <c r="N49" s="15" t="inlineStr">
        <is>
          <t>Здравоохранение-2025</t>
        </is>
      </c>
      <c r="O49" s="20" t="inlineStr">
        <is>
          <t>https://icatalog.expocentr.ru/ru/exhibitions/de590dc5-417d-11ee-80ce-a0d3c1fab97f</t>
        </is>
      </c>
    </row>
    <row r="50">
      <c r="A50" s="15" t="inlineStr">
        <is>
          <t>ЕЛС-МЕД, ООО</t>
        </is>
      </c>
      <c r="B50" s="21" t="n">
        <v>8e+90</v>
      </c>
      <c r="C50" s="15" t="inlineStr">
        <is>
          <t>Россия</t>
        </is>
      </c>
      <c r="D50" s="15" t="inlineStr">
        <is>
          <t>Дубна</t>
        </is>
      </c>
      <c r="E50" s="15" t="inlineStr">
        <is>
          <t>Россия, 141983, Московская обл., г. Дубна, ул. Программистов, д. 4, пом. 13</t>
        </is>
      </c>
      <c r="F50" s="20" t="inlineStr">
        <is>
          <t>https://els-med.ru</t>
        </is>
      </c>
      <c r="G50" s="15" t="inlineStr">
        <is>
          <t>pr1@els-med.ru</t>
        </is>
      </c>
      <c r="H50" s="15" t="inlineStr">
        <is>
          <t>Компания «ЕЛС-МЕД» — российский разработчик и производитель диагностического медицинского оборудования, специализирующийся на производстве аппаратов УЗИ и рентгенов. Оборудование включено в Реестр РПП.</t>
        </is>
      </c>
      <c r="I50" s="15" t="inlineStr">
        <is>
          <t>Рентгеновские диагностические установки, передвижные и стационарные; Ультразвуковые сканеры и диагностические системы</t>
        </is>
      </c>
      <c r="J50" s="15" t="inlineStr">
        <is>
          <t>Производитель</t>
        </is>
      </c>
      <c r="K50" s="15" t="inlineStr">
        <is>
          <t>OK</t>
        </is>
      </c>
      <c r="L50" s="15" t="inlineStr">
        <is>
          <t>рентгены и сканеры</t>
        </is>
      </c>
      <c r="M50" s="15" t="inlineStr">
        <is>
          <t>Елс-Мед</t>
        </is>
      </c>
      <c r="N50" s="15" t="inlineStr">
        <is>
          <t>Здравоохранение-2025</t>
        </is>
      </c>
      <c r="O50" s="20" t="inlineStr">
        <is>
          <t>https://icatalog.expocentr.ru/ru/exhibitions/de590dc5-417d-11ee-80ce-a0d3c1fab97f</t>
        </is>
      </c>
    </row>
    <row r="51">
      <c r="A51" s="15" t="inlineStr">
        <is>
          <t>СОНДЕР, ООО</t>
        </is>
      </c>
      <c r="B51" s="15" t="inlineStr">
        <is>
          <t>8F090</t>
        </is>
      </c>
      <c r="C51" s="15" t="inlineStr">
        <is>
          <t>Россия</t>
        </is>
      </c>
      <c r="D51" s="15" t="inlineStr">
        <is>
          <t>Узловая</t>
        </is>
      </c>
      <c r="E51" s="15" t="inlineStr">
        <is>
          <t>Россия, 301600, Тульская обл., г. Узловая, ул. Октябрьская, д. 12, пом. 10, этаж 1, комн. 11</t>
        </is>
      </c>
      <c r="F51" s="20" t="inlineStr">
        <is>
          <t>https://sonder-tula.ru</t>
        </is>
      </c>
      <c r="G51" s="15" t="inlineStr">
        <is>
          <t>ceo@sonder-tula.ru</t>
        </is>
      </c>
      <c r="H51" s="15" t="inlineStr">
        <is>
          <t>«СОНДЕР» – производитель оборудования для учреждений здравоохранения. Ключевое направление деятельности – это разработка современных аппаратов КТ, МРТ, УЗ и рентген‑диагностики. Состоит в Реестре РПП.</t>
        </is>
      </c>
      <c r="I51" s="15" t="inlineStr">
        <is>
          <t>Рентгеновские диагностические установки, передвижные и стационарные; Компьютерные томографы; Маммографы; Магнитно-резонансные томографы; Ультразвуковые сканеры и диагностические системы</t>
        </is>
      </c>
      <c r="J51" s="15" t="inlineStr">
        <is>
          <t>Производитель</t>
        </is>
      </c>
      <c r="K51" s="15" t="inlineStr">
        <is>
          <t>OK</t>
        </is>
      </c>
      <c r="L51" s="15" t="inlineStr">
        <is>
          <t>томографы, маммографы и сканеры</t>
        </is>
      </c>
      <c r="M51" s="15" t="inlineStr">
        <is>
          <t>Сондер</t>
        </is>
      </c>
      <c r="N51" s="15" t="inlineStr">
        <is>
          <t>Здравоохранение-2025</t>
        </is>
      </c>
      <c r="O51" s="20" t="inlineStr">
        <is>
          <t>https://icatalog.expocentr.ru/ru/exhibitions/de590dc5-417d-11ee-80ce-a0d3c1fab97f</t>
        </is>
      </c>
    </row>
    <row r="52">
      <c r="A52" s="15" t="inlineStr">
        <is>
          <t>АНАЛИТИКА М, ООО</t>
        </is>
      </c>
      <c r="B52" s="15" t="inlineStr">
        <is>
          <t>8B050</t>
        </is>
      </c>
      <c r="C52" s="15" t="inlineStr">
        <is>
          <t>Россия</t>
        </is>
      </c>
      <c r="D52" s="15" t="inlineStr">
        <is>
          <t>Москва</t>
        </is>
      </c>
      <c r="E52" s="15" t="inlineStr">
        <is>
          <t>Россия, 115093, г. Москва, ул. Люсиновская, д. 36, стр. 1</t>
        </is>
      </c>
      <c r="F52" s="20" t="inlineStr">
        <is>
          <t>http://www.analitika-m.ru</t>
        </is>
      </c>
      <c r="G52" s="15" t="inlineStr">
        <is>
          <t>info@analitika-m.ru</t>
        </is>
      </c>
      <c r="H52" s="15" t="inlineStr">
        <is>
          <t>«Аналитика М» — дистрибьютор инновационного медицинского оборудования. В нашем портфеле — роботы для эндопротезирования и реабилитации, вертикальный КТ, автоматизированные урофлоуметры, 3D-биопринтеры.</t>
        </is>
      </c>
      <c r="I52" s="15" t="inlineStr">
        <is>
          <t>Оборудование для урологической диагностики; Компьютерные томографы; Тренажеры; Ортопедическое оборудование и инструменты; Эндопротезы и имплантаты</t>
        </is>
      </c>
      <c r="J52" s="15" t="inlineStr">
        <is>
          <t>Дилер</t>
        </is>
      </c>
      <c r="K52" s="15" t="inlineStr">
        <is>
          <t>OK</t>
        </is>
      </c>
      <c r="L52" s="15" t="inlineStr">
        <is>
          <t>роботы, томографы, тренажеры, имплантаты и оборудование</t>
        </is>
      </c>
      <c r="M52" s="15" t="inlineStr">
        <is>
          <t>Аналитика М</t>
        </is>
      </c>
      <c r="N52" s="15" t="inlineStr">
        <is>
          <t>Здравоохранение-2025</t>
        </is>
      </c>
      <c r="O52" s="20" t="inlineStr">
        <is>
          <t>https://icatalog.expocentr.ru/ru/exhibitions/de590dc5-417d-11ee-80ce-a0d3c1fab97f</t>
        </is>
      </c>
    </row>
    <row r="53">
      <c r="A53" s="15" t="inlineStr">
        <is>
          <t>АЛЬФА МОБИЛИ, ООО</t>
        </is>
      </c>
      <c r="B53" s="15" t="inlineStr">
        <is>
          <t>8C115</t>
        </is>
      </c>
      <c r="C53" s="15" t="inlineStr">
        <is>
          <t>Россия</t>
        </is>
      </c>
      <c r="D53" s="15" t="inlineStr">
        <is>
          <t>Санкт-Петербург</t>
        </is>
      </c>
      <c r="E53" s="15" t="inlineStr">
        <is>
          <t>Россия, 193318, г. Санкт-Петербург, ул. Зольная, д. 15, корп. 1</t>
        </is>
      </c>
      <c r="F53" s="20" t="inlineStr">
        <is>
          <t>http://med-nnz.ru</t>
        </is>
      </c>
      <c r="G53" s="15" t="inlineStr">
        <is>
          <t>medmeb@nnz.ru</t>
        </is>
      </c>
      <c r="H53" s="15" t="inlineStr">
        <is>
          <t>Компания «Альфа Мобили» — эксклюзивный поставщик медицинского оборудования для хирургии, реанимации, комбустиологии, реабилитации. Занимается оснащением лечебных учреждений различного профиля под ключ.</t>
        </is>
      </c>
      <c r="I53" s="15" t="inlineStr">
        <is>
          <t>Медицинская мебель; Производство медицинских изделий; Магнитно-резонансные томографы; Операционные столы; Принадлежности для хирургических аппаратов; Электрохирургические аппараты</t>
        </is>
      </c>
      <c r="J53" s="15" t="inlineStr">
        <is>
          <t>Производитель</t>
        </is>
      </c>
      <c r="K53" s="15" t="inlineStr">
        <is>
          <t>OK</t>
        </is>
      </c>
      <c r="L53" s="15" t="inlineStr">
        <is>
          <t>медицинское оборудование, медицинская мебель, томографы, операционные столы и аппараты</t>
        </is>
      </c>
      <c r="M53" s="15" t="inlineStr">
        <is>
          <t>Альфа Мобили</t>
        </is>
      </c>
      <c r="N53" s="15" t="inlineStr">
        <is>
          <t>Здравоохранение-2025</t>
        </is>
      </c>
      <c r="O53" s="20" t="inlineStr">
        <is>
          <t>https://icatalog.expocentr.ru/ru/exhibitions/de590dc5-417d-11ee-80ce-a0d3c1fab97f</t>
        </is>
      </c>
    </row>
    <row r="54">
      <c r="A54" s="15" t="inlineStr">
        <is>
          <t>РУСТОМОГРАФ, ООО</t>
        </is>
      </c>
      <c r="B54" s="15" t="inlineStr">
        <is>
          <t>8C060</t>
        </is>
      </c>
      <c r="C54" s="15" t="inlineStr">
        <is>
          <t>Россия</t>
        </is>
      </c>
      <c r="D54" s="15" t="inlineStr">
        <is>
          <t>Рязань</t>
        </is>
      </c>
      <c r="E54" s="15" t="inlineStr">
        <is>
          <t>Россия, 390020, г. Рязань, ул. Коняева, д. 205, оф. 1</t>
        </is>
      </c>
      <c r="F54" s="20" t="inlineStr">
        <is>
          <t>https://rustomograf.ru</t>
        </is>
      </c>
      <c r="G54" s="15" t="inlineStr">
        <is>
          <t>info@rustomograf.ru</t>
        </is>
      </c>
      <c r="H54" s="15" t="inlineStr">
        <is>
          <t>Ведущий поставщик высокотехнологичного диагностического оборудования (МРТ и КТ) для медицинских и ветеринарных учреждений в России и странах СНГ. За 17 лет работы компания успешно оснастила более 300 центров, обеспечив им полный цикл сопровождения — от проекта до первого диагностического скана. Всегда в наличии на складе в РФ. 30 МРТ и 10 КТ.</t>
        </is>
      </c>
      <c r="I54" s="15" t="inlineStr">
        <is>
          <t>Компьютерные томографы; Магнитно-резонансные томографы</t>
        </is>
      </c>
      <c r="J54" s="15" t="inlineStr">
        <is>
          <t>Дилер</t>
        </is>
      </c>
      <c r="K54" s="15" t="inlineStr">
        <is>
          <t>OK</t>
        </is>
      </c>
      <c r="L54" s="15" t="inlineStr">
        <is>
          <t>томографы</t>
        </is>
      </c>
      <c r="M54" s="15" t="inlineStr">
        <is>
          <t>Рустомограф</t>
        </is>
      </c>
      <c r="N54" s="15" t="inlineStr">
        <is>
          <t>Здравоохранение-2025</t>
        </is>
      </c>
      <c r="O54" s="20" t="inlineStr">
        <is>
          <t>https://icatalog.expocentr.ru/ru/exhibitions/de590dc5-417d-11ee-80ce-a0d3c1fab97f</t>
        </is>
      </c>
    </row>
    <row r="55">
      <c r="A55" s="15" t="inlineStr">
        <is>
          <t>ИНВЕНТ, ООО</t>
        </is>
      </c>
      <c r="B55" s="15" t="inlineStr">
        <is>
          <t>8B100</t>
        </is>
      </c>
      <c r="C55" s="15" t="inlineStr">
        <is>
          <t>Россия</t>
        </is>
      </c>
      <c r="D55" s="15" t="inlineStr">
        <is>
          <t>Москва</t>
        </is>
      </c>
      <c r="E55" s="15" t="inlineStr">
        <is>
          <t>Россия, 109147, г. Москва, ул. Марксистская, д. 22, стр. 1, этаж 8, пом. XX, комн. 11, оф. 801/1</t>
        </is>
      </c>
      <c r="F55" s="20" t="inlineStr">
        <is>
          <t>http://www.oooinvent.ru</t>
        </is>
      </c>
      <c r="G55" s="15" t="inlineStr">
        <is>
          <t>lst5@yandex.ru</t>
        </is>
      </c>
      <c r="H55" s="15" t="inlineStr">
        <is>
          <t>«Инвент» поставляет медицинское оборудование для отделений неонатологии, интенсивной терапии и реанимации взрослых: David Ningbo (Китай), Vyaire (США), Acutronic (Швейцария).</t>
        </is>
      </c>
      <c r="I55" s="15" t="inlineStr">
        <is>
          <t>Инкубаторы и открытые реанимационные системы; Фототерапевтические системы; Аппараты для искусственной вентиляции легких; Ларингоскопы; Комплекты реанимационного оборудования; Принадлежности и расходные материалы для реанимации и экстренной помощи</t>
        </is>
      </c>
      <c r="J55" s="15" t="inlineStr">
        <is>
          <t>Дилер</t>
        </is>
      </c>
      <c r="K55" s="15" t="inlineStr">
        <is>
          <t>OK</t>
        </is>
      </c>
      <c r="L55" s="15" t="inlineStr">
        <is>
          <t>инкубаторы, фототерапевтические системы, аппараты ИВЛ, ларингоскопы и комплекты оборудования</t>
        </is>
      </c>
      <c r="M55" s="15" t="inlineStr">
        <is>
          <t>Инвент</t>
        </is>
      </c>
      <c r="N55" s="15" t="inlineStr">
        <is>
          <t>Здравоохранение-2025</t>
        </is>
      </c>
      <c r="O55" s="20" t="inlineStr">
        <is>
          <t>https://icatalog.expocentr.ru/ru/exhibitions/de590dc5-417d-11ee-80ce-a0d3c1fab97f</t>
        </is>
      </c>
    </row>
    <row r="56">
      <c r="A56" s="15" t="inlineStr">
        <is>
          <t>ДОЗА, НПП, ООО</t>
        </is>
      </c>
      <c r="B56" s="15" t="inlineStr">
        <is>
          <t>8A130</t>
        </is>
      </c>
      <c r="C56" s="15" t="inlineStr">
        <is>
          <t>Россия</t>
        </is>
      </c>
      <c r="D56" s="15" t="inlineStr">
        <is>
          <t>Москва</t>
        </is>
      </c>
      <c r="E56" s="15" t="inlineStr">
        <is>
          <t>Россия, 124460, г. Москва, вн. тер. г. м. о. Матушкино, г. Зеленоград, ул. Академика Валиева, д. 4</t>
        </is>
      </c>
      <c r="F56" s="20" t="inlineStr">
        <is>
          <t>http://www.doza.ru</t>
        </is>
      </c>
      <c r="G56" s="15" t="inlineStr">
        <is>
          <t>info@doza.ru</t>
        </is>
      </c>
      <c r="H56" s="15" t="inlineStr">
        <is>
          <t>НПП «Доза» – крупнейший российский разработчик, производитель и поставщик оборудования для обеспечения радиационной безопасности, контроля качества медизделий и оборудования для ядерной медицины.</t>
        </is>
      </c>
      <c r="I56" s="15" t="inlineStr">
        <is>
          <t>Рентгеновские диагностические установки, передвижные и стационарные; Компьютерные томографы; Маммографы; Флюорографы; Ультразвуковые сканеры и диагностические системы; Дозиметрические приборы</t>
        </is>
      </c>
      <c r="J56" s="15" t="inlineStr">
        <is>
          <t>Производитель</t>
        </is>
      </c>
      <c r="K56" s="15" t="inlineStr">
        <is>
          <t>OK</t>
        </is>
      </c>
      <c r="L56" s="15" t="inlineStr">
        <is>
          <t>томографы, маммографы, флюорографы, сканеры и приборы</t>
        </is>
      </c>
      <c r="M56" s="15" t="inlineStr">
        <is>
          <t>ДОЗА, НПП</t>
        </is>
      </c>
      <c r="N56" s="15" t="inlineStr">
        <is>
          <t>Здравоохранение-2025</t>
        </is>
      </c>
      <c r="O56" s="20" t="inlineStr">
        <is>
          <t>https://icatalog.expocentr.ru/ru/exhibitions/de590dc5-417d-11ee-80ce-a0d3c1fab97f</t>
        </is>
      </c>
    </row>
    <row r="57">
      <c r="A57" s="15" t="inlineStr">
        <is>
          <t>Аргус-ЦС, ООО</t>
        </is>
      </c>
      <c r="B57" s="15" t="inlineStr">
        <is>
          <t>8D001</t>
        </is>
      </c>
      <c r="C57" s="15" t="inlineStr">
        <is>
          <t>Россия</t>
        </is>
      </c>
      <c r="D57" s="15" t="inlineStr">
        <is>
          <t>Москва</t>
        </is>
      </c>
      <c r="E57" s="15" t="inlineStr">
        <is>
          <t>Россия, г. Москва, ул. Большая Черкизовская, д. 30а, стр. 1, оф. 308 (этаж 3)</t>
        </is>
      </c>
      <c r="F57" s="20" t="inlineStr">
        <is>
          <t>http://www.argus-ds.ru</t>
        </is>
      </c>
      <c r="G57" s="15" t="inlineStr">
        <is>
          <t>argus-ds@argus-ds.ru</t>
        </is>
      </c>
      <c r="H57" s="15" t="inlineStr">
        <is>
          <t>ООО «Аргус-ЦС» с 2012 года проводит комплексное оснащение и интеграцию высокотехнологичного медицинского оборудования, включая его поставку, монтаж, техническое обслуживание и ремонт.</t>
        </is>
      </c>
      <c r="I57" s="15" t="inlineStr">
        <is>
          <t>Рентгеновские диагностические установки, передвижные и стационарные; Компьютерные томографы; Маммографы; Оборудование для ударно-волновой терапии; Лабораторное оборудование; Операционные микроскопы и видеоустройства</t>
        </is>
      </c>
      <c r="J57" s="15" t="inlineStr">
        <is>
          <t>Дилер</t>
        </is>
      </c>
      <c r="K57" s="15" t="inlineStr">
        <is>
          <t>OK</t>
        </is>
      </c>
      <c r="L57" s="15" t="inlineStr">
        <is>
          <t>рентгеновские установки, томографы, маммографы, лабораторное оборудование и микроскопы</t>
        </is>
      </c>
      <c r="M57" s="15" t="inlineStr">
        <is>
          <t>Аргус-ЦС</t>
        </is>
      </c>
      <c r="N57" s="15" t="inlineStr">
        <is>
          <t>Здравоохранение-2025</t>
        </is>
      </c>
      <c r="O57" s="20" t="inlineStr">
        <is>
          <t>https://icatalog.expocentr.ru/ru/exhibitions/de590dc5-417d-11ee-80ce-a0d3c1fab97f</t>
        </is>
      </c>
    </row>
    <row r="58">
      <c r="A58" s="15" t="inlineStr">
        <is>
          <t>ТОМОГРАФ ПРО</t>
        </is>
      </c>
      <c r="B58" s="15" t="inlineStr">
        <is>
          <t>8F110</t>
        </is>
      </c>
      <c r="C58" s="15" t="inlineStr">
        <is>
          <t>Россия</t>
        </is>
      </c>
      <c r="D58" s="15" t="inlineStr">
        <is>
          <t>Москва</t>
        </is>
      </c>
      <c r="E58" s="15" t="inlineStr">
        <is>
          <t>Россия, 105082, г. Москва, вн. тер. г. м. о. Басманный, ул. Большая Почтовая, д. 36, стр. 6, оф. 202-1</t>
        </is>
      </c>
      <c r="F58" s="20" t="inlineStr">
        <is>
          <t>http://tomograph.pro</t>
        </is>
      </c>
      <c r="G58" s="15" t="inlineStr">
        <is>
          <t>Info@tomograph.pro</t>
        </is>
      </c>
      <c r="H58" s="15" t="inlineStr">
        <is>
          <t>Компания «Томограф ПРО» специализируется на обслуживании и ремонте оборудования для лучевой и ультразвуковой диагностики, а также поставках запасных частей и комплектующих в самые короткие сроки.</t>
        </is>
      </c>
      <c r="I58" s="15" t="inlineStr">
        <is>
          <t>Медицинский инжиниринг</t>
        </is>
      </c>
      <c r="J58" s="15" t="inlineStr">
        <is>
          <t>Поставщик услуг</t>
        </is>
      </c>
      <c r="K58" s="15" t="inlineStr">
        <is>
          <t>OK</t>
        </is>
      </c>
      <c r="L58" s="15" t="inlineStr">
        <is>
          <t>запасные части и комплектующие</t>
        </is>
      </c>
      <c r="M58" s="15" t="inlineStr">
        <is>
          <t>Томограф Про</t>
        </is>
      </c>
      <c r="N58" s="15" t="inlineStr">
        <is>
          <t>Здравоохранение-2025</t>
        </is>
      </c>
      <c r="O58" s="20" t="inlineStr">
        <is>
          <t>https://icatalog.expocentr.ru/ru/exhibitions/de590dc5-417d-11ee-80ce-a0d3c1fab97f</t>
        </is>
      </c>
    </row>
    <row r="59">
      <c r="A59" s="15" t="inlineStr">
        <is>
          <t>МЕДИЦИНСКИЕ СИСТЕМЫ, ЗАО</t>
        </is>
      </c>
      <c r="B59" s="15" t="inlineStr">
        <is>
          <t>8G115</t>
        </is>
      </c>
      <c r="C59" s="15" t="inlineStr">
        <is>
          <t>Россия</t>
        </is>
      </c>
      <c r="D59" s="15" t="inlineStr">
        <is>
          <t>Санкт-Петербург</t>
        </is>
      </c>
      <c r="E59" s="15" t="inlineStr">
        <is>
          <t>Россия, 199178, г. Санкт-Петербург, 10-я линия В. О., д. 17, корп. 2, литера А, пом. 1Н</t>
        </is>
      </c>
      <c r="F59" s="20" t="inlineStr">
        <is>
          <t>http://www.medsystems.ru</t>
        </is>
      </c>
      <c r="G59" s="15" t="inlineStr">
        <is>
          <t>info@medsystems.ru</t>
        </is>
      </c>
      <c r="H59" s="15" t="inlineStr">
        <is>
          <t>ЗАО «Медицинские системы» — представитель ведущих мировых производителей медицинского оборудования: Natus Medical, Jaeger, Cardioline, PulmOne, Magstim, GSI, TSA. Прямые продажи, сервис, обучение.</t>
        </is>
      </c>
      <c r="I59" s="15" t="inlineStr">
        <is>
          <t>Оборудование для мониторинга функций сердечно-сосудистой системы; Системы мониторирования ЭЭГ; Нейрофизиологическое оборудование; Приборы для исследования внешнего дыхания; Прочие диагностические устройства; Поставка медицинского оборудования и расходных материалов</t>
        </is>
      </c>
      <c r="J59" s="15" t="inlineStr">
        <is>
          <t>Дилер</t>
        </is>
      </c>
      <c r="K59" s="15" t="inlineStr">
        <is>
          <t>OK</t>
        </is>
      </c>
      <c r="L59" s="15" t="inlineStr">
        <is>
          <t>медицинское оборудование, расходные материалы</t>
        </is>
      </c>
      <c r="M59" s="15" t="inlineStr">
        <is>
          <t>Медицинские Системы</t>
        </is>
      </c>
      <c r="N59" s="15" t="inlineStr">
        <is>
          <t>Здравоохранение-2025</t>
        </is>
      </c>
      <c r="O59" s="20" t="inlineStr">
        <is>
          <t>https://icatalog.expocentr.ru/ru/exhibitions/de590dc5-417d-11ee-80ce-a0d3c1fab97f</t>
        </is>
      </c>
    </row>
    <row r="60">
      <c r="A60" s="15" t="inlineStr">
        <is>
          <t>МЕДЛИГА, АО</t>
        </is>
      </c>
      <c r="B60" s="15" t="inlineStr">
        <is>
          <t>8D080</t>
        </is>
      </c>
      <c r="C60" s="15" t="inlineStr">
        <is>
          <t>Россия</t>
        </is>
      </c>
      <c r="D60" s="15" t="inlineStr">
        <is>
          <t>Санкт-Петербург</t>
        </is>
      </c>
      <c r="E60" s="15" t="inlineStr">
        <is>
          <t>Россия, 191187, г. Санкт-Петербург, вн. тер. г. м. о. Литейный округ, ул. Чайковского, д. 1, корп. 2, литера Б, пом. 1-Н, комн. 218-227, этаж 4, оф. 402</t>
        </is>
      </c>
      <c r="F60" s="20" t="inlineStr">
        <is>
          <t>http://www.medliga.ru</t>
        </is>
      </c>
      <c r="G60" s="15" t="inlineStr">
        <is>
          <t>info@medliga.ru</t>
        </is>
      </c>
      <c r="H60" s="15" t="inlineStr">
        <is>
          <t>MEDLIGA — официальный дистрибьютор медоборудования в России, занимающийся производством, поставками, обучением специалистов, сертифицированным сервисным и гарантийным обслуживанием по всей стране.</t>
        </is>
      </c>
      <c r="I60" s="15" t="inlineStr">
        <is>
          <t>Оборудование для мониторинга функций сердечно-сосудистой системы; Компьютерные томографы; Эндоскопические комплексы и системы; Наркозно-дыхательные аппараты; Комплекты реанимационного оборудования; Операционные столы</t>
        </is>
      </c>
      <c r="J60" s="15" t="inlineStr">
        <is>
          <t>Производитель</t>
        </is>
      </c>
      <c r="K60" s="15" t="inlineStr">
        <is>
          <t>OK</t>
        </is>
      </c>
      <c r="L60" s="15" t="inlineStr">
        <is>
          <t>томографы, эндоскопические комплексы, аппараты и столы</t>
        </is>
      </c>
      <c r="M60" s="15" t="inlineStr">
        <is>
          <t>Медлига</t>
        </is>
      </c>
      <c r="N60" s="15" t="inlineStr">
        <is>
          <t>Здравоохранение-2025</t>
        </is>
      </c>
      <c r="O60" s="20" t="inlineStr">
        <is>
          <t>https://icatalog.expocentr.ru/ru/exhibitions/de590dc5-417d-11ee-80ce-a0d3c1fab97f</t>
        </is>
      </c>
    </row>
    <row r="61">
      <c r="A61" s="15" t="inlineStr">
        <is>
          <t>ЕВРОТЕХ</t>
        </is>
      </c>
      <c r="B61" s="15" t="inlineStr">
        <is>
          <t>8F070</t>
        </is>
      </c>
      <c r="C61" s="15" t="inlineStr">
        <is>
          <t>Россия</t>
        </is>
      </c>
      <c r="D61" s="15" t="n"/>
      <c r="E61" s="15" t="inlineStr">
        <is>
          <t>Россия</t>
        </is>
      </c>
      <c r="F61" s="20" t="inlineStr">
        <is>
          <t>https://eurotech.ru</t>
        </is>
      </c>
      <c r="G61" s="15" t="inlineStr">
        <is>
          <t>info@eurotech.ru</t>
        </is>
      </c>
      <c r="H61" s="15" t="inlineStr">
        <is>
          <t>Официальный представитель и сервисный центр: ЦИМ, «Лейзеганг», «Медифа», «Е.М.С.», «Мизухо», «АТОМ», «Нейролоджика», «Пенлон», «Шимадзу», «Пентакс», «Фанем», «ИМС ДЖОТТО», «Джи Эм Эм», «Самсун»г, «Ру Скан» (НПО «Сканер»).</t>
        </is>
      </c>
      <c r="I61" s="15" t="inlineStr">
        <is>
          <t>Диагностическое оборудование для гинекологии; Инкубаторы и открытые реанимационные системы; Литотрипторы; Рентгеновские диагностические установки, передвижные и стационарные; Маммографы; Операционные столы</t>
        </is>
      </c>
      <c r="J61" s="15" t="inlineStr">
        <is>
          <t>Дилер</t>
        </is>
      </c>
      <c r="K61" s="15" t="inlineStr">
        <is>
          <t>OK</t>
        </is>
      </c>
      <c r="L61" s="15" t="inlineStr">
        <is>
          <t>диагностическое оборудование, инкубаторы, литотрипторы, маммографы и столы</t>
        </is>
      </c>
      <c r="M61" s="15" t="inlineStr">
        <is>
          <t>Евротех</t>
        </is>
      </c>
      <c r="N61" s="15" t="inlineStr">
        <is>
          <t>Здравоохранение-2025</t>
        </is>
      </c>
      <c r="O61" s="20" t="inlineStr">
        <is>
          <t>https://icatalog.expocentr.ru/ru/exhibitions/de590dc5-417d-11ee-80ce-a0d3c1fab97f</t>
        </is>
      </c>
    </row>
    <row r="62">
      <c r="A62" s="15" t="inlineStr">
        <is>
          <t>CTC CAPITAL</t>
        </is>
      </c>
      <c r="B62" s="15" t="inlineStr">
        <is>
          <t>8G100</t>
        </is>
      </c>
      <c r="C62" s="15" t="inlineStr">
        <is>
          <t>Россия</t>
        </is>
      </c>
      <c r="D62" s="15" t="inlineStr">
        <is>
          <t>Москва</t>
        </is>
      </c>
      <c r="E62" s="15" t="inlineStr">
        <is>
          <t>Россия, 111024, г. Москва, ш. Энтузиастов, д. 11а, корп. 1, этаж 1, оф. 2</t>
        </is>
      </c>
      <c r="F62" s="20" t="inlineStr">
        <is>
          <t>https://ctccapital.ru</t>
        </is>
      </c>
      <c r="G62" s="15" t="inlineStr">
        <is>
          <t>info@ctccapital.ru</t>
        </is>
      </c>
      <c r="H62" s="15" t="inlineStr">
        <is>
          <t>CTC CAPITAL – российская дистрибьюторская компания, основанная в 1992 году. На выставке мы представляем медицинские мониторы для различных отраслей здравоохранения бельгийского производителя BARCO.</t>
        </is>
      </c>
      <c r="I62" s="15" t="inlineStr">
        <is>
          <t>Стоматологическое оборудование и инструменты; Рентгеновские диагностические установки, передвижные и стационарные; Компьютерные томографы; Маммографы; Эндоскопические комплексы и системы; Хирургическое оборудование</t>
        </is>
      </c>
      <c r="J62" s="15" t="inlineStr">
        <is>
          <t>Дилер</t>
        </is>
      </c>
      <c r="K62" s="15" t="inlineStr">
        <is>
          <t>OK</t>
        </is>
      </c>
      <c r="L62" s="15" t="inlineStr">
        <is>
          <t>медицинские мониторы, стоматологическое оборудование, рентгеновские установки, компьютерные томографы и маммографы</t>
        </is>
      </c>
      <c r="M62" s="15" t="inlineStr">
        <is>
          <t>CTC Capital</t>
        </is>
      </c>
      <c r="N62" s="15" t="inlineStr">
        <is>
          <t>Здравоохранение-2025</t>
        </is>
      </c>
      <c r="O62" s="20" t="inlineStr">
        <is>
          <t>https://icatalog.expocentr.ru/ru/exhibitions/de590dc5-417d-11ee-80ce-a0d3c1fab97f</t>
        </is>
      </c>
    </row>
    <row r="63">
      <c r="A63" s="15" t="inlineStr">
        <is>
          <t>ПОЛЮС, ТПФ, ООО</t>
        </is>
      </c>
      <c r="B63" s="15" t="inlineStr">
        <is>
          <t>8C001</t>
        </is>
      </c>
      <c r="C63" s="15" t="inlineStr">
        <is>
          <t>Россия</t>
        </is>
      </c>
      <c r="D63" s="15" t="inlineStr">
        <is>
          <t>Екатеринбург</t>
        </is>
      </c>
      <c r="E63" s="15" t="inlineStr">
        <is>
          <t>Россия, 620050, г. Екатеринбург, ул. Маневровая, д. 43а</t>
        </is>
      </c>
      <c r="F63" s="20" t="inlineStr">
        <is>
          <t>http://www.pole96.ru</t>
        </is>
      </c>
      <c r="G63" s="15" t="inlineStr">
        <is>
          <t>info@pole96.ru</t>
        </is>
      </c>
      <c r="H63" s="15" t="inlineStr">
        <is>
          <t>Обеспечиваем защиту здоровья людей, предоставляя передовые надежные рентгенозащитные решения, которые помогают создавать безопасные условия работы в медицинской, научной и промышленной сферах.</t>
        </is>
      </c>
      <c r="I63" s="15" t="inlineStr">
        <is>
          <t>Проектирование, производство, монтаж, валидация чистых операционных и реанимационных; Проектирование и оснащение медицинских учреждений под ключ; Медицинский инжиниринг; Поставка медицинского оборудования и расходных материалов; Средства защиты от рентгеновских лучей</t>
        </is>
      </c>
      <c r="J63" s="15" t="inlineStr">
        <is>
          <t>Производитель</t>
        </is>
      </c>
      <c r="K63" s="15" t="inlineStr">
        <is>
          <t>OK</t>
        </is>
      </c>
      <c r="L63" s="15" t="inlineStr">
        <is>
          <t>рентгенозащитные решения, медицинское оборудование и расходные материалы</t>
        </is>
      </c>
      <c r="M63" s="15" t="inlineStr">
        <is>
          <t>Полюс</t>
        </is>
      </c>
      <c r="N63" s="15" t="inlineStr">
        <is>
          <t>Здравоохранение-2025</t>
        </is>
      </c>
      <c r="O63" s="20" t="inlineStr">
        <is>
          <t>https://icatalog.expocentr.ru/ru/exhibitions/de590dc5-417d-11ee-80ce-a0d3c1fab97f</t>
        </is>
      </c>
    </row>
    <row r="64">
      <c r="A64" s="15" t="inlineStr">
        <is>
          <t>КРИОТЕК, ООО</t>
        </is>
      </c>
      <c r="B64" s="15" t="inlineStr">
        <is>
          <t>8A090</t>
        </is>
      </c>
      <c r="C64" s="15" t="inlineStr">
        <is>
          <t>Россия</t>
        </is>
      </c>
      <c r="D64" s="15" t="inlineStr">
        <is>
          <t>Москва</t>
        </is>
      </c>
      <c r="E64" s="15" t="inlineStr">
        <is>
          <t>Россия, 121596, г. Москва, ул. Горбунова, д. 2, стр. 3, БЦ «Гранд Сетунь Плаза»</t>
        </is>
      </c>
      <c r="F64" s="20" t="inlineStr">
        <is>
          <t>http://www.cryotec.ru</t>
        </is>
      </c>
      <c r="G64" s="15" t="inlineStr">
        <is>
          <t>info@cryotec.ru</t>
        </is>
      </c>
      <c r="H64" s="15" t="inlineStr">
        <is>
          <t>Оборудование для криоконсервации биоматериалов – криобанки под ключ, криохирургические аппараты, сосуды Дьюара биологические и лабораторные, криосауны безазотные, аппараты локальной криотерапии.</t>
        </is>
      </c>
      <c r="I64" s="15" t="inlineStr">
        <is>
          <t>Оборудование для криотерапии; Технологии, оборудование и расходные материалы для спа и велнес; Закаливание; Лабораторное оборудование; Оборудование для банков крови; Криохирургические аппараты</t>
        </is>
      </c>
      <c r="J64" s="15" t="inlineStr">
        <is>
          <t>Производитель</t>
        </is>
      </c>
      <c r="K64" s="15" t="inlineStr">
        <is>
          <t>OK</t>
        </is>
      </c>
      <c r="L64" s="15" t="inlineStr">
        <is>
          <t>криобанки, криохирургические аппараты, сосуды Дьюара и криосауны</t>
        </is>
      </c>
      <c r="M64" s="15" t="inlineStr">
        <is>
          <t>Криотэк</t>
        </is>
      </c>
      <c r="N64" s="15" t="inlineStr">
        <is>
          <t>Здравоохранение-2025</t>
        </is>
      </c>
      <c r="O64" s="20" t="inlineStr">
        <is>
          <t>https://icatalog.expocentr.ru/ru/exhibitions/de590dc5-417d-11ee-80ce-a0d3c1fab97f</t>
        </is>
      </c>
    </row>
    <row r="65">
      <c r="A65" s="15" t="inlineStr">
        <is>
          <t>КОМПЛЕКСНЫЕ РЕШЕНИЯ, ООО</t>
        </is>
      </c>
      <c r="B65" s="21" t="n">
        <v>8e+130</v>
      </c>
      <c r="C65" s="15" t="inlineStr">
        <is>
          <t>Россия</t>
        </is>
      </c>
      <c r="D65" s="15" t="inlineStr">
        <is>
          <t>Москва</t>
        </is>
      </c>
      <c r="E65" s="15" t="inlineStr">
        <is>
          <t>Россия, 125504, г. Москва, Дмитровское ш., д. 71Б, оф. 515</t>
        </is>
      </c>
      <c r="F65" s="20" t="inlineStr">
        <is>
          <t>https://medicalcom.ru</t>
        </is>
      </c>
      <c r="G65" s="15" t="inlineStr">
        <is>
          <t>sale@medicalcom.ru</t>
        </is>
      </c>
      <c r="H65" s="15" t="inlineStr">
        <is>
          <t>Эксклюзивные рентгены GEMSS и POSKOM, а также широкий выбор УЗИ, эндоскопии, лор-оборудования и техники для реанимации. Полный цикл: от подбора и демонстрации до запуска и сервисного сопровождения.</t>
        </is>
      </c>
      <c r="I65" s="15" t="inlineStr">
        <is>
          <t>Рентгеновские диагностические установки, передвижные и стационарные; Маммографы; Флюорографы; Ультразвуковые сканеры и диагностические системы</t>
        </is>
      </c>
      <c r="J65" s="15" t="inlineStr">
        <is>
          <t>Дилер</t>
        </is>
      </c>
      <c r="K65" s="15" t="inlineStr">
        <is>
          <t>OK</t>
        </is>
      </c>
      <c r="L65" s="15" t="inlineStr">
        <is>
          <t>рентгены, маммографы, флюорографы, УЗИ и эндоскопия</t>
        </is>
      </c>
      <c r="M65" s="15" t="inlineStr">
        <is>
          <t>Комплексные Решения</t>
        </is>
      </c>
      <c r="N65" s="15" t="inlineStr">
        <is>
          <t>Здравоохранение-2025</t>
        </is>
      </c>
      <c r="O65" s="20" t="inlineStr">
        <is>
          <t>https://icatalog.expocentr.ru/ru/exhibitions/de590dc5-417d-11ee-80ce-a0d3c1fab97f</t>
        </is>
      </c>
    </row>
    <row r="66">
      <c r="A66" s="15" t="inlineStr">
        <is>
          <t>ИМК «ИНСАЙТ», ООО</t>
        </is>
      </c>
      <c r="B66" s="15" t="inlineStr">
        <is>
          <t>8D050</t>
        </is>
      </c>
      <c r="C66" s="15" t="inlineStr">
        <is>
          <t>Россия</t>
        </is>
      </c>
      <c r="D66" s="15" t="inlineStr">
        <is>
          <t>Иркутск</t>
        </is>
      </c>
      <c r="E66" s="15" t="inlineStr">
        <is>
          <t>Россия, 664075, г. Иркутск, ул. Байкальская, стр. 239/20, комн. 2-74</t>
        </is>
      </c>
      <c r="F66" s="20" t="inlineStr">
        <is>
          <t>http://www.inmed.ru</t>
        </is>
      </c>
      <c r="G66" s="15" t="inlineStr">
        <is>
          <t>info@inmed.ru</t>
        </is>
      </c>
      <c r="H66" s="15" t="inlineStr">
        <is>
          <t>ООО «ИМК «ИНСАЙТ» является представителем брендов новейших медицинских технологий и поставщиком полного спектра медицинского оборудования. «ИНСАЙТ» более 30 лет сохраняет репутацию надежного партнера по реализации проектов для здравоохранения, предлагая комплексные решения и сервис высокого уровня. Мы не просто продаем оборудование, современные методы лечения и диагностики, а решаем сложные задачи для повышения качества оказания медицинской помощи.</t>
        </is>
      </c>
      <c r="I66" s="15" t="inlineStr">
        <is>
          <t>Компьютерные томографы; Ультразвуковые сканеры и диагностические системы; Наркозно-дыхательные аппараты</t>
        </is>
      </c>
      <c r="J66" s="15" t="inlineStr">
        <is>
          <t>Дилер</t>
        </is>
      </c>
      <c r="K66" s="15" t="inlineStr">
        <is>
          <t>OK</t>
        </is>
      </c>
      <c r="L66" s="15" t="inlineStr">
        <is>
          <t>компьютерные томографы, ультразвуковые сканеры и аппараты</t>
        </is>
      </c>
      <c r="M66" s="15" t="inlineStr">
        <is>
          <t>ИМК «ИНСАЙТ»</t>
        </is>
      </c>
      <c r="N66" s="15" t="inlineStr">
        <is>
          <t>Здравоохранение-2025</t>
        </is>
      </c>
      <c r="O66" s="20" t="inlineStr">
        <is>
          <t>https://icatalog.expocentr.ru/ru/exhibitions/de590dc5-417d-11ee-80ce-a0d3c1fab97f</t>
        </is>
      </c>
    </row>
    <row r="67">
      <c r="A67" s="15" t="inlineStr">
        <is>
          <t>ГОЛДИДЕНТ, ООО</t>
        </is>
      </c>
      <c r="B67" s="15" t="inlineStr">
        <is>
          <t>8C090</t>
        </is>
      </c>
      <c r="C67" s="15" t="inlineStr">
        <is>
          <t>Россия</t>
        </is>
      </c>
      <c r="D67" s="15" t="inlineStr">
        <is>
          <t>Москва</t>
        </is>
      </c>
      <c r="E67" s="15" t="inlineStr">
        <is>
          <t>Россия, 115162, г. Москва, ул. Шухова, д. 10, пом. II</t>
        </is>
      </c>
      <c r="F67" s="20" t="inlineStr">
        <is>
          <t>https://goldident.ru</t>
        </is>
      </c>
      <c r="G67" s="15" t="inlineStr">
        <is>
          <t>info@goldident.ru</t>
        </is>
      </c>
      <c r="H67" s="15" t="inlineStr">
        <is>
          <t>С 2010 года компания «ГОЛДИДЕНТ» успешно занимается проектированием, подбором и оснащением стоматологических клиник и зуботехнических лабораторий профессиональным оборудованием. В нашем ассортименте имеются компьютерные томографы, стоматологические установки, интраоральные сканеры, дентальные рентгены и многое другое.</t>
        </is>
      </c>
      <c r="I67" s="15" t="inlineStr">
        <is>
          <t>Стоматологическое оборудование и инструменты; Оборудование для цифровой стоматологии; Стоматологическая рентгенодиагностическая аппаратура</t>
        </is>
      </c>
      <c r="J67" s="15" t="inlineStr">
        <is>
          <t>Дилер</t>
        </is>
      </c>
      <c r="K67" s="15" t="inlineStr">
        <is>
          <t>OK</t>
        </is>
      </c>
      <c r="L67" s="15" t="inlineStr">
        <is>
          <t>стоматологическое оборудование, инструменты и сканеры</t>
        </is>
      </c>
      <c r="M67" s="15" t="inlineStr">
        <is>
          <t>Голдидент</t>
        </is>
      </c>
      <c r="N67" s="15" t="inlineStr">
        <is>
          <t>Здравоохранение-2025</t>
        </is>
      </c>
      <c r="O67" s="20" t="inlineStr">
        <is>
          <t>https://icatalog.expocentr.ru/ru/exhibitions/de590dc5-417d-11ee-80ce-a0d3c1fab97f</t>
        </is>
      </c>
    </row>
    <row r="68">
      <c r="A68" s="15" t="inlineStr">
        <is>
          <t>МТ ТЕХНИКА, ООО</t>
        </is>
      </c>
      <c r="B68" s="15" t="inlineStr">
        <is>
          <t>8D015</t>
        </is>
      </c>
      <c r="C68" s="15" t="inlineStr">
        <is>
          <t>Россия</t>
        </is>
      </c>
      <c r="D68" s="15" t="inlineStr">
        <is>
          <t>Москва</t>
        </is>
      </c>
      <c r="E68" s="15" t="inlineStr">
        <is>
          <t>Россия, 121357, г. Москва, вн. тер. г. м. о. Можайский, ул. Верейская, д. 29, стр. 134, этаж 3, комн. 25</t>
        </is>
      </c>
      <c r="F68" s="20" t="inlineStr">
        <is>
          <t>http://www.mttechnica.ru</t>
        </is>
      </c>
      <c r="G68" s="15" t="inlineStr">
        <is>
          <t>info@mttechnica.ru</t>
        </is>
      </c>
      <c r="H68" s="15" t="inlineStr">
        <is>
          <t>Компания «МТ Техника» осуществляет комплексные поставки медицинского оборудования ведущих мировых производителей со склада в Москве.</t>
        </is>
      </c>
      <c r="I68" s="15" t="inlineStr">
        <is>
          <t>Инструменты гинекологические; Оборудование для урологической диагностики; Эндоскопы жесткие; Эндоскопы гибкие; Эндоскопические комплексы и системы; Оборудование и средства для лапароскопии</t>
        </is>
      </c>
      <c r="J68" s="15" t="inlineStr">
        <is>
          <t>Дилер</t>
        </is>
      </c>
      <c r="K68" s="15" t="inlineStr">
        <is>
          <t>OK</t>
        </is>
      </c>
      <c r="L68" s="15" t="inlineStr">
        <is>
          <t>инструменты, оборудование и эндоскопы</t>
        </is>
      </c>
      <c r="M68" s="15" t="inlineStr">
        <is>
          <t>МТ Техника</t>
        </is>
      </c>
      <c r="N68" s="15" t="inlineStr">
        <is>
          <t>Здравоохранение-2025</t>
        </is>
      </c>
      <c r="O68" s="20" t="inlineStr">
        <is>
          <t>https://icatalog.expocentr.ru/ru/exhibitions/de590dc5-417d-11ee-80ce-a0d3c1fab97f</t>
        </is>
      </c>
    </row>
    <row r="69">
      <c r="A69" s="15" t="inlineStr">
        <is>
          <t>КОНСОРЦИУМ МЕДИЦИНСКАЯ ТЕХНИКА, АНО</t>
        </is>
      </c>
      <c r="B69" s="15" t="inlineStr">
        <is>
          <t>8G070</t>
        </is>
      </c>
      <c r="C69" s="15" t="inlineStr">
        <is>
          <t>Россия</t>
        </is>
      </c>
      <c r="D69" s="15" t="inlineStr">
        <is>
          <t>Москва</t>
        </is>
      </c>
      <c r="E69" s="15" t="inlineStr">
        <is>
          <t>Россия, 129366, г. Москва, просп. Мира, д. 176, пом. I, комн. 61</t>
        </is>
      </c>
      <c r="F69" s="20" t="inlineStr">
        <is>
          <t>http://www.anokmt.ru</t>
        </is>
      </c>
      <c r="G69" s="15" t="inlineStr">
        <is>
          <t>info@anokmt.ru</t>
        </is>
      </c>
      <c r="H69" s="15" t="inlineStr">
        <is>
          <t>АНО "Консорциум «Медицинская техника» – система государственно-частного партнерства, способствующая развитию производства отечественного высокотехнологичного медицинского оборудования.</t>
        </is>
      </c>
      <c r="I69" s="15" t="inlineStr">
        <is>
          <t>Оборудование для урологической диагностики; Прочие изделия для лабораторий; Эндоскопы гибкие; Аппараты для искусственной вентиляции легких; Наркозно-дыхательные аппараты; Эндопротезы и имплантаты</t>
        </is>
      </c>
      <c r="J69" s="15" t="inlineStr">
        <is>
          <t>Производитель</t>
        </is>
      </c>
      <c r="K69" s="15" t="inlineStr">
        <is>
          <t>OK</t>
        </is>
      </c>
      <c r="L69" s="15" t="inlineStr">
        <is>
          <t>оборудование для диагностики, эндоскопы, аппараты ИВЛ и эндопротезы</t>
        </is>
      </c>
      <c r="M69" s="15" t="inlineStr">
        <is>
          <t>Консорциум Медицинская Техника</t>
        </is>
      </c>
      <c r="N69" s="15" t="inlineStr">
        <is>
          <t>Здравоохранение-2025</t>
        </is>
      </c>
      <c r="O69" s="20" t="inlineStr">
        <is>
          <t>https://icatalog.expocentr.ru/ru/exhibitions/de590dc5-417d-11ee-80ce-a0d3c1fab97f</t>
        </is>
      </c>
    </row>
    <row r="70">
      <c r="A70" s="15" t="inlineStr">
        <is>
          <t>ПЕРСПЕКТИВА, ООО</t>
        </is>
      </c>
      <c r="B70" s="15" t="inlineStr">
        <is>
          <t>8B135</t>
        </is>
      </c>
      <c r="C70" s="15" t="inlineStr">
        <is>
          <t>Россия</t>
        </is>
      </c>
      <c r="D70" s="15" t="inlineStr">
        <is>
          <t>Москва</t>
        </is>
      </c>
      <c r="E70" s="15" t="inlineStr">
        <is>
          <t>Россия, 109202, г. Москва, Перовское ш., д. 12, пом. 2, комн. 9</t>
        </is>
      </c>
      <c r="F70" s="15" t="n"/>
      <c r="G70" s="15" t="inlineStr">
        <is>
          <t>asbzhezinsky@gmail.com</t>
        </is>
      </c>
      <c r="H70" s="15" t="inlineStr">
        <is>
          <t>ООО «Перспектива» — официальный представитель китайских производителей медтехники. Поставляет комплектующие для рентген-аппаратов: детекторы, трубки, генераторы и коллиматоры.</t>
        </is>
      </c>
      <c r="I70" s="15" t="inlineStr">
        <is>
          <t>Прочие диагностические устройства; Рентгеновские диагностические установки, передвижные и стационарные</t>
        </is>
      </c>
      <c r="J70" s="15" t="inlineStr">
        <is>
          <t>Дилер</t>
        </is>
      </c>
      <c r="K70" s="15" t="inlineStr">
        <is>
          <t>OK</t>
        </is>
      </c>
      <c r="L70" s="15" t="inlineStr">
        <is>
          <t>комплектующие, детекторы, трубки, генераторы и коллиматоры</t>
        </is>
      </c>
      <c r="M70" s="15" t="inlineStr">
        <is>
          <t>Перспектива</t>
        </is>
      </c>
      <c r="N70" s="15" t="inlineStr">
        <is>
          <t>Здравоохранение-2025</t>
        </is>
      </c>
      <c r="O70" s="20" t="inlineStr">
        <is>
          <t>https://icatalog.expocentr.ru/ru/exhibitions/de590dc5-417d-11ee-80ce-a0d3c1fab97f</t>
        </is>
      </c>
    </row>
    <row r="71">
      <c r="A71" s="15" t="inlineStr">
        <is>
          <t>ГК ВЕКТОР</t>
        </is>
      </c>
      <c r="B71" s="15" t="inlineStr">
        <is>
          <t>8G090</t>
        </is>
      </c>
      <c r="C71" s="15" t="inlineStr">
        <is>
          <t>Россия</t>
        </is>
      </c>
      <c r="D71" s="15" t="inlineStr">
        <is>
          <t>Санкт-Петербург</t>
        </is>
      </c>
      <c r="E71" s="15" t="inlineStr">
        <is>
          <t>Россия, 195273, г. Санкт-Петербург, просп. Непокоренных, д. 74, корп. 1, литера А, пом. 107-Н</t>
        </is>
      </c>
      <c r="F71" s="20" t="inlineStr">
        <is>
          <t>https://gkvector.com</t>
        </is>
      </c>
      <c r="G71" s="15" t="inlineStr">
        <is>
          <t>send@gkvector.com</t>
        </is>
      </c>
      <c r="H71" s="15" t="inlineStr">
        <is>
          <t>Поставляем медицинское оборудование, разрабатываем собственные решения, помогаем клиникам запускать кабинеты без лишних сложностей. Работаем с частными и государственными организациями по всей России.</t>
        </is>
      </c>
      <c r="I71" s="15" t="inlineStr">
        <is>
          <t>Ультразвуковые сканеры и диагностические системы; Физиотерапия и реабилитация; Лабораторное оборудование; Реагенты и расходные материалы для лабораторной диагностики</t>
        </is>
      </c>
      <c r="J71" s="15" t="inlineStr">
        <is>
          <t>Производитель</t>
        </is>
      </c>
      <c r="K71" s="15" t="inlineStr">
        <is>
          <t>OK</t>
        </is>
      </c>
      <c r="L71" s="15" t="inlineStr">
        <is>
          <t>медицинское оборудование, сканеры, реагенты и расходные материалы</t>
        </is>
      </c>
      <c r="M71" s="15" t="inlineStr">
        <is>
          <t>Вектор</t>
        </is>
      </c>
      <c r="N71" s="15" t="inlineStr">
        <is>
          <t>Здравоохранение-2025</t>
        </is>
      </c>
      <c r="O71" s="20" t="inlineStr">
        <is>
          <t>https://icatalog.expocentr.ru/ru/exhibitions/de590dc5-417d-11ee-80ce-a0d3c1fab97f</t>
        </is>
      </c>
    </row>
    <row r="72">
      <c r="A72" s="15" t="inlineStr">
        <is>
          <t>Р-ФАРМ, АО</t>
        </is>
      </c>
      <c r="B72" s="15" t="inlineStr">
        <is>
          <t>8D030</t>
        </is>
      </c>
      <c r="C72" s="15" t="inlineStr">
        <is>
          <t>Россия</t>
        </is>
      </c>
      <c r="D72" s="15" t="inlineStr">
        <is>
          <t>Москва</t>
        </is>
      </c>
      <c r="E72" s="15" t="inlineStr">
        <is>
          <t>Россия, г. Москва, Ленинский просп., д. 111, корп. 1</t>
        </is>
      </c>
      <c r="F72" s="20" t="inlineStr">
        <is>
          <t>http://www.rpharm.ru</t>
        </is>
      </c>
      <c r="G72" s="15" t="inlineStr">
        <is>
          <t>info@rpharm.ru</t>
        </is>
      </c>
      <c r="H72" s="15" t="inlineStr">
        <is>
          <t>АО «Р-Фарм» предлагает комплексные решения для здравоохранения, специализируясь на исследованиях, разработке, производстве лекарственных средств, лабораторного оборудования и медицинской техники.</t>
        </is>
      </c>
      <c r="I72" s="15" t="inlineStr">
        <is>
          <t>Диагностическое оборудование для гинекологии; Компьютерные томографы; Маммографы; Ультразвуковые сканеры и диагностические системы; ПЦР-диагностика; Эндоскопы гибкие</t>
        </is>
      </c>
      <c r="J72" s="15" t="inlineStr">
        <is>
          <t>Производитель</t>
        </is>
      </c>
      <c r="K72" s="15" t="inlineStr">
        <is>
          <t>OK</t>
        </is>
      </c>
      <c r="L72" s="15" t="inlineStr">
        <is>
          <t>лекарственные средства, оборудование и техника</t>
        </is>
      </c>
      <c r="M72" s="15" t="inlineStr">
        <is>
          <t>Р-ФАРМ</t>
        </is>
      </c>
      <c r="N72" s="15" t="inlineStr">
        <is>
          <t>Здравоохранение-2025</t>
        </is>
      </c>
      <c r="O72" s="20" t="inlineStr">
        <is>
          <t>https://icatalog.expocentr.ru/ru/exhibitions/de590dc5-417d-11ee-80ce-a0d3c1fab97f</t>
        </is>
      </c>
    </row>
    <row r="73">
      <c r="A73" s="15" t="inlineStr">
        <is>
          <t>САУС МЕДИКА, ООО</t>
        </is>
      </c>
      <c r="B73" s="15" t="inlineStr">
        <is>
          <t>8D120</t>
        </is>
      </c>
      <c r="C73" s="15" t="inlineStr">
        <is>
          <t>Россия</t>
        </is>
      </c>
      <c r="D73" s="15" t="inlineStr">
        <is>
          <t>Ростов-на-Дону</t>
        </is>
      </c>
      <c r="E73" s="15" t="inlineStr">
        <is>
          <t>Россия, 344002, г. Ростов-на-Дону, ул. Максима Горького, д. 102, оф. 1</t>
        </is>
      </c>
      <c r="F73" s="20" t="inlineStr">
        <is>
          <t>https://southmedica.ru</t>
        </is>
      </c>
      <c r="G73" s="15" t="inlineStr">
        <is>
          <t>info@southmedica.ru</t>
        </is>
      </c>
      <c r="H73" s="15" t="inlineStr">
        <is>
          <t>ООО «Саус Медика» (г. Ростов-на-Дону) является премиальным партнером Philips и специализируется на поставке аппаратов ультразвуковой диагностики.</t>
        </is>
      </c>
      <c r="I73" s="15" t="inlineStr">
        <is>
          <t>Ультразвуковые сканеры и диагностические системы</t>
        </is>
      </c>
      <c r="J73" s="15" t="inlineStr">
        <is>
          <t>Дилер</t>
        </is>
      </c>
      <c r="K73" s="15" t="inlineStr">
        <is>
          <t>OK</t>
        </is>
      </c>
      <c r="L73" s="15" t="inlineStr">
        <is>
          <t>ультразвуковые сканеры и диагностические системы</t>
        </is>
      </c>
      <c r="M73" s="15" t="inlineStr">
        <is>
          <t>Саус Медика</t>
        </is>
      </c>
      <c r="N73" s="15" t="inlineStr">
        <is>
          <t>Здравоохранение-2025</t>
        </is>
      </c>
      <c r="O73" s="20" t="inlineStr">
        <is>
          <t>https://icatalog.expocentr.ru/ru/exhibitions/de590dc5-417d-11ee-80ce-a0d3c1fab97f</t>
        </is>
      </c>
    </row>
    <row r="74">
      <c r="A74" s="15" t="inlineStr">
        <is>
          <t>СИТИМЕД, ООО</t>
        </is>
      </c>
      <c r="B74" s="15" t="inlineStr">
        <is>
          <t>8C100</t>
        </is>
      </c>
      <c r="C74" s="15" t="inlineStr">
        <is>
          <t>Россия</t>
        </is>
      </c>
      <c r="D74" s="15" t="inlineStr">
        <is>
          <t>Москва</t>
        </is>
      </c>
      <c r="E74" s="15" t="inlineStr">
        <is>
          <t>Россия, 109147, г. Москва, вн. тер. г. м. о. Таганский, ул. Марксистская, д. 20, стр. 8, пом. 13</t>
        </is>
      </c>
      <c r="F74" s="20" t="inlineStr">
        <is>
          <t>https://siti-med.com</t>
        </is>
      </c>
      <c r="G74" s="15" t="inlineStr">
        <is>
          <t>info@siti-med.com</t>
        </is>
      </c>
      <c r="H74" s="15" t="inlineStr">
        <is>
          <t>Эксклюзивный представитель видеоэндоскопического оборудования Mindsion. Беспроводные видеоэндоскопы: бронхоскопы, риноларингоскопы, уретерореноскопы. Поставляем широкий спектр медоборудования по РФ.</t>
        </is>
      </c>
      <c r="I74" s="15" t="inlineStr">
        <is>
          <t>Оборудование для урологической диагностики; Оборудование для оториноларингологической диагностики и лечения; Эндоскопы гибкие; Эндоскопические комплексы и системы; Инструменты и принадлежности для эндоскопии; Ларингоскопы</t>
        </is>
      </c>
      <c r="J74" s="15" t="inlineStr">
        <is>
          <t>Дилер</t>
        </is>
      </c>
      <c r="K74" s="15" t="inlineStr">
        <is>
          <t>OK</t>
        </is>
      </c>
      <c r="L74" s="15" t="inlineStr">
        <is>
          <t>видеоэндоскопы, эндоскопы, ларингоскопы и медицинское оборудование</t>
        </is>
      </c>
      <c r="M74" s="15" t="inlineStr">
        <is>
          <t>Ситимед</t>
        </is>
      </c>
      <c r="N74" s="15" t="inlineStr">
        <is>
          <t>Здравоохранение-2025</t>
        </is>
      </c>
      <c r="O74" s="20" t="inlineStr">
        <is>
          <t>https://icatalog.expocentr.ru/ru/exhibitions/de590dc5-417d-11ee-80ce-a0d3c1fab97f</t>
        </is>
      </c>
    </row>
    <row r="75">
      <c r="A75" s="15" t="inlineStr">
        <is>
          <t>ЦЕНТР ПЕРИНАТАЛЬНОЙ МЕДИЦИНЫ, ООО</t>
        </is>
      </c>
      <c r="B75" s="15" t="inlineStr">
        <is>
          <t>8B100</t>
        </is>
      </c>
      <c r="C75" s="15" t="inlineStr">
        <is>
          <t>Россия</t>
        </is>
      </c>
      <c r="D75" s="15" t="inlineStr">
        <is>
          <t>Москва</t>
        </is>
      </c>
      <c r="E75" s="15" t="inlineStr">
        <is>
          <t>Россия, 105082, г. Москва, вн. тер. г. м. о. Басманный, ул. Большая Почтовая, д. 26в, стр. 2, пом. 2/1</t>
        </is>
      </c>
      <c r="F75" s="20" t="inlineStr">
        <is>
          <t>https://cpm.center</t>
        </is>
      </c>
      <c r="G75" s="15" t="inlineStr">
        <is>
          <t>cpmsveta@yandex.ru</t>
        </is>
      </c>
      <c r="H75" s="15" t="inlineStr">
        <is>
          <t>ООО «ЦПМ» предоставляет сервис и поставляет оборудование для отделений реанимации: ИВЛ HFO, реанимационные комплексы, видеоларингоскопы, компрессоры Fabian (Zoll), David Ningbо, Peak Medical, Taurus.</t>
        </is>
      </c>
      <c r="I75" s="15" t="inlineStr">
        <is>
          <t>Инкубаторы и открытые реанимационные системы; Аппараты для искусственной вентиляции легких; Оборудование для медицинских газов; Ларингоскопы; Комплекты реанимационного оборудования; Принадлежности и расходные материалы для реанимации и экстренной помощи</t>
        </is>
      </c>
      <c r="J75" s="15" t="inlineStr">
        <is>
          <t>Дилер</t>
        </is>
      </c>
      <c r="K75" s="15" t="inlineStr">
        <is>
          <t>OK</t>
        </is>
      </c>
      <c r="L75" s="15" t="inlineStr">
        <is>
          <t>аппараты ИВЛ, комплексы, инкубаторы и ларингоскопы</t>
        </is>
      </c>
      <c r="M75" s="15" t="inlineStr">
        <is>
          <t>Центр Перинатальной Медицины</t>
        </is>
      </c>
      <c r="N75" s="15" t="inlineStr">
        <is>
          <t>Здравоохранение-2025</t>
        </is>
      </c>
      <c r="O75" s="20" t="inlineStr">
        <is>
          <t>https://icatalog.expocentr.ru/ru/exhibitions/de590dc5-417d-11ee-80ce-a0d3c1fab97f</t>
        </is>
      </c>
    </row>
    <row r="76">
      <c r="A76" s="15" t="inlineStr">
        <is>
          <t>ПАНЕП, ООО</t>
        </is>
      </c>
      <c r="B76" s="15" t="inlineStr">
        <is>
          <t>8F085</t>
        </is>
      </c>
      <c r="C76" s="15" t="inlineStr">
        <is>
          <t>Россия</t>
        </is>
      </c>
      <c r="D76" s="15" t="inlineStr">
        <is>
          <t>Ногинск</t>
        </is>
      </c>
      <c r="E76" s="15" t="inlineStr">
        <is>
          <t>Россия, 142400, Московская обл., г. Ногинск, ул. Рогожская, д. 65, комн. 15</t>
        </is>
      </c>
      <c r="F76" s="20" t="inlineStr">
        <is>
          <t>http://formed.ru</t>
        </is>
      </c>
      <c r="G76" s="15" t="inlineStr">
        <is>
          <t>panep2013@gmail.com</t>
        </is>
      </c>
      <c r="H76" s="15" t="inlineStr">
        <is>
          <t>ООО «ПАНЕП» (FORMED) осуществляет поставку и продвижение медицинского оборудования, а также имеет авторизованный сервисный центр. Продвигает инновационные медицинские технологии и методики.</t>
        </is>
      </c>
      <c r="I76" s="15" t="inlineStr">
        <is>
          <t>Приборы для исследования внешнего дыхания; Пульмонологические мониторные системы; Физиотерапия и реабилитация; Профилактическая медицина, увеличение продолжительности жизни; Аппараты для искусственной вентиляции легких; Дефибрилляторы</t>
        </is>
      </c>
      <c r="J76" s="15" t="inlineStr">
        <is>
          <t>Дилер</t>
        </is>
      </c>
      <c r="K76" s="15" t="inlineStr">
        <is>
          <t>OK</t>
        </is>
      </c>
      <c r="L76" s="15" t="inlineStr">
        <is>
          <t>приборы, системы, аппараты и дефибрилляторы</t>
        </is>
      </c>
      <c r="M76" s="15" t="inlineStr">
        <is>
          <t>Панеп</t>
        </is>
      </c>
      <c r="N76" s="15" t="inlineStr">
        <is>
          <t>Здравоохранение-2025</t>
        </is>
      </c>
      <c r="O76" s="20" t="inlineStr">
        <is>
          <t>https://icatalog.expocentr.ru/ru/exhibitions/de590dc5-417d-11ee-80ce-a0d3c1fab97f</t>
        </is>
      </c>
    </row>
    <row r="77">
      <c r="A77" s="15" t="inlineStr">
        <is>
          <t>КОРДИСМЕД, ООО</t>
        </is>
      </c>
      <c r="B77" s="15" t="inlineStr">
        <is>
          <t>8B130</t>
        </is>
      </c>
      <c r="C77" s="15" t="inlineStr">
        <is>
          <t>Россия</t>
        </is>
      </c>
      <c r="D77" s="15" t="inlineStr">
        <is>
          <t>Москва</t>
        </is>
      </c>
      <c r="E77" s="15" t="inlineStr">
        <is>
          <t>Россия, 117105, г. Москва, 1-й Нагатинский пр-д, д. 2, стр. 34, пом. 5</t>
        </is>
      </c>
      <c r="F77" s="20" t="inlineStr">
        <is>
          <t>https://cordismed.ru</t>
        </is>
      </c>
      <c r="G77" s="15" t="inlineStr">
        <is>
          <t>sale@cordismed.ru</t>
        </is>
      </c>
      <c r="H77" s="15" t="inlineStr">
        <is>
          <t>«Кордисмед» — дистрибьютор медоборудования. Оснащаем операционные, лор- и гинекологические отделения, кабинеты эндоскопии. Поставляем медицинский свет. Работаем с ведущими клиниками. Экспертный подход.</t>
        </is>
      </c>
      <c r="I77" s="15" t="inlineStr">
        <is>
          <t>Оборудование для мониторинга функций сердечно-сосудистой системы; Мебель для гинекологии и акушерства; Фетальные мониторы; Осветительные приборы; Оборудование для оториноларингологической диагностики и лечения; Осветители хирургические</t>
        </is>
      </c>
      <c r="J77" s="15" t="inlineStr">
        <is>
          <t>Дилер</t>
        </is>
      </c>
      <c r="K77" s="15" t="inlineStr">
        <is>
          <t>OK</t>
        </is>
      </c>
      <c r="L77" s="15" t="inlineStr">
        <is>
          <t>медоборудование, мебель и осветительные приборы</t>
        </is>
      </c>
      <c r="M77" s="15" t="inlineStr">
        <is>
          <t>Кордисмед</t>
        </is>
      </c>
      <c r="N77" s="15" t="inlineStr">
        <is>
          <t>Здравоохранение-2025</t>
        </is>
      </c>
      <c r="O77" s="20" t="inlineStr">
        <is>
          <t>https://icatalog.expocentr.ru/ru/exhibitions/de590dc5-417d-11ee-80ce-a0d3c1fab97f</t>
        </is>
      </c>
    </row>
    <row r="78">
      <c r="A78" s="15" t="inlineStr">
        <is>
          <t>ГРАНД МЕДИКАЛ ГРУПП, ООО</t>
        </is>
      </c>
      <c r="B78" s="15" t="inlineStr">
        <is>
          <t>8F080</t>
        </is>
      </c>
      <c r="C78" s="15" t="inlineStr">
        <is>
          <t>Россия</t>
        </is>
      </c>
      <c r="D78" s="15" t="inlineStr">
        <is>
          <t>Москва</t>
        </is>
      </c>
      <c r="E78" s="15" t="inlineStr">
        <is>
          <t>Россия, г. Москва, ул. Миклухо-Маклая, д. 8, стр. 3</t>
        </is>
      </c>
      <c r="F78" s="20" t="inlineStr">
        <is>
          <t>http://www.grandmedgroup.ru</t>
        </is>
      </c>
      <c r="G78" s="15" t="inlineStr">
        <is>
          <t>gklider39@mail.ru</t>
        </is>
      </c>
      <c r="H78" s="15" t="inlineStr">
        <is>
          <t>Оборудование для лечения онкологических заболеваний (ФУЗ-абляция). Диагностика: магнитно-резонансные и компьютерные томографы, маммографы, С-дуги, УЗ-сканеры, рентгены с 3D-визуализацией.</t>
        </is>
      </c>
      <c r="I78" s="15" t="inlineStr">
        <is>
          <t>Диагностическое оборудование для гинекологии; Рентгеновские диагностические установки, передвижные и стационарные; Маммографы; Ультразвуковые сканеры и диагностические системы</t>
        </is>
      </c>
      <c r="J78" s="15" t="inlineStr">
        <is>
          <t>Производитель</t>
        </is>
      </c>
      <c r="K78" s="15" t="inlineStr">
        <is>
          <t>OK</t>
        </is>
      </c>
      <c r="L78" s="15" t="inlineStr">
        <is>
          <t>томографы, маммографы и сканеры</t>
        </is>
      </c>
      <c r="M78" s="15" t="inlineStr">
        <is>
          <t>Гранд Медикал Групп</t>
        </is>
      </c>
      <c r="N78" s="15" t="inlineStr">
        <is>
          <t>Здравоохранение-2025</t>
        </is>
      </c>
      <c r="O78" s="20" t="inlineStr">
        <is>
          <t>https://icatalog.expocentr.ru/ru/exhibitions/de590dc5-417d-11ee-80ce-a0d3c1fab97f</t>
        </is>
      </c>
    </row>
    <row r="79">
      <c r="A79" s="15" t="inlineStr">
        <is>
          <t>ЭЛЕКТРОН, НИПК, АО</t>
        </is>
      </c>
      <c r="B79" s="21" t="n">
        <v>8e+80</v>
      </c>
      <c r="C79" s="15" t="inlineStr">
        <is>
          <t>Россия</t>
        </is>
      </c>
      <c r="D79" s="15" t="inlineStr">
        <is>
          <t>Санкт-Петербург</t>
        </is>
      </c>
      <c r="E79" s="15" t="inlineStr">
        <is>
          <t>Россия, 198323, г. Санкт-Петербург, Волхонское ш., д. 4Б</t>
        </is>
      </c>
      <c r="F79" s="20" t="inlineStr">
        <is>
          <t>http://www.electronxray.com</t>
        </is>
      </c>
      <c r="G79" s="15" t="inlineStr">
        <is>
          <t>omb@electronxray.com</t>
        </is>
      </c>
      <c r="H79" s="15" t="inlineStr">
        <is>
          <t>Один из лидеров российского рынка в области разработки и производства медицинского оборудования для рентгенодиагностики, рентгенохирургии, компьютерной томографии, ядерной медицины и ультразвуковой диагностики.</t>
        </is>
      </c>
      <c r="I79" s="15" t="inlineStr">
        <is>
          <t>Диагностическое оборудование для гинекологии; Рентгеновские диагностические установки, передвижные и стационарные; Компьютерные томографы; Флюорографы; Ультразвуковые сканеры и диагностические системы</t>
        </is>
      </c>
      <c r="J79" s="15" t="inlineStr">
        <is>
          <t>Производитель</t>
        </is>
      </c>
      <c r="K79" s="15" t="inlineStr">
        <is>
          <t>OK</t>
        </is>
      </c>
      <c r="L79" s="15" t="inlineStr">
        <is>
          <t>диагностическое оборудование, томографы, флюорографы и сканеры</t>
        </is>
      </c>
      <c r="M79" s="15" t="inlineStr">
        <is>
          <t>ЭЛЕКТРОН, НИПК</t>
        </is>
      </c>
      <c r="N79" s="15" t="inlineStr">
        <is>
          <t>Здравоохранение-2025</t>
        </is>
      </c>
      <c r="O79" s="20" t="inlineStr">
        <is>
          <t>https://icatalog.expocentr.ru/ru/exhibitions/de590dc5-417d-11ee-80ce-a0d3c1fab97f</t>
        </is>
      </c>
    </row>
    <row r="80">
      <c r="A80" s="15" t="inlineStr">
        <is>
          <t>357 ГРУПП, ООО</t>
        </is>
      </c>
      <c r="B80" s="15" t="inlineStr">
        <is>
          <t>8C120</t>
        </is>
      </c>
      <c r="C80" s="15" t="inlineStr">
        <is>
          <t>Россия</t>
        </is>
      </c>
      <c r="D80" s="15" t="inlineStr">
        <is>
          <t>Москва</t>
        </is>
      </c>
      <c r="E80" s="15" t="inlineStr">
        <is>
          <t>Россия, 117420, г. Москва, ул. Намёткина, д. 14, корп. 2</t>
        </is>
      </c>
      <c r="F80" s="20" t="inlineStr">
        <is>
          <t>http://www.357.pro</t>
        </is>
      </c>
      <c r="G80" s="15" t="inlineStr">
        <is>
          <t>info@357.pro</t>
        </is>
      </c>
      <c r="H80" s="15" t="inlineStr">
        <is>
          <t>357 GROUP — надежный поставщик медицинского оборудования: кольпоскопов, стерилизаторов, компрессоров, бестеневых светильников, мебели, микроскопов, оборудования для реанимации, анестезиологии и т. д.</t>
        </is>
      </c>
      <c r="I80" s="15" t="inlineStr">
        <is>
          <t>Диагностическое оборудование для гинекологии; Стоматологическое оборудование и инструменты; Мебель для стоматологических кабинетов; Оборудование для цифровой стоматологии; Стоматологическая рентгенодиагностическая аппаратура; Оборудование для стерилизации</t>
        </is>
      </c>
      <c r="J80" s="15" t="inlineStr">
        <is>
          <t>Дилер</t>
        </is>
      </c>
      <c r="K80" s="15" t="inlineStr">
        <is>
          <t>OK</t>
        </is>
      </c>
      <c r="L80" s="15" t="inlineStr">
        <is>
          <t>кольпоскопы, стерилизаторы, компрессоры, светильники и мебель</t>
        </is>
      </c>
      <c r="M80" s="15" t="inlineStr">
        <is>
          <t>357 ГРУПП</t>
        </is>
      </c>
      <c r="N80" s="15" t="inlineStr">
        <is>
          <t>Здравоохранение-2025</t>
        </is>
      </c>
      <c r="O80" s="20" t="inlineStr">
        <is>
          <t>https://icatalog.expocentr.ru/ru/exhibitions/de590dc5-417d-11ee-80ce-a0d3c1fab97f</t>
        </is>
      </c>
    </row>
    <row r="81">
      <c r="A81" s="15" t="inlineStr">
        <is>
          <t>ПАРИТЕТ, ГРУППА КОМПАНИЙ, ООО</t>
        </is>
      </c>
      <c r="B81" s="15" t="inlineStr">
        <is>
          <t>8B010</t>
        </is>
      </c>
      <c r="C81" s="15" t="inlineStr">
        <is>
          <t>Россия</t>
        </is>
      </c>
      <c r="D81" s="15" t="inlineStr">
        <is>
          <t>Москва</t>
        </is>
      </c>
      <c r="E81" s="15" t="inlineStr">
        <is>
          <t>Россия, 127018, г. Москва, 3-й пр-д Марьиной Рощи, д. 40, стр. 1</t>
        </is>
      </c>
      <c r="F81" s="20" t="inlineStr">
        <is>
          <t>http://www.paritet-moscow.ru</t>
        </is>
      </c>
      <c r="G81" s="15" t="inlineStr">
        <is>
          <t>zakaz10@paritet-moscow.ru</t>
        </is>
      </c>
      <c r="H81" s="15" t="inlineStr">
        <is>
          <t>ГК «Паритет» имеет представительства в 11 городах и занимается активным развитием партнерской сети, успешно реализуя проекты в области медицинского оборудования и расходных материалов по всей территории РФ.</t>
        </is>
      </c>
      <c r="I81" s="15" t="inlineStr">
        <is>
          <t>Рентгеновские диагностические установки, передвижные и стационарные; Ультразвуковые сканеры и диагностические системы; Лабораторное оборудование; Эндоскопические комплексы и системы; Комплекты реанимационного оборудования; Хирургическое оборудование</t>
        </is>
      </c>
      <c r="J81" s="15" t="inlineStr">
        <is>
          <t>Дилер</t>
        </is>
      </c>
      <c r="K81" s="15" t="inlineStr">
        <is>
          <t>OK</t>
        </is>
      </c>
      <c r="L81" s="15" t="inlineStr">
        <is>
          <t>рентгеновские установки, ультразвуковые сканеры, лабораторное, эндоскопическое и хирургическое оборудование</t>
        </is>
      </c>
      <c r="M81" s="15" t="inlineStr">
        <is>
          <t>Паритет, Группа Компаний</t>
        </is>
      </c>
      <c r="N81" s="15" t="inlineStr">
        <is>
          <t>Здравоохранение-2025</t>
        </is>
      </c>
      <c r="O81" s="20" t="inlineStr">
        <is>
          <t>https://icatalog.expocentr.ru/ru/exhibitions/de590dc5-417d-11ee-80ce-a0d3c1fab97f</t>
        </is>
      </c>
    </row>
    <row r="82">
      <c r="A82" s="15" t="inlineStr">
        <is>
          <t>МедАльянс®</t>
        </is>
      </c>
      <c r="B82" s="21" t="n">
        <v>8.000000000000001e+128</v>
      </c>
      <c r="C82" s="15" t="inlineStr">
        <is>
          <t>Россия</t>
        </is>
      </c>
      <c r="D82" s="15" t="inlineStr">
        <is>
          <t>Москва</t>
        </is>
      </c>
      <c r="E82" s="15" t="inlineStr">
        <is>
          <t>Россия, 117638, г. Москва, ул. Одесская, д. 2, бизнес-центр «Лотос»</t>
        </is>
      </c>
      <c r="F82" s="20" t="inlineStr">
        <is>
          <t>https://medal.group</t>
        </is>
      </c>
      <c r="G82" s="15" t="inlineStr">
        <is>
          <t>info@medal.group</t>
        </is>
      </c>
      <c r="H82" s="15" t="inlineStr">
        <is>
          <t>«МедАльянс®» – авторизованный сервисный и бизнес-партнер зарубежных и отечественных производителей медицинского оборудования, специализирующийся на комплексном оснащении под ключ лечебных учреждений.</t>
        </is>
      </c>
      <c r="I82" s="15" t="inlineStr">
        <is>
          <t>Аналитика рынка, консалтинг; Проектирование, производство, монтаж, валидация чистых операционных и реанимационных; Проектирование и оснащение медицинских учреждений под ключ; Медицинский инжиниринг; Поставка медицинского оборудования и расходных материалов; Юридическое сопровождение медицинских организаций</t>
        </is>
      </c>
      <c r="J82" s="15" t="inlineStr">
        <is>
          <t>Дилер</t>
        </is>
      </c>
      <c r="K82" s="15" t="inlineStr">
        <is>
          <t>OK</t>
        </is>
      </c>
      <c r="L82" s="15" t="inlineStr">
        <is>
          <t>медицинское оборудование и расходные материалы</t>
        </is>
      </c>
      <c r="M82" s="15" t="inlineStr">
        <is>
          <t>Медальянс</t>
        </is>
      </c>
      <c r="N82" s="15" t="inlineStr">
        <is>
          <t>Здравоохранение-2025</t>
        </is>
      </c>
      <c r="O82" s="20" t="inlineStr">
        <is>
          <t>https://icatalog.expocentr.ru/ru/exhibitions/de590dc5-417d-11ee-80ce-a0d3c1fab97f</t>
        </is>
      </c>
    </row>
    <row r="83">
      <c r="A83" s="15" t="inlineStr">
        <is>
          <t>БИМК КАРДИО ВОЛГА</t>
        </is>
      </c>
      <c r="B83" s="21" t="n">
        <v>8e+60</v>
      </c>
      <c r="C83" s="15" t="inlineStr">
        <is>
          <t>Россия</t>
        </is>
      </c>
      <c r="D83" s="15" t="inlineStr">
        <is>
          <t>Москва</t>
        </is>
      </c>
      <c r="E83" s="15" t="inlineStr">
        <is>
          <t>Россия, 109044, г. Москва, 4-й Крутицкий пер., д. 14</t>
        </is>
      </c>
      <c r="F83" s="20" t="inlineStr">
        <is>
          <t>http://www.bimcvol.ru</t>
        </is>
      </c>
      <c r="G83" s="15" t="inlineStr">
        <is>
          <t>info@bimcvol.ru</t>
        </is>
      </c>
      <c r="H83" s="15" t="inlineStr">
        <is>
          <t>Официальный дистрибьютор ведущих производителей медицинского оборудования: Philips Healthcare, Olympus Medical Systems, GE Healthcare, Accuray, «Мед Теко». Компания предлагает широкий спектр современного высокотехнологичного медицинского оборудования по наиболее привлекательным ценам, в том числе комплексное инженерно-техническое проектирование и оснащение лечебных учреждений, гарантийный и постгарантийный сервис. Глубокие экспертные знания и многолетний опыт лежат в основе ежедневной эффективной работы компании «БИМК Кардио Волга». Высококвалифицированные специалисты проконсультируют вас и сформируют выгодное предложение, возьмут на себя решение всех вопросов по доставке, установке и сервисному обслуживанию и, что самое главное, обучат врачей работать на новейшем оборудовании.</t>
        </is>
      </c>
      <c r="I83" s="15" t="inlineStr">
        <is>
          <t>Проектирование и оснащение медицинских учреждений под ключ; Рентгеновские диагностические установки, передвижные и стационарные; Компьютерные томографы; ПЭТ; Маммографы; Флюорографы; Магнитно-резонансные томографы; Ультразвуковые сканеры и диагностические системы; Приборы и аппараты для радиоизотопной диагностики; Эндоскопы жесткие; Эндоскопы гибкие; Эндоскопические комплексы и системы; Оборудование и средства для лапароскопии; Инструменты и принадлежности для эндоскопии</t>
        </is>
      </c>
      <c r="J83" s="15" t="inlineStr">
        <is>
          <t>Дилер</t>
        </is>
      </c>
      <c r="K83" s="15" t="inlineStr">
        <is>
          <t>OK</t>
        </is>
      </c>
      <c r="L83" s="15" t="inlineStr">
        <is>
          <t>томографы, сканеры, эндоскопы и аппараты</t>
        </is>
      </c>
      <c r="M83" s="15" t="inlineStr">
        <is>
          <t>Бимк Кардио Волга</t>
        </is>
      </c>
      <c r="N83" s="15" t="inlineStr">
        <is>
          <t>Здравоохранение-2025</t>
        </is>
      </c>
      <c r="O83" s="20" t="inlineStr">
        <is>
          <t>https://icatalog.expocentr.ru/ru/exhibitions/de590dc5-417d-11ee-80ce-a0d3c1fab97f</t>
        </is>
      </c>
    </row>
    <row r="84">
      <c r="A84" s="15" t="inlineStr">
        <is>
          <t>МЕДТЕХНИКА, ООО</t>
        </is>
      </c>
      <c r="B84" s="15" t="inlineStr">
        <is>
          <t>8C100</t>
        </is>
      </c>
      <c r="C84" s="15" t="inlineStr">
        <is>
          <t>Россия</t>
        </is>
      </c>
      <c r="D84" s="15" t="inlineStr">
        <is>
          <t>Москва</t>
        </is>
      </c>
      <c r="E84" s="15" t="inlineStr">
        <is>
          <t>Россия, г. Москва, Ленинградский просп., д. 35</t>
        </is>
      </c>
      <c r="F84" s="20" t="inlineStr">
        <is>
          <t>http://endomedi.ru</t>
        </is>
      </c>
      <c r="G84" s="15" t="inlineStr">
        <is>
          <t>info@mdt-mdt.ru</t>
        </is>
      </c>
      <c r="H84" s="15" t="inlineStr">
        <is>
          <t>Ремонт, продажа и обслуживание эндоскопического оборудования Olympus, Pentax, Fujinon, Mindsion.</t>
        </is>
      </c>
      <c r="I84" s="15" t="inlineStr">
        <is>
          <t>Эндоскопы жесткие; Эндоскопы гибкие; Эндоскопические комплексы и системы; Оборудование и средства для лапароскопии; Инструменты и принадлежности для эндоскопии</t>
        </is>
      </c>
      <c r="J84" s="15" t="inlineStr">
        <is>
          <t>Дилер</t>
        </is>
      </c>
      <c r="K84" s="15" t="inlineStr">
        <is>
          <t>OK</t>
        </is>
      </c>
      <c r="L84" s="15" t="inlineStr">
        <is>
          <t>эндоскопы, комплексы, средства и инструменты</t>
        </is>
      </c>
      <c r="M84" s="15" t="inlineStr">
        <is>
          <t>Медтехника</t>
        </is>
      </c>
      <c r="N84" s="15" t="inlineStr">
        <is>
          <t>Здравоохранение-2025</t>
        </is>
      </c>
      <c r="O84" s="20" t="inlineStr">
        <is>
          <t>https://icatalog.expocentr.ru/ru/exhibitions/de590dc5-417d-11ee-80ce-a0d3c1fab97f</t>
        </is>
      </c>
    </row>
    <row r="85">
      <c r="A85" s="15" t="inlineStr">
        <is>
          <t>МЕДТЕХ.РУ</t>
        </is>
      </c>
      <c r="B85" s="15" t="inlineStr">
        <is>
          <t>8G010</t>
        </is>
      </c>
      <c r="C85" s="15" t="inlineStr">
        <is>
          <t>Россия</t>
        </is>
      </c>
      <c r="D85" s="15" t="n"/>
      <c r="E85" s="15" t="inlineStr">
        <is>
          <t>Россия</t>
        </is>
      </c>
      <c r="F85" s="20" t="inlineStr">
        <is>
          <t>https://medteh.ru</t>
        </is>
      </c>
      <c r="G85" s="15" t="inlineStr">
        <is>
          <t>info@medteh.ru</t>
        </is>
      </c>
      <c r="H85" s="15" t="inlineStr">
        <is>
          <t>Маркетплейс медицинского оборудования. Стоматологическое рентгеновское оборудование.</t>
        </is>
      </c>
      <c r="I85" s="15" t="inlineStr">
        <is>
          <t>Мебель для стоматологических кабинетов; Стоматологическая рентгенодиагностическая аппаратура; Рентгеновские диагностические установки, передвижные и стационарные; Средства защиты от рентгеновских лучей; Вспомогательное оборудование; Ультразвуковые сканеры и диагностические системы</t>
        </is>
      </c>
      <c r="J85" s="15" t="inlineStr">
        <is>
          <t>Дилер</t>
        </is>
      </c>
      <c r="K85" s="15" t="inlineStr">
        <is>
          <t>OK</t>
        </is>
      </c>
      <c r="L85" s="15" t="inlineStr">
        <is>
          <t>мебель, аппаратура, установки и сканеры</t>
        </is>
      </c>
      <c r="M85" s="15" t="inlineStr">
        <is>
          <t>Медтех</t>
        </is>
      </c>
      <c r="N85" s="15" t="inlineStr">
        <is>
          <t>Здравоохранение-2025</t>
        </is>
      </c>
      <c r="O85" s="20" t="inlineStr">
        <is>
          <t>https://icatalog.expocentr.ru/ru/exhibitions/de590dc5-417d-11ee-80ce-a0d3c1fab97f</t>
        </is>
      </c>
    </row>
    <row r="86">
      <c r="A86" s="15" t="inlineStr">
        <is>
          <t>ИНФОМЕД, ООО</t>
        </is>
      </c>
      <c r="B86" s="15" t="inlineStr">
        <is>
          <t>8B092</t>
        </is>
      </c>
      <c r="C86" s="15" t="inlineStr">
        <is>
          <t>Россия</t>
        </is>
      </c>
      <c r="D86" s="15" t="inlineStr">
        <is>
          <t>Москва</t>
        </is>
      </c>
      <c r="E86" s="15" t="inlineStr">
        <is>
          <t>Россия, 109444, г. Москва, ул. Ферганская, д. 8а, этаж 4, комн. 8, 9, 10</t>
        </is>
      </c>
      <c r="F86" s="20" t="inlineStr">
        <is>
          <t>http://www.infomed.com.ru</t>
        </is>
      </c>
      <c r="G86" s="15" t="inlineStr">
        <is>
          <t>zakaz@infomed.com.ru</t>
        </is>
      </c>
      <c r="H86" s="15" t="inlineStr">
        <is>
          <t>«Инфомед» – эксклюзивный дистрибьютор в РФ таких производителей, как Bedfont, Magventure, EBNeuro, MMS, Jinshan, SEESHEEN, MTR+, g.tec, Mcube, Fiegert, Localite, Verity Medical. 29 лет на рынке.</t>
        </is>
      </c>
      <c r="I86" s="15" t="inlineStr">
        <is>
          <t>Нейрофизиологическое оборудование; Пульмонологические мониторные системы; Приборы для оценки функции ЖКТ; Оборудование для урологической диагностики; Оборудование для магнитотерапии; Эндоскопы гибкие</t>
        </is>
      </c>
      <c r="J86" s="15" t="inlineStr">
        <is>
          <t>Дилер</t>
        </is>
      </c>
      <c r="K86" s="15" t="inlineStr">
        <is>
          <t>OK</t>
        </is>
      </c>
      <c r="L86" s="15" t="inlineStr">
        <is>
          <t>оборудование, системы, приборы и эндоскопы</t>
        </is>
      </c>
      <c r="M86" s="15" t="inlineStr">
        <is>
          <t>Инфомед</t>
        </is>
      </c>
      <c r="N86" s="15" t="inlineStr">
        <is>
          <t>Здравоохранение-2025</t>
        </is>
      </c>
      <c r="O86" s="20" t="inlineStr">
        <is>
          <t>https://icatalog.expocentr.ru/ru/exhibitions/de590dc5-417d-11ee-80ce-a0d3c1fab97f</t>
        </is>
      </c>
    </row>
    <row r="87">
      <c r="A87" s="15" t="inlineStr">
        <is>
          <t>ГОЛДЕН МЕДИКАЛ ГРУПП</t>
        </is>
      </c>
      <c r="B87" s="15" t="inlineStr">
        <is>
          <t>8B145</t>
        </is>
      </c>
      <c r="C87" s="15" t="inlineStr">
        <is>
          <t>Россия</t>
        </is>
      </c>
      <c r="D87" s="15" t="inlineStr">
        <is>
          <t>Санкт-Петербург</t>
        </is>
      </c>
      <c r="E87" s="15" t="inlineStr">
        <is>
          <t>Россия, 199004, г. Санкт-Петербург, 6-я линия В. О., д. 23, литера А, этаж 3, пом. 15-Н, оф. 5</t>
        </is>
      </c>
      <c r="F87" s="20" t="inlineStr">
        <is>
          <t>http://gmgrus.ru</t>
        </is>
      </c>
      <c r="G87" s="15" t="inlineStr">
        <is>
          <t>gmgrus@bk.ru</t>
        </is>
      </c>
      <c r="H87" s="15" t="inlineStr">
        <is>
          <t>Импортер инновационных беспроводных УЗ-сканеров Apache. Компактные решения для диагностики, подключаемые к телефону или планшету. Быстрое внедрение оборудования.Полная сервисная поддержка.</t>
        </is>
      </c>
      <c r="I87" s="15" t="inlineStr">
        <is>
          <t>Ультразвуковые сканеры и диагностические системы</t>
        </is>
      </c>
      <c r="J87" s="15" t="inlineStr">
        <is>
          <t>Дилер</t>
        </is>
      </c>
      <c r="K87" s="15" t="inlineStr">
        <is>
          <t>OK</t>
        </is>
      </c>
      <c r="L87" s="15" t="inlineStr">
        <is>
          <t>ультразвуковые сканеры и диагностические системы</t>
        </is>
      </c>
      <c r="M87" s="15" t="inlineStr">
        <is>
          <t>Голден Медикал Групп</t>
        </is>
      </c>
      <c r="N87" s="15" t="inlineStr">
        <is>
          <t>Здравоохранение-2025</t>
        </is>
      </c>
      <c r="O87" s="20" t="inlineStr">
        <is>
          <t>https://icatalog.expocentr.ru/ru/exhibitions/de590dc5-417d-11ee-80ce-a0d3c1fab97f</t>
        </is>
      </c>
    </row>
    <row r="88">
      <c r="A88" s="15" t="inlineStr">
        <is>
          <t>ФАРМСТЕР, ООО</t>
        </is>
      </c>
      <c r="B88" s="15" t="inlineStr">
        <is>
          <t>8C070</t>
        </is>
      </c>
      <c r="C88" s="15" t="inlineStr">
        <is>
          <t>Россия</t>
        </is>
      </c>
      <c r="D88" s="15" t="inlineStr">
        <is>
          <t>Москва</t>
        </is>
      </c>
      <c r="E88" s="15" t="inlineStr">
        <is>
          <t>Россия, 119334, г. Москва, Ленинский просп., д. 41/2</t>
        </is>
      </c>
      <c r="F88" s="20" t="inlineStr">
        <is>
          <t>http://www.pharmster.com</t>
        </is>
      </c>
      <c r="G88" s="15" t="inlineStr">
        <is>
          <t>info@pharmster.com</t>
        </is>
      </c>
      <c r="H88" s="15" t="inlineStr">
        <is>
          <t>«Фармстер» — проектно-инжиниринговая компания, один из лидеров российского медицинского рынка; основана в 1989 году. Собственное производство медицинских изделий, проектирование, комплексное оснащение, поставка оборудования и сервисное обслуживание.</t>
        </is>
      </c>
      <c r="I88" s="15" t="inlineStr">
        <is>
          <t>Оборудование и средства борьбы с внутрибольничной инфекцией; Оборудование для дезинфекции; Оборудование для стерилизации; Средства контроля стерилизации; Средства для чистки и детергенты; Производство медицинских изделий</t>
        </is>
      </c>
      <c r="J88" s="15" t="inlineStr">
        <is>
          <t>Производитель</t>
        </is>
      </c>
      <c r="K88" s="15" t="inlineStr">
        <is>
          <t>OK</t>
        </is>
      </c>
      <c r="L88" s="15" t="inlineStr">
        <is>
          <t>медицинские изделия, оборудование, средства контроля, средства для чистки и детергенты</t>
        </is>
      </c>
      <c r="M88" s="15" t="inlineStr">
        <is>
          <t>Фармстер</t>
        </is>
      </c>
      <c r="N88" s="15" t="inlineStr">
        <is>
          <t>Здравоохранение-2025</t>
        </is>
      </c>
      <c r="O88" s="20" t="inlineStr">
        <is>
          <t>https://icatalog.expocentr.ru/ru/exhibitions/de590dc5-417d-11ee-80ce-a0d3c1fab97f</t>
        </is>
      </c>
    </row>
    <row r="89">
      <c r="A89" s="15" t="inlineStr">
        <is>
          <t>ДИАГНОСТИЧЕСКИЕ МЕДИЦИНСКИЕ СИСТЕМЫ, ООО</t>
        </is>
      </c>
      <c r="B89" s="15" t="inlineStr">
        <is>
          <t>8F080</t>
        </is>
      </c>
      <c r="C89" s="15" t="inlineStr">
        <is>
          <t>Россия</t>
        </is>
      </c>
      <c r="D89" s="15" t="inlineStr">
        <is>
          <t>Москва</t>
        </is>
      </c>
      <c r="E89" s="15" t="inlineStr">
        <is>
          <t>Россия, 117495, г. Москва, ул. Миклухо-Маклая, д. 8, стр. 3, оф. 101В</t>
        </is>
      </c>
      <c r="F89" s="15" t="inlineStr">
        <is>
          <t>http://всетомографы.рф</t>
        </is>
      </c>
      <c r="G89" s="15" t="inlineStr">
        <is>
          <t>all-tomografs@mail.ru</t>
        </is>
      </c>
      <c r="H89" s="15" t="inlineStr">
        <is>
          <t>Поставка мобильных медицинских комплексов от производителя, в т. ч. флюоромобилей, медприцепов. Мобильная cтоматология, УЗИ, рентген, маммографы, аппараты КТ, МРТ, С-дуга. Новые, восстановленные и б/у, поставка в лизинг.</t>
        </is>
      </c>
      <c r="I89" s="15" t="inlineStr">
        <is>
          <t>Рентгеновские диагностические установки, передвижные и стационарные; Компьютерные томографы; Маммографы; Флюорографы; Магнитно-резонансные томографы; Ультразвуковые сканеры и диагностические системы</t>
        </is>
      </c>
      <c r="J89" s="15" t="inlineStr">
        <is>
          <t>Дилер</t>
        </is>
      </c>
      <c r="K89" s="15" t="inlineStr">
        <is>
          <t>OK</t>
        </is>
      </c>
      <c r="L89" s="15" t="inlineStr">
        <is>
          <t>мобильные комплексы, томографы, маммографы, флюорографы и сканеры</t>
        </is>
      </c>
      <c r="M89" s="15" t="inlineStr">
        <is>
          <t>Диагностические Системы</t>
        </is>
      </c>
      <c r="N89" s="15" t="inlineStr">
        <is>
          <t>Здравоохранение-2025</t>
        </is>
      </c>
      <c r="O89" s="20" t="inlineStr">
        <is>
          <t>https://icatalog.expocentr.ru/ru/exhibitions/de590dc5-417d-11ee-80ce-a0d3c1fab97f</t>
        </is>
      </c>
    </row>
    <row r="90">
      <c r="A90" s="15" t="inlineStr">
        <is>
          <t>АВТОДОМ, ООО</t>
        </is>
      </c>
      <c r="B90" s="15" t="inlineStr">
        <is>
          <t>8D150</t>
        </is>
      </c>
      <c r="C90" s="15" t="inlineStr">
        <is>
          <t>Россия</t>
        </is>
      </c>
      <c r="D90" s="15" t="inlineStr">
        <is>
          <t>Ульяновск</t>
        </is>
      </c>
      <c r="E90" s="15" t="inlineStr">
        <is>
          <t>Россия, 432045, г. Ульяновск, Московское ш., д. 8, оф. 20</t>
        </is>
      </c>
      <c r="F90" s="20" t="inlineStr">
        <is>
          <t>http://www.avtodom73.ru</t>
        </is>
      </c>
      <c r="G90" s="15" t="inlineStr">
        <is>
          <t>avtodom2000@list.ru</t>
        </is>
      </c>
      <c r="H90" s="15" t="inlineStr">
        <is>
          <t>Производство автомобилей скорой медицинской помощи (АСМП) классов А, В, С на базе УАЗ, УАЗ Профи, Sollers Atlant с комплектацией медицинским оборудованием по Приказу № 388н.</t>
        </is>
      </c>
      <c r="I90" s="15" t="inlineStr">
        <is>
          <t>Транспортные средства, в том числе транспортные самолеты; Средства для оказания экстренной медицинской помощи</t>
        </is>
      </c>
      <c r="J90" s="15" t="inlineStr">
        <is>
          <t>Производитель</t>
        </is>
      </c>
      <c r="K90" s="15" t="inlineStr">
        <is>
          <t>OK</t>
        </is>
      </c>
      <c r="L90" s="15" t="inlineStr">
        <is>
          <t>транспортные средства и медицинское оборудование</t>
        </is>
      </c>
      <c r="M90" s="15" t="inlineStr">
        <is>
          <t>Автодом</t>
        </is>
      </c>
      <c r="N90" s="15" t="inlineStr">
        <is>
          <t>Здравоохранение-2025</t>
        </is>
      </c>
      <c r="O90" s="20" t="inlineStr">
        <is>
          <t>https://icatalog.expocentr.ru/ru/exhibitions/de590dc5-417d-11ee-80ce-a0d3c1fab97f</t>
        </is>
      </c>
    </row>
    <row r="91">
      <c r="A91" s="15" t="inlineStr">
        <is>
          <t>KT Medical</t>
        </is>
      </c>
      <c r="B91" s="15" t="inlineStr">
        <is>
          <t>8H010</t>
        </is>
      </c>
      <c r="C91" s="15" t="inlineStr">
        <is>
          <t>Россия</t>
        </is>
      </c>
      <c r="D91" s="15" t="inlineStr">
        <is>
          <t>Москва</t>
        </is>
      </c>
      <c r="E91" s="15" t="inlineStr">
        <is>
          <t>Россия, 121354, г. Москва, ул. Дорогобужская, д. 14, стр. 6</t>
        </is>
      </c>
      <c r="F91" s="15" t="n"/>
      <c r="G91" s="15" t="inlineStr">
        <is>
          <t>sale@alpharma-dental.ru</t>
        </is>
      </c>
      <c r="H91" s="15" t="inlineStr">
        <is>
          <t>Компания является прямым поставщиком диагностического оборудования New Tom (Cefla, Италия). На нашем стенде представлены компьютерные томографы общемедицинские и стоматологические.</t>
        </is>
      </c>
      <c r="I91" s="15" t="inlineStr">
        <is>
          <t>Стоматологическая рентгенодиагностическая аппаратура; Рентгеновские диагностические установки, передвижные и стационарные; Компьютерные томографы</t>
        </is>
      </c>
      <c r="J91" s="15" t="inlineStr">
        <is>
          <t>Дилер</t>
        </is>
      </c>
      <c r="K91" s="15" t="inlineStr">
        <is>
          <t>OK</t>
        </is>
      </c>
      <c r="L91" s="15" t="inlineStr">
        <is>
          <t>томографы, диагностическая аппаратура, рентгеновские установки</t>
        </is>
      </c>
      <c r="M91" s="15" t="inlineStr">
        <is>
          <t>KT Medical</t>
        </is>
      </c>
      <c r="N91" s="15" t="inlineStr">
        <is>
          <t>Здравоохранение-2025</t>
        </is>
      </c>
      <c r="O91" s="20" t="inlineStr">
        <is>
          <t>https://icatalog.expocentr.ru/ru/exhibitions/de590dc5-417d-11ee-80ce-a0d3c1fab97f</t>
        </is>
      </c>
    </row>
    <row r="92">
      <c r="A92" s="15" t="inlineStr">
        <is>
          <t>ЭНДОВИДЕО ГРУППА</t>
        </is>
      </c>
      <c r="B92" s="15" t="inlineStr">
        <is>
          <t>8H112</t>
        </is>
      </c>
      <c r="C92" s="15" t="inlineStr">
        <is>
          <t>Россия</t>
        </is>
      </c>
      <c r="D92" s="15" t="inlineStr">
        <is>
          <t>Воронеж</t>
        </is>
      </c>
      <c r="E92" s="15" t="inlineStr">
        <is>
          <t>Россия, 394042, г. Воронеж, ул. Димитрова, д. 27, пом. 1</t>
        </is>
      </c>
      <c r="F92" s="20" t="inlineStr">
        <is>
          <t>http://www.endo.video</t>
        </is>
      </c>
      <c r="G92" s="15" t="inlineStr">
        <is>
          <t>info@endo.video</t>
        </is>
      </c>
      <c r="H92" s="15" t="inlineStr">
        <is>
          <t>На протяжении 20 лет компания занимается поставками медицинского оборудования по таким направлениям, как эндоскопия, хирургия, офтальмология, функциональная диагностика и пр. Имеет лицензию на техобслуживание.</t>
        </is>
      </c>
      <c r="I92" s="15" t="inlineStr">
        <is>
          <t>Оборудование для мониторинга функций сердечно-сосудистой системы; Эндоскопические комплексы и системы; Операционные столы; Электрохирургические аппараты; Ультразвуковые хирургические аппараты; Лазерные  хирургические аппараты</t>
        </is>
      </c>
      <c r="J92" s="15" t="inlineStr">
        <is>
          <t>Дилер</t>
        </is>
      </c>
      <c r="K92" s="15" t="inlineStr">
        <is>
          <t>OK</t>
        </is>
      </c>
      <c r="L92" s="15" t="inlineStr">
        <is>
          <t>медицинское оборудование, эндоскопические комплексы, операционные столы и аппараты</t>
        </is>
      </c>
      <c r="M92" s="15" t="inlineStr">
        <is>
          <t>Эндовидео Группа</t>
        </is>
      </c>
      <c r="N92" s="15" t="inlineStr">
        <is>
          <t>Здравоохранение-2025</t>
        </is>
      </c>
      <c r="O92" s="20" t="inlineStr">
        <is>
          <t>https://icatalog.expocentr.ru/ru/exhibitions/de590dc5-417d-11ee-80ce-a0d3c1fab97f</t>
        </is>
      </c>
    </row>
    <row r="93">
      <c r="A93" s="15" t="inlineStr">
        <is>
          <t>МЕДИКАЛ-СЕРВИС, ООО</t>
        </is>
      </c>
      <c r="B93" s="15" t="inlineStr">
        <is>
          <t>8C150,   8F120</t>
        </is>
      </c>
      <c r="C93" s="15" t="inlineStr">
        <is>
          <t>Россия</t>
        </is>
      </c>
      <c r="D93" s="15" t="inlineStr">
        <is>
          <t>Ярославль</t>
        </is>
      </c>
      <c r="E93" s="15" t="inlineStr">
        <is>
          <t>Россия, 150043, г. Ярославль, ул. Радищева, д. 5а, оф. 10</t>
        </is>
      </c>
      <c r="F93" s="20" t="inlineStr">
        <is>
          <t>http://www.medical112.ru</t>
        </is>
      </c>
      <c r="G93" s="15" t="inlineStr">
        <is>
          <t>sales@medical112.ru</t>
        </is>
      </c>
      <c r="H93" s="15" t="inlineStr">
        <is>
          <t>«Медикал-Сервис» — одна из лидирующих компаний в сфере комплексного оснащения медучреждений. Обладает собственным производственным цехом, квалифицированными инженерами и обширным портфелем дистрибьюции.</t>
        </is>
      </c>
      <c r="I93" s="15" t="inlineStr">
        <is>
          <t>Рентгеновские диагностические установки, передвижные и стационарные; Компьютерные томографы; Маммографы; Магнитно-резонансные томографы; Эндоскопические комплексы и системы; Наркозно-дыхательные аппараты</t>
        </is>
      </c>
      <c r="J93" s="15" t="inlineStr">
        <is>
          <t>Производитель</t>
        </is>
      </c>
      <c r="K93" s="15" t="inlineStr">
        <is>
          <t>OK</t>
        </is>
      </c>
      <c r="L93" s="15" t="inlineStr">
        <is>
          <t>томографы, маммографы, эндоскопические системы и аппараты</t>
        </is>
      </c>
      <c r="M93" s="15" t="inlineStr">
        <is>
          <t>Медикал Сервис</t>
        </is>
      </c>
      <c r="N93" s="15" t="inlineStr">
        <is>
          <t>Здравоохранение-2025</t>
        </is>
      </c>
      <c r="O93" s="20" t="inlineStr">
        <is>
          <t>https://icatalog.expocentr.ru/ru/exhibitions/de590dc5-417d-11ee-80ce-a0d3c1fab97f</t>
        </is>
      </c>
    </row>
    <row r="94">
      <c r="A94" s="15" t="inlineStr">
        <is>
          <t>ОФИМЕД, ООО</t>
        </is>
      </c>
      <c r="B94" s="15" t="inlineStr">
        <is>
          <t>8B020</t>
        </is>
      </c>
      <c r="C94" s="15" t="inlineStr">
        <is>
          <t>Россия</t>
        </is>
      </c>
      <c r="D94" s="15" t="inlineStr">
        <is>
          <t>Москва</t>
        </is>
      </c>
      <c r="E94" s="15" t="inlineStr">
        <is>
          <t>Россия, 125047, г. Москва, ул. 1-я Тверская-Ямская, д. 23, стр. 1</t>
        </is>
      </c>
      <c r="F94" s="20" t="inlineStr">
        <is>
          <t>http://www.ophimed.ru</t>
        </is>
      </c>
      <c r="G94" s="15" t="inlineStr">
        <is>
          <t>info@ophimed.ru</t>
        </is>
      </c>
      <c r="H94" s="15" t="inlineStr">
        <is>
          <t>«ОФИМЕД» – официальный представитель производителя высокотехнологичных медицинских изделий для лучевой диагностики — Beijing Wandong Medical Technology Co. Ltd (Китай). Уполномоченный представитель производителя на территории РФ по обращению томографа магнитно-резонансного (МРТ) i_Vision 1.5T Plus — первого в мире сверхпроводящего МРТ без жидкого гелия.Поставка, монтаж и сервис высокотехнологичного медицинского оборудования.</t>
        </is>
      </c>
      <c r="I94" s="15" t="inlineStr">
        <is>
          <t>Проектирование и оснащение медицинских учреждений под ключ; Поставка медицинского оборудования и расходных материалов; Магнитно-резонансные томографы</t>
        </is>
      </c>
      <c r="J94" s="15" t="inlineStr">
        <is>
          <t>Дилер</t>
        </is>
      </c>
      <c r="K94" s="15" t="inlineStr">
        <is>
          <t>OK</t>
        </is>
      </c>
      <c r="L94" s="15" t="inlineStr">
        <is>
          <t>медицинские изделия, оборудование и расходные материалы</t>
        </is>
      </c>
      <c r="M94" s="15" t="inlineStr">
        <is>
          <t>Офимед</t>
        </is>
      </c>
      <c r="N94" s="15" t="inlineStr">
        <is>
          <t>Здравоохранение-2025</t>
        </is>
      </c>
      <c r="O94" s="20" t="inlineStr">
        <is>
          <t>https://icatalog.expocentr.ru/ru/exhibitions/de590dc5-417d-11ee-80ce-a0d3c1fab97f</t>
        </is>
      </c>
    </row>
    <row r="95">
      <c r="A95" s="15" t="inlineStr">
        <is>
          <t>ОТДЕЛ МЕДИЦИНСКОЙ ТЕХНИКИ, ООО</t>
        </is>
      </c>
      <c r="B95" s="15" t="inlineStr">
        <is>
          <t>8D090</t>
        </is>
      </c>
      <c r="C95" s="15" t="inlineStr">
        <is>
          <t>Россия</t>
        </is>
      </c>
      <c r="D95" s="15" t="inlineStr">
        <is>
          <t>Екатеринбург</t>
        </is>
      </c>
      <c r="E95" s="15" t="inlineStr">
        <is>
          <t>Россия, 620102, г. Екатеринбург, ул. Белореченская, д. 22</t>
        </is>
      </c>
      <c r="F95" s="20" t="inlineStr">
        <is>
          <t>http://www.omt-ural.ru</t>
        </is>
      </c>
      <c r="G95" s="15" t="inlineStr">
        <is>
          <t>omt@omt-ural.ru</t>
        </is>
      </c>
      <c r="H95" s="15" t="inlineStr">
        <is>
          <t>Производство функциональных кроватей, каталок, комплексное оснащение ЛПУ под ключ, торговля медицинским оборудованием, расходными материалами и реагентами, техническое обслуживание медоборудования.</t>
        </is>
      </c>
      <c r="I95" s="15" t="inlineStr">
        <is>
          <t>Оборудование для мониторинга функций сердечно-сосудистой системы; Инкубаторы и открытые реанимационные системы; Производство медицинских изделий; Комплекты реанимационного оборудования; Принадлежности и расходные материалы для реанимации и экстренной помощи</t>
        </is>
      </c>
      <c r="J95" s="15" t="inlineStr">
        <is>
          <t>Производитель</t>
        </is>
      </c>
      <c r="K95" s="15" t="inlineStr">
        <is>
          <t>OK</t>
        </is>
      </c>
      <c r="L95" s="15" t="inlineStr">
        <is>
          <t>кровати, каталки, оборудование и расходные материалы</t>
        </is>
      </c>
      <c r="M95" s="15" t="inlineStr">
        <is>
          <t>Отдел Медицинской Техники</t>
        </is>
      </c>
      <c r="N95" s="15" t="inlineStr">
        <is>
          <t>Здравоохранение-2025</t>
        </is>
      </c>
      <c r="O95" s="20" t="inlineStr">
        <is>
          <t>https://icatalog.expocentr.ru/ru/exhibitions/de590dc5-417d-11ee-80ce-a0d3c1fab97f</t>
        </is>
      </c>
    </row>
    <row r="96">
      <c r="A96" s="15" t="inlineStr">
        <is>
          <t>СТОРМОВЪ, МТО, ООО</t>
        </is>
      </c>
      <c r="B96" s="21" t="n">
        <v>8.000000000000001e+50</v>
      </c>
      <c r="C96" s="15" t="inlineStr">
        <is>
          <t>Россия</t>
        </is>
      </c>
      <c r="D96" s="15" t="inlineStr">
        <is>
          <t>Красногорск</t>
        </is>
      </c>
      <c r="E96" s="15" t="inlineStr">
        <is>
          <t>Россия, 143401, Московская обл., г. Красногорск, Строителей б-р, д. 4, корп. 1, пом. XX</t>
        </is>
      </c>
      <c r="F96" s="20" t="inlineStr">
        <is>
          <t>http://www.stormoff.com</t>
        </is>
      </c>
      <c r="G96" s="15" t="inlineStr">
        <is>
          <t>info@stormoff.com</t>
        </is>
      </c>
      <c r="H96" s="15" t="inlineStr">
        <is>
          <t>Поставки медицинского оборудования, комплексное оснащение ЛПУ, собственное производство и обслуживание медицинской техники в России.</t>
        </is>
      </c>
      <c r="I96" s="15" t="inlineStr">
        <is>
          <t>Фототерапевтические системы; Приборы и аппараты для офтальмодиагностики; Стоматологическая рентгенодиагностическая аппаратура; Реабилитационное оборудование; Эндоскопические комплексы и системы; Мониторы пациента</t>
        </is>
      </c>
      <c r="J96" s="15" t="inlineStr">
        <is>
          <t>Производитель</t>
        </is>
      </c>
      <c r="K96" s="15" t="inlineStr">
        <is>
          <t>OK</t>
        </is>
      </c>
      <c r="L96" s="15" t="inlineStr">
        <is>
          <t>медицинское оборудование, эндоскопические комплексы, мониторы и системы</t>
        </is>
      </c>
      <c r="M96" s="15" t="inlineStr">
        <is>
          <t>Стормовъ МТО</t>
        </is>
      </c>
      <c r="N96" s="15" t="inlineStr">
        <is>
          <t>Здравоохранение-2025</t>
        </is>
      </c>
      <c r="O96" s="20" t="inlineStr">
        <is>
          <t>https://icatalog.expocentr.ru/ru/exhibitions/de590dc5-417d-11ee-80ce-a0d3c1fab97f</t>
        </is>
      </c>
    </row>
    <row r="97">
      <c r="A97" s="15" t="inlineStr">
        <is>
          <t>ЗЕЛМЕДСЕРВИС, ООО</t>
        </is>
      </c>
      <c r="B97" s="21" t="n">
        <v>8000000000000000</v>
      </c>
      <c r="C97" s="15" t="inlineStr">
        <is>
          <t>Россия</t>
        </is>
      </c>
      <c r="D97" s="15" t="inlineStr">
        <is>
          <t>Москва</t>
        </is>
      </c>
      <c r="E97" s="15" t="inlineStr">
        <is>
          <t>Россия, 124489, г. Москва, г. Зеленоград, проезд 4922, д. 4, стр. 5, Технопарк «ЭЛМА»</t>
        </is>
      </c>
      <c r="F97" s="20" t="inlineStr">
        <is>
          <t>https://zelmedservice.ru</t>
        </is>
      </c>
      <c r="G97" s="15" t="inlineStr">
        <is>
          <t>info@zelmedservice.ru</t>
        </is>
      </c>
      <c r="H97" s="15" t="inlineStr">
        <is>
          <t>Крупнейший официальный поставщик ведущих российских и зарубежных производителей медицинского оборудования — КТ, МРТ, ангиографы, маммографы, рентгенодиагностические аппараты, эндоскопические системы.</t>
        </is>
      </c>
      <c r="I97" s="15" t="inlineStr">
        <is>
          <t>Рентгеновские диагностические установки, передвижные и стационарные; Компьютерные томографы; ПЭТ; Маммографы; Флюорографы; Магнитно-резонансные томографы</t>
        </is>
      </c>
      <c r="J97" s="15" t="inlineStr">
        <is>
          <t>Дилер</t>
        </is>
      </c>
      <c r="K97" s="15" t="inlineStr">
        <is>
          <t>OK</t>
        </is>
      </c>
      <c r="L97" s="15" t="inlineStr">
        <is>
          <t>медицинское оборудование, томографы, маммографы и флюорографы</t>
        </is>
      </c>
      <c r="M97" s="15" t="inlineStr">
        <is>
          <t>Зелмедсервис</t>
        </is>
      </c>
      <c r="N97" s="15" t="inlineStr">
        <is>
          <t>Здравоохранение-2025</t>
        </is>
      </c>
      <c r="O97" s="20" t="inlineStr">
        <is>
          <t>https://icatalog.expocentr.ru/ru/exhibitions/de590dc5-417d-11ee-80ce-a0d3c1fab97f</t>
        </is>
      </c>
    </row>
    <row r="98">
      <c r="A98" s="15" t="inlineStr">
        <is>
          <t>ТЕХНОМЕДГРУПП</t>
        </is>
      </c>
      <c r="B98" s="15" t="inlineStr">
        <is>
          <t>8G095</t>
        </is>
      </c>
      <c r="C98" s="15" t="inlineStr">
        <is>
          <t>Россия</t>
        </is>
      </c>
      <c r="D98" s="15" t="inlineStr">
        <is>
          <t>Санкт-Петербург</t>
        </is>
      </c>
      <c r="E98" s="15" t="inlineStr">
        <is>
          <t>Россия, 194044, г. Санкт-Петербург, ул. Оренбургская, д. 2, литера А, пом. 7Н</t>
        </is>
      </c>
      <c r="F98" s="20" t="inlineStr">
        <is>
          <t>http://technomedgroup.ru</t>
        </is>
      </c>
      <c r="G98" s="15" t="inlineStr">
        <is>
          <t>office@promedtrade.com</t>
        </is>
      </c>
      <c r="H98" s="15" t="inlineStr">
        <is>
          <t>ООО «ТехноМедГрупп» представляет полный спектр медицинского оборудования и расходных материалов для нейрохирургии, нейростимуляции, лор и урологии, а также медицинской диагностики.</t>
        </is>
      </c>
      <c r="I98" s="15" t="inlineStr">
        <is>
          <t>Расходные материалы для медицинских приборов; Расходные материалы для медицинского оборудования; Рентгеновские диагностические установки, передвижные и стационарные; Принадлежности для хирургических аппаратов; Электрохирургические аппараты; Ультразвуковые хирургические аппараты</t>
        </is>
      </c>
      <c r="J98" s="15" t="inlineStr">
        <is>
          <t>Дилер</t>
        </is>
      </c>
      <c r="K98" s="15" t="inlineStr">
        <is>
          <t>OK</t>
        </is>
      </c>
      <c r="L98" s="15" t="inlineStr">
        <is>
          <t>медицинское оборудование, расходные материалы и диагностические установки</t>
        </is>
      </c>
      <c r="M98" s="15" t="inlineStr">
        <is>
          <t>Техномедгрупп</t>
        </is>
      </c>
      <c r="N98" s="15" t="inlineStr">
        <is>
          <t>Здравоохранение-2025</t>
        </is>
      </c>
      <c r="O98" s="20" t="inlineStr">
        <is>
          <t>https://icatalog.expocentr.ru/ru/exhibitions/de590dc5-417d-11ee-80ce-a0d3c1fab97f</t>
        </is>
      </c>
    </row>
    <row r="99">
      <c r="A99" s="15" t="inlineStr">
        <is>
          <t>КС-ПРОФ, ООО</t>
        </is>
      </c>
      <c r="B99" s="15" t="inlineStr">
        <is>
          <t>8H020</t>
        </is>
      </c>
      <c r="C99" s="15" t="inlineStr">
        <is>
          <t>Россия</t>
        </is>
      </c>
      <c r="D99" s="15" t="inlineStr">
        <is>
          <t>Пенза</t>
        </is>
      </c>
      <c r="E99" s="15" t="inlineStr">
        <is>
          <t>Россия, г. Пенза, ул. Центральная, д. 1в, корп. 6</t>
        </is>
      </c>
      <c r="F99" s="20" t="inlineStr">
        <is>
          <t>https://kc-prof.ru</t>
        </is>
      </c>
      <c r="G99" s="15" t="inlineStr">
        <is>
          <t>info@kc-prof.ru</t>
        </is>
      </c>
      <c r="H99" s="15" t="inlineStr">
        <is>
          <t>Центр регистрации, лицензирования, сертификации медицинских изделий и их постпродажного сопровождения. Разработка и внедрение СМК, подготовка к аудитам. Организация и проведение испытаний медизделий.</t>
        </is>
      </c>
      <c r="I99" s="15" t="inlineStr">
        <is>
          <t>Оборудование для урологической диагностики; Материалы и инструменты для костной пластики и челюстно-лицевой хирургии; Микроскопы; Аппараты для искусственной вентиляции легких; Хирургическое оборудование; Аппараты и материалы для сердечно-сосудистой хирургии</t>
        </is>
      </c>
      <c r="J99" s="15" t="inlineStr">
        <is>
          <t>Поставщик услуг</t>
        </is>
      </c>
      <c r="K99" s="15" t="inlineStr">
        <is>
          <t>OK</t>
        </is>
      </c>
      <c r="L99" s="15" t="inlineStr">
        <is>
          <t>оборудование, материалы, микроскопы и аппараты</t>
        </is>
      </c>
      <c r="M99" s="15" t="inlineStr">
        <is>
          <t>КС-ПРОФ</t>
        </is>
      </c>
      <c r="N99" s="15" t="inlineStr">
        <is>
          <t>Здравоохранение-2025</t>
        </is>
      </c>
      <c r="O99" s="20" t="inlineStr">
        <is>
          <t>https://icatalog.expocentr.ru/ru/exhibitions/de590dc5-417d-11ee-80ce-a0d3c1fab97f</t>
        </is>
      </c>
    </row>
    <row r="100">
      <c r="A100" s="15" t="inlineStr">
        <is>
          <t>НПО РТИ, ООО</t>
        </is>
      </c>
      <c r="B100" s="15" t="inlineStr">
        <is>
          <t>8A020</t>
        </is>
      </c>
      <c r="C100" s="15" t="inlineStr">
        <is>
          <t>Россия</t>
        </is>
      </c>
      <c r="D100" s="15" t="inlineStr">
        <is>
          <t>Москва</t>
        </is>
      </c>
      <c r="E100" s="15" t="inlineStr">
        <is>
          <t>Россия, 117393, г. Москва, ул. Академика Пилюгина, д. 26, корп. 2</t>
        </is>
      </c>
      <c r="F100" s="20" t="inlineStr">
        <is>
          <t>https://mrtprofi.ru</t>
        </is>
      </c>
      <c r="G100" s="15" t="inlineStr">
        <is>
          <t>info@mrtprofi.ru</t>
        </is>
      </c>
      <c r="H100" s="15" t="inlineStr">
        <is>
          <t>Полный цикл работ в сфере МРТ: поставка, хранение, логистика, монтаж, настройка, заправка, сервис.С 2016 по 2024 г. реализовали:— 360 000 литров жидкого гелия;— 29 000 литров газового гелия;— 20 проектов по МРТ полного цикла;— произвели монтаж 15 радиочастотных кабин.</t>
        </is>
      </c>
      <c r="I100" s="15" t="inlineStr">
        <is>
          <t>Профессиональные объединения и ассоциации; Аренда (лизинг) медицинского оборудования; ПЭТ; Магнитно-резонансные томографы; Передвижные пункты первичной (скорой) медицинской помощи</t>
        </is>
      </c>
      <c r="J100" s="15" t="inlineStr">
        <is>
          <t>Поставщик услуг</t>
        </is>
      </c>
      <c r="K100" s="15" t="inlineStr">
        <is>
          <t>OK</t>
        </is>
      </c>
      <c r="L100" s="15" t="inlineStr">
        <is>
          <t>жидкий гелий, газовый гелий, томографы и радиочастотные кабины</t>
        </is>
      </c>
      <c r="M100" s="15" t="inlineStr">
        <is>
          <t>НПО РТИ</t>
        </is>
      </c>
      <c r="N100" s="15" t="inlineStr">
        <is>
          <t>Здравоохранение-2025</t>
        </is>
      </c>
      <c r="O100" s="20" t="inlineStr">
        <is>
          <t>https://icatalog.expocentr.ru/ru/exhibitions/de590dc5-417d-11ee-80ce-a0d3c1fab97f</t>
        </is>
      </c>
    </row>
    <row r="101">
      <c r="A101" s="15" t="inlineStr">
        <is>
          <t>КРЭТ, АО</t>
        </is>
      </c>
      <c r="B101" s="15" t="inlineStr">
        <is>
          <t>8C020</t>
        </is>
      </c>
      <c r="C101" s="15" t="inlineStr">
        <is>
          <t>Россия</t>
        </is>
      </c>
      <c r="D101" s="15" t="inlineStr">
        <is>
          <t>Москва</t>
        </is>
      </c>
      <c r="E101" s="15" t="inlineStr">
        <is>
          <t>Россия, 109240, г. Москва, ул. Гончарная, д. 20/1, стр. 1</t>
        </is>
      </c>
      <c r="F101" s="15" t="n"/>
      <c r="G101" s="15" t="inlineStr">
        <is>
          <t>info@kret.com</t>
        </is>
      </c>
      <c r="H101" s="15" t="inlineStr">
        <is>
          <t>Концерн «Радиоэлектронные технологии» — крупнейший российский холдинг в радиоэлектронной отрасли, входит в состав Госкорпорации «Ростех». В настоящее время концерн активно развивает производство гражданской продукции, в том числе медицинских изделий.</t>
        </is>
      </c>
      <c r="I101" s="15" t="inlineStr">
        <is>
          <t>Приборы и аппараты для офтальмодиагностики; Оборудование для дезинфекции; Оборудование для стерилизации; Пипетки и пипеточные устройства; Аппараты для искусственной вентиляции легких; Наркозно-дыхательные аппараты</t>
        </is>
      </c>
      <c r="J101" s="15" t="inlineStr">
        <is>
          <t>Производитель</t>
        </is>
      </c>
      <c r="K101" s="15" t="inlineStr">
        <is>
          <t>OK</t>
        </is>
      </c>
      <c r="L101" s="15" t="inlineStr">
        <is>
          <t>приборы, аппараты, оборудование и пипетки</t>
        </is>
      </c>
      <c r="M101" s="15" t="inlineStr">
        <is>
          <t>КРЭТ</t>
        </is>
      </c>
      <c r="N101" s="15" t="inlineStr">
        <is>
          <t>Здравоохранение-2025</t>
        </is>
      </c>
      <c r="O101" s="20" t="inlineStr">
        <is>
          <t>https://icatalog.expocentr.ru/ru/exhibitions/de590dc5-417d-11ee-80ce-a0d3c1fab97f</t>
        </is>
      </c>
    </row>
    <row r="102">
      <c r="A102" s="15" t="inlineStr">
        <is>
          <t>ЕВРОПА МЕДИКАЛ, ООО</t>
        </is>
      </c>
      <c r="B102" s="15" t="inlineStr">
        <is>
          <t>8B055</t>
        </is>
      </c>
      <c r="C102" s="15" t="inlineStr">
        <is>
          <t>Россия</t>
        </is>
      </c>
      <c r="D102" s="15" t="inlineStr">
        <is>
          <t>Люберцы</t>
        </is>
      </c>
      <c r="E102" s="15" t="inlineStr">
        <is>
          <t>Россия, 140002, Московская обл., г. Люберцы, ул. Колхозная, д. 19а, литера Б</t>
        </is>
      </c>
      <c r="F102" s="20" t="inlineStr">
        <is>
          <t>http://www.evropamedical.ru</t>
        </is>
      </c>
      <c r="G102" s="15" t="inlineStr">
        <is>
          <t>info@evropamedical.ru</t>
        </is>
      </c>
      <c r="H102" s="15" t="inlineStr">
        <is>
          <t>Компания основана в 2008 году, занимается поставкой высококачественного медицинского оборудования. Оснастила более 150 объектов здравоохранения по всей России.</t>
        </is>
      </c>
      <c r="I102" s="15" t="inlineStr">
        <is>
          <t>Оборудование для медицинских газов</t>
        </is>
      </c>
      <c r="J102" s="15" t="inlineStr">
        <is>
          <t>Дилер</t>
        </is>
      </c>
      <c r="K102" s="15" t="inlineStr">
        <is>
          <t>OK</t>
        </is>
      </c>
      <c r="L102" s="15" t="inlineStr">
        <is>
          <t>медицинское оборудование, оборудование для медицинских газов</t>
        </is>
      </c>
      <c r="M102" s="15" t="inlineStr">
        <is>
          <t>Европа Медикал</t>
        </is>
      </c>
      <c r="N102" s="15" t="inlineStr">
        <is>
          <t>Здравоохранение-2025</t>
        </is>
      </c>
      <c r="O102" s="20" t="inlineStr">
        <is>
          <t>https://icatalog.expocentr.ru/ru/exhibitions/de590dc5-417d-11ee-80ce-a0d3c1fab97f</t>
        </is>
      </c>
    </row>
    <row r="103">
      <c r="A103" s="15" t="inlineStr">
        <is>
          <t>АКРОСС, ООО</t>
        </is>
      </c>
      <c r="B103" s="15" t="inlineStr">
        <is>
          <t>8C160</t>
        </is>
      </c>
      <c r="C103" s="15" t="inlineStr">
        <is>
          <t>Россия</t>
        </is>
      </c>
      <c r="D103" s="15" t="inlineStr">
        <is>
          <t>Нижний Новгород</t>
        </is>
      </c>
      <c r="E103" s="15" t="inlineStr">
        <is>
          <t>Россия, 603004, г. Нижний Новгород, просп. Ленина, д. 107</t>
        </is>
      </c>
      <c r="F103" s="20" t="inlineStr">
        <is>
          <t>https://akross-auto.ru</t>
        </is>
      </c>
      <c r="G103" s="15" t="inlineStr">
        <is>
          <t>kozubsky@akross.tech</t>
        </is>
      </c>
      <c r="H103" s="15" t="inlineStr">
        <is>
          <t>Мы — российская автомобильная компания. Компания-доработчик, действующая на базе Горьковского автомобильного завода. Делаем как автомобили скорой помощи, так и любые другие специализированные автомобили.</t>
        </is>
      </c>
      <c r="I103" s="15" t="inlineStr">
        <is>
          <t>Поставка медицинского оборудования и расходных материалов</t>
        </is>
      </c>
      <c r="J103" s="15" t="inlineStr">
        <is>
          <t>Производитель</t>
        </is>
      </c>
      <c r="K103" s="15" t="inlineStr">
        <is>
          <t>OK</t>
        </is>
      </c>
      <c r="L103" s="15" t="inlineStr">
        <is>
          <t>автомобили, медицинское оборудование и расходные материалы</t>
        </is>
      </c>
      <c r="M103" s="15" t="inlineStr">
        <is>
          <t>Акросс</t>
        </is>
      </c>
      <c r="N103" s="15" t="inlineStr">
        <is>
          <t>Здравоохранение-2025</t>
        </is>
      </c>
      <c r="O103" s="20" t="inlineStr">
        <is>
          <t>https://icatalog.expocentr.ru/ru/exhibitions/de590dc5-417d-11ee-80ce-a0d3c1fab97f</t>
        </is>
      </c>
    </row>
    <row r="104">
      <c r="A104" s="15" t="inlineStr">
        <is>
          <t>MAX TECHNOLOGIES</t>
        </is>
      </c>
      <c r="B104" s="15" t="inlineStr">
        <is>
          <t>8F030</t>
        </is>
      </c>
      <c r="C104" s="15" t="inlineStr">
        <is>
          <t>Россия</t>
        </is>
      </c>
      <c r="D104" s="15" t="inlineStr">
        <is>
          <t>Москва</t>
        </is>
      </c>
      <c r="E104" s="15" t="inlineStr">
        <is>
          <t>Россия, 121351, г. Москва, ул. Коцюбинского, д. 4</t>
        </is>
      </c>
      <c r="F104" s="20" t="inlineStr">
        <is>
          <t>http://mtmedical.net</t>
        </is>
      </c>
      <c r="G104" s="15" t="inlineStr">
        <is>
          <t>info@mtmedical.net</t>
        </is>
      </c>
      <c r="H104" s="15" t="inlineStr">
        <is>
          <t>Три десятилетия — эталон надежности. Официальный дистрибьютор Fujifilm (МРТ, КТ, УЗИ) и сервисный центр для оборудования любых марок.</t>
        </is>
      </c>
      <c r="I104" s="15" t="inlineStr">
        <is>
          <t>Аппараты и системы для обработки рентгеновской пленки; Вспомогательное оборудование; Компьютерные томографы; Магнитно-резонансные томографы</t>
        </is>
      </c>
      <c r="J104" s="15" t="inlineStr">
        <is>
          <t>Дилер</t>
        </is>
      </c>
      <c r="K104" s="15" t="inlineStr">
        <is>
          <t>OK</t>
        </is>
      </c>
      <c r="L104" s="15" t="inlineStr">
        <is>
          <t>томографы, аппараты и оборудование</t>
        </is>
      </c>
      <c r="M104" s="15" t="inlineStr">
        <is>
          <t>MAX Technologies</t>
        </is>
      </c>
      <c r="N104" s="15" t="inlineStr">
        <is>
          <t>Здравоохранение-2025</t>
        </is>
      </c>
      <c r="O104" s="20" t="inlineStr">
        <is>
          <t>https://icatalog.expocentr.ru/ru/exhibitions/de590dc5-417d-11ee-80ce-a0d3c1fab97f</t>
        </is>
      </c>
    </row>
    <row r="105">
      <c r="A105" s="15" t="inlineStr">
        <is>
          <t>ДАЛИ МЕДИКАЛ, ООО</t>
        </is>
      </c>
      <c r="B105" s="15" t="inlineStr">
        <is>
          <t>8F071</t>
        </is>
      </c>
      <c r="C105" s="15" t="inlineStr">
        <is>
          <t>Россия</t>
        </is>
      </c>
      <c r="D105" s="15" t="n"/>
      <c r="E105" s="15" t="inlineStr">
        <is>
          <t>Россия, 143700, Московская обл., р. п. Шаховская, Рижское ш., д. 1д, пом. 1</t>
        </is>
      </c>
      <c r="F105" s="20" t="inlineStr">
        <is>
          <t>https://dali-medical.com</t>
        </is>
      </c>
      <c r="G105" s="15" t="inlineStr">
        <is>
          <t>info@dali-medical.com</t>
        </is>
      </c>
      <c r="H105" s="15" t="inlineStr">
        <is>
          <t>Производство и поставка медицинского диагностического рентгеновского оборудования.</t>
        </is>
      </c>
      <c r="I105" s="15" t="inlineStr">
        <is>
          <t>Литотрипторы; Производство медицинских изделий; Рентгеновские диагностические установки, передвижные и стационарные</t>
        </is>
      </c>
      <c r="J105" s="15" t="inlineStr">
        <is>
          <t>Производитель</t>
        </is>
      </c>
      <c r="K105" s="15" t="inlineStr">
        <is>
          <t>OK</t>
        </is>
      </c>
      <c r="L105" s="15" t="inlineStr">
        <is>
          <t>литотрипторы, медицинские изделия и рентгеновское оборудование</t>
        </is>
      </c>
      <c r="M105" s="15" t="inlineStr">
        <is>
          <t>Дали Медикал</t>
        </is>
      </c>
      <c r="N105" s="15" t="inlineStr">
        <is>
          <t>Здравоохранение-2025</t>
        </is>
      </c>
      <c r="O105" s="20" t="inlineStr">
        <is>
          <t>https://icatalog.expocentr.ru/ru/exhibitions/de590dc5-417d-11ee-80ce-a0d3c1fab97f</t>
        </is>
      </c>
    </row>
    <row r="106">
      <c r="A106" s="15" t="inlineStr">
        <is>
          <t>БИОЛАЙН, ООО</t>
        </is>
      </c>
      <c r="B106" s="21" t="n">
        <v>8e+110</v>
      </c>
      <c r="C106" s="15" t="inlineStr">
        <is>
          <t>Россия</t>
        </is>
      </c>
      <c r="D106" s="15" t="inlineStr">
        <is>
          <t>Санкт-Петербург</t>
        </is>
      </c>
      <c r="E106" s="15" t="inlineStr">
        <is>
          <t>Россия, 197022, г. Санкт-Петербург, вн. тер. г. м. о. Аптекарский Остров, ул. Профессора Попова, д. 23, литера Е, пом. 3Н/5Н, комн. 208</t>
        </is>
      </c>
      <c r="F106" s="20" t="inlineStr">
        <is>
          <t>http://www.bioline.ru</t>
        </is>
      </c>
      <c r="G106" s="15" t="inlineStr">
        <is>
          <t>main@bioline.ru</t>
        </is>
      </c>
      <c r="H106" s="15" t="inlineStr">
        <is>
          <t>«БиоЛайн» — один из ведущих поставщиков продукции для лабораторий и учреждений научного и медицинского профиля.— Проточные цитометры Cellriver (Россия).— Оснащение патоморфологических лабораторий под ключ оборудованием Leica, Milestone (Италия).— ldylla — автоматическая платформа для исследований в молекулярной онкологии Biocartis (Бельгия).— Операционные микроскопы для нейрохирургии, спинальной хирургии, лор, пластики и реконструкции Leica (Швейцария).— Функциональные медицинские кровати и противопролежневые матрацы PARDO (Испания).— Манипуляционно-смотровые кресла Medielle для гинекологических, урологических и проктологических обследований и процедур Bawariamed d.o.o. (Босния и Герцеговина).— Устройства для перемещения пациентов Transaroll, Transatlantic (Германия).— Автоматические приборы для маркировки и выдачи пробирок серии HEN и GNT9, Energium (Корея).</t>
        </is>
      </c>
      <c r="I106" s="15" t="inlineStr">
        <is>
          <t>Гинекологические кресла; Медицинская мебель; Средства перевозки (перемещения) пациентов, оборудования и материалов; Генетика и молекулярная генетика; Оборудование для банков крови; Операционные микроскопы и видеоустройства</t>
        </is>
      </c>
      <c r="J106" s="15" t="inlineStr">
        <is>
          <t>Дилер</t>
        </is>
      </c>
      <c r="K106" s="15" t="inlineStr">
        <is>
          <t>OK</t>
        </is>
      </c>
      <c r="L106" s="15" t="inlineStr">
        <is>
          <t>цитометры, лабораторное оборудование, медицинские кровати и кресла</t>
        </is>
      </c>
      <c r="M106" s="15" t="inlineStr">
        <is>
          <t>Биолайн</t>
        </is>
      </c>
      <c r="N106" s="15" t="inlineStr">
        <is>
          <t>Здравоохранение-2025</t>
        </is>
      </c>
      <c r="O106" s="20" t="inlineStr">
        <is>
          <t>https://icatalog.expocentr.ru/ru/exhibitions/de590dc5-417d-11ee-80ce-a0d3c1fab97f</t>
        </is>
      </c>
    </row>
    <row r="107">
      <c r="A107" s="15" t="inlineStr">
        <is>
          <t>ШТЕЙМАН КРАФТ, ООО</t>
        </is>
      </c>
      <c r="B107" s="15" t="inlineStr">
        <is>
          <t>8C015</t>
        </is>
      </c>
      <c r="C107" s="15" t="inlineStr">
        <is>
          <t>Россия</t>
        </is>
      </c>
      <c r="D107" s="15" t="inlineStr">
        <is>
          <t>Москва</t>
        </is>
      </c>
      <c r="E107" s="15" t="inlineStr">
        <is>
          <t>Россия, 129226, г. Москва, ул. Докукина, д. 8, стр. 2, пом. 3.1, этаж 6</t>
        </is>
      </c>
      <c r="F107" s="20" t="inlineStr">
        <is>
          <t>http://www.stkraft.com</t>
        </is>
      </c>
      <c r="G107" s="19" t="n"/>
      <c r="H107" s="15" t="inlineStr">
        <is>
          <t>Поставляем современное рентгеновское оборудование по всей России. Предлагаем стационарные и портативные модели для больниц и ветклиник. Обеспечиваем установку и сервис.</t>
        </is>
      </c>
      <c r="I107" s="15" t="inlineStr">
        <is>
          <t>Рентгеновские диагностические установки, передвижные и стационарные; Маммографы; Эндоскопы жесткие; Эндоскопические комплексы и системы; Инструменты и принадлежности для эндоскопии</t>
        </is>
      </c>
      <c r="J107" s="15" t="inlineStr">
        <is>
          <t>Дилер</t>
        </is>
      </c>
      <c r="K107" s="15" t="inlineStr">
        <is>
          <t>OK</t>
        </is>
      </c>
      <c r="L107" s="15" t="inlineStr">
        <is>
          <t>рентгеновское оборудование, маммографы, эндоскопы и инструменты</t>
        </is>
      </c>
      <c r="M107" s="15" t="inlineStr">
        <is>
          <t>Штейман Крафт</t>
        </is>
      </c>
      <c r="N107" s="15" t="inlineStr">
        <is>
          <t>Здравоохранение-2025</t>
        </is>
      </c>
      <c r="O107" s="20" t="inlineStr">
        <is>
          <t>https://icatalog.expocentr.ru/ru/exhibitions/de590dc5-417d-11ee-80ce-a0d3c1fab97f</t>
        </is>
      </c>
    </row>
    <row r="108">
      <c r="A108" s="15" t="inlineStr">
        <is>
          <t>ФАКЕЛ МКБ, АО</t>
        </is>
      </c>
      <c r="B108" s="21" t="n">
        <v>80000000000</v>
      </c>
      <c r="C108" s="15" t="inlineStr">
        <is>
          <t>Россия</t>
        </is>
      </c>
      <c r="D108" s="15" t="inlineStr">
        <is>
          <t>Химки</t>
        </is>
      </c>
      <c r="E108" s="15" t="inlineStr">
        <is>
          <t>Россия, 141401, Московская обл., г. Химки, ул. Академика Грушина, вл. 33</t>
        </is>
      </c>
      <c r="F108" s="20" t="inlineStr">
        <is>
          <t>https://www.mkbfakel.ru</t>
        </is>
      </c>
      <c r="G108" s="15" t="inlineStr">
        <is>
          <t>inova@mkbfakel.ru</t>
        </is>
      </c>
      <c r="H108" s="15" t="inlineStr">
        <is>
          <t>АО "МКБ «Факел» представляет на выставке 5-осевые ЧПУ-станки собственной разработки для производства высокоточных зубных протезов и имплантатов. Надежные решения для современной стоматологии.</t>
        </is>
      </c>
      <c r="I108" s="15" t="inlineStr">
        <is>
          <t>Зуботехническое оборудование и инструменты</t>
        </is>
      </c>
      <c r="J108" s="15" t="inlineStr">
        <is>
          <t>Производитель</t>
        </is>
      </c>
      <c r="K108" s="15" t="inlineStr">
        <is>
          <t>OK</t>
        </is>
      </c>
      <c r="L108" s="15" t="inlineStr">
        <is>
          <t>ЧПУ-станки, зубные протезы и имплантаты</t>
        </is>
      </c>
      <c r="M108" s="15" t="inlineStr">
        <is>
          <t>Факел МКБ</t>
        </is>
      </c>
      <c r="N108" s="15" t="inlineStr">
        <is>
          <t>Здравоохранение-2025</t>
        </is>
      </c>
      <c r="O108" s="20" t="inlineStr">
        <is>
          <t>https://icatalog.expocentr.ru/ru/exhibitions/de590dc5-417d-11ee-80ce-a0d3c1fab97f</t>
        </is>
      </c>
    </row>
    <row r="109">
      <c r="A109" s="15" t="inlineStr">
        <is>
          <t>ИСКРА ЗАВОД НПП, АО</t>
        </is>
      </c>
      <c r="B109" s="21" t="n">
        <v>80000000000</v>
      </c>
      <c r="C109" s="15" t="inlineStr">
        <is>
          <t>Россия</t>
        </is>
      </c>
      <c r="D109" s="15" t="inlineStr">
        <is>
          <t>Ульяновск</t>
        </is>
      </c>
      <c r="E109" s="15" t="inlineStr">
        <is>
          <t>Россия, 432030, г. Ульяновск, просп. Нариманова, д. 75</t>
        </is>
      </c>
      <c r="F109" s="20" t="inlineStr">
        <is>
          <t>https://zavod-iskra.ru</t>
        </is>
      </c>
      <c r="G109" s="15" t="inlineStr">
        <is>
          <t>sbyt@npp-iskra.ru</t>
        </is>
      </c>
      <c r="H109" s="15" t="inlineStr">
        <is>
          <t>Разработка и производство термометра «Темис» и других устройств и компонентов.</t>
        </is>
      </c>
      <c r="I109" s="15" t="inlineStr">
        <is>
          <t>Термометры</t>
        </is>
      </c>
      <c r="J109" s="15" t="inlineStr">
        <is>
          <t>Производитель</t>
        </is>
      </c>
      <c r="K109" s="15" t="inlineStr">
        <is>
          <t>OK</t>
        </is>
      </c>
      <c r="L109" s="15" t="inlineStr">
        <is>
          <t>термометры, устройства и компоненты</t>
        </is>
      </c>
      <c r="M109" s="15" t="inlineStr">
        <is>
          <t>Искра Завод НПП</t>
        </is>
      </c>
      <c r="N109" s="15" t="inlineStr">
        <is>
          <t>Здравоохранение-2025</t>
        </is>
      </c>
      <c r="O109" s="20" t="inlineStr">
        <is>
          <t>https://icatalog.expocentr.ru/ru/exhibitions/de590dc5-417d-11ee-80ce-a0d3c1fab97f</t>
        </is>
      </c>
    </row>
    <row r="110">
      <c r="A110" s="15" t="inlineStr">
        <is>
          <t>РЕХАБ ТЕХНОЛОГИИ, ООО</t>
        </is>
      </c>
      <c r="B110" s="21" t="n">
        <v>80000000000</v>
      </c>
      <c r="C110" s="15" t="inlineStr">
        <is>
          <t>Россия</t>
        </is>
      </c>
      <c r="D110" s="15" t="inlineStr">
        <is>
          <t>Москва</t>
        </is>
      </c>
      <c r="E110" s="15" t="inlineStr">
        <is>
          <t>Россия, 109129, г. Москва, 8-я ул. Текстильщиков, д. 11, оф. 213</t>
        </is>
      </c>
      <c r="F110" s="20" t="inlineStr">
        <is>
          <t>https://rehabtex.ru</t>
        </is>
      </c>
      <c r="G110" s="15" t="inlineStr">
        <is>
          <t>bon@rehabtex.ru</t>
        </is>
      </c>
      <c r="H110" s="15" t="inlineStr">
        <is>
          <t>Официальный дистрибьютор АО «ВЭМЗ». Представлен модульный экзоскелет для реабилитации и восстановления двигательных функций Remotion с функциональной электростимуляцией и электромиографией.</t>
        </is>
      </c>
      <c r="I110" s="15" t="inlineStr">
        <is>
          <t>Тренажеры</t>
        </is>
      </c>
      <c r="J110" s="15" t="inlineStr">
        <is>
          <t>Дилер</t>
        </is>
      </c>
      <c r="K110" s="15" t="inlineStr">
        <is>
          <t>OK</t>
        </is>
      </c>
      <c r="L110" s="15" t="inlineStr">
        <is>
          <t>экзоскелеты и тренажеры</t>
        </is>
      </c>
      <c r="M110" s="15" t="inlineStr">
        <is>
          <t>Рехаб Технологии</t>
        </is>
      </c>
      <c r="N110" s="15" t="inlineStr">
        <is>
          <t>Здравоохранение-2025</t>
        </is>
      </c>
      <c r="O110" s="20" t="inlineStr">
        <is>
          <t>https://icatalog.expocentr.ru/ru/exhibitions/de590dc5-417d-11ee-80ce-a0d3c1fab97f</t>
        </is>
      </c>
    </row>
    <row r="111">
      <c r="A111" s="15" t="inlineStr">
        <is>
          <t>4Clinic</t>
        </is>
      </c>
      <c r="B111" s="15" t="inlineStr">
        <is>
          <t>8B030</t>
        </is>
      </c>
      <c r="C111" s="15" t="inlineStr">
        <is>
          <t>Россия</t>
        </is>
      </c>
      <c r="D111" s="15" t="inlineStr">
        <is>
          <t>Москва</t>
        </is>
      </c>
      <c r="E111" s="15" t="inlineStr">
        <is>
          <t>Россия, 109559, г. Москва, ул. Верхние Поля, д. 45, корп. 4</t>
        </is>
      </c>
      <c r="F111" s="20" t="inlineStr">
        <is>
          <t>http://4Clinic.ru</t>
        </is>
      </c>
      <c r="G111" s="15" t="inlineStr">
        <is>
          <t>info@4clinic.ru</t>
        </is>
      </c>
      <c r="H111" s="15" t="inlineStr">
        <is>
          <t>4Clinic —международная компания с офисами в России и СНГ, поставляющая диагностическое и реабилитационное оборудование. Собственный учебный центр и организация международных конгрессов для специалистов.</t>
        </is>
      </c>
      <c r="I111" s="15" t="inlineStr">
        <is>
          <t>Ультразвуковые сканеры и диагностические системы; Оборудование для ударно-волновой терапии; Оборудование для магнитотерапии; Оборудование для электротерапии; Оборудование для лазерной терапии; Учебные пособия</t>
        </is>
      </c>
      <c r="J111" s="15" t="inlineStr">
        <is>
          <t>Дилер</t>
        </is>
      </c>
      <c r="K111" s="15" t="inlineStr">
        <is>
          <t>OK</t>
        </is>
      </c>
      <c r="L111" s="15" t="inlineStr">
        <is>
          <t>оборудование, учебные пособия</t>
        </is>
      </c>
      <c r="M111" s="15" t="inlineStr">
        <is>
          <t>4Clinic</t>
        </is>
      </c>
      <c r="N111" s="15" t="inlineStr">
        <is>
          <t>Здравоохранение-2025</t>
        </is>
      </c>
      <c r="O111" s="20" t="inlineStr">
        <is>
          <t>https://icatalog.expocentr.ru/ru/exhibitions/de590dc5-417d-11ee-80ce-a0d3c1fab97f</t>
        </is>
      </c>
    </row>
    <row r="112">
      <c r="A112" s="15" t="inlineStr">
        <is>
          <t>ТРИММ МЕДИЦИНСКИЕ СИСТЕМЫ, ООО</t>
        </is>
      </c>
      <c r="B112" s="15" t="inlineStr">
        <is>
          <t>8D060</t>
        </is>
      </c>
      <c r="C112" s="15" t="inlineStr">
        <is>
          <t>Россия</t>
        </is>
      </c>
      <c r="D112" s="15" t="inlineStr">
        <is>
          <t>Москва</t>
        </is>
      </c>
      <c r="E112" s="15" t="inlineStr">
        <is>
          <t>Россия, 107113, г. Москва, ул. Лобачика, д. 15, оф. 2</t>
        </is>
      </c>
      <c r="F112" s="20" t="inlineStr">
        <is>
          <t>http://www.trimm.ru</t>
        </is>
      </c>
      <c r="G112" s="15" t="inlineStr">
        <is>
          <t>info@trimm.ru</t>
        </is>
      </c>
      <c r="H112" s="15" t="inlineStr">
        <is>
          <t>Поставщик и производитель профессионального медицинского оборудования с опытом работы более 25 лет. Эксклюзивный дистрибьютор Fritz Stephan, Biolight, INSPITAL, MAICO Diagnostics и LinaTech в России.</t>
        </is>
      </c>
      <c r="I112" s="15" t="inlineStr">
        <is>
          <t>Осветительные приборы; Проектирование и оснащение медицинских учреждений под ключ; Аппараты для искусственной вентиляции легких; Мониторы пациента; Операционные столы; Лазерные  хирургические аппараты</t>
        </is>
      </c>
      <c r="J112" s="15" t="inlineStr">
        <is>
          <t>Производитель</t>
        </is>
      </c>
      <c r="K112" s="15" t="inlineStr">
        <is>
          <t>OK</t>
        </is>
      </c>
      <c r="L112" s="15" t="inlineStr">
        <is>
          <t>осветительные приборы, аппараты ИВЛ, мониторы пациента, операционные столы и лазерные аппараты</t>
        </is>
      </c>
      <c r="M112" s="15" t="inlineStr">
        <is>
          <t>ТРИММ Медицинские Системы</t>
        </is>
      </c>
      <c r="N112" s="15" t="inlineStr">
        <is>
          <t>Здравоохранение-2025</t>
        </is>
      </c>
      <c r="O112" s="20" t="inlineStr">
        <is>
          <t>https://icatalog.expocentr.ru/ru/exhibitions/de590dc5-417d-11ee-80ce-a0d3c1fab97f</t>
        </is>
      </c>
    </row>
    <row r="113">
      <c r="A113" s="15" t="inlineStr">
        <is>
          <t>ТРИТОН-ЭЛЕКТРОНИКС, ФИРМА, ООО</t>
        </is>
      </c>
      <c r="B113" s="15" t="inlineStr">
        <is>
          <t>8F050,   8G070</t>
        </is>
      </c>
      <c r="C113" s="15" t="inlineStr">
        <is>
          <t>Россия</t>
        </is>
      </c>
      <c r="D113" s="15" t="inlineStr">
        <is>
          <t>Екатеринбург</t>
        </is>
      </c>
      <c r="E113" s="15" t="inlineStr">
        <is>
          <t>Россия, 620133, г. Екатеринбург, ул. Бажова, д. 33</t>
        </is>
      </c>
      <c r="F113" s="20" t="inlineStr">
        <is>
          <t>http://treaton.ru</t>
        </is>
      </c>
      <c r="G113" s="15" t="inlineStr">
        <is>
          <t>mail@treaton.ru</t>
        </is>
      </c>
      <c r="H113" s="15" t="inlineStr">
        <is>
          <t>«Тритон-ЭлектроникС» — российский разработчик и производитель медицинского оборудования для анестезиологии и реаниматологии под ТМ Treaton. Основное оборудование: аппараты ИВЛ, мониторы пациента.</t>
        </is>
      </c>
      <c r="I113" s="15" t="inlineStr">
        <is>
          <t>Производство медицинских изделий; Комплектующие для производства медицинских изделий; Аппараты для искусственной вентиляции легких; Мониторы пациента</t>
        </is>
      </c>
      <c r="J113" s="15" t="inlineStr">
        <is>
          <t>Производитель</t>
        </is>
      </c>
      <c r="K113" s="15" t="inlineStr">
        <is>
          <t>OK</t>
        </is>
      </c>
      <c r="L113" s="15" t="inlineStr">
        <is>
          <t>аппараты ИВЛ и мониторы пациента</t>
        </is>
      </c>
      <c r="M113" s="15" t="inlineStr">
        <is>
          <t>Тритон Электроникс Фирма</t>
        </is>
      </c>
      <c r="N113" s="15" t="inlineStr">
        <is>
          <t>Здравоохранение-2025</t>
        </is>
      </c>
      <c r="O113" s="20" t="inlineStr">
        <is>
          <t>https://icatalog.expocentr.ru/ru/exhibitions/de590dc5-417d-11ee-80ce-a0d3c1fab97f</t>
        </is>
      </c>
    </row>
    <row r="114">
      <c r="A114" s="15" t="inlineStr">
        <is>
          <t>ВНИИИМТ РОСЗДРАВНАДЗОРА, ФГБУ</t>
        </is>
      </c>
      <c r="B114" s="15" t="inlineStr">
        <is>
          <t>8G070</t>
        </is>
      </c>
      <c r="C114" s="15" t="inlineStr">
        <is>
          <t>Россия</t>
        </is>
      </c>
      <c r="D114" s="15" t="inlineStr">
        <is>
          <t>Москва</t>
        </is>
      </c>
      <c r="E114" s="15" t="inlineStr">
        <is>
          <t>Россия, 115522, г. Москва, Каширское ш., д. 24, стр. 16</t>
        </is>
      </c>
      <c r="F114" s="20" t="inlineStr">
        <is>
          <t>https://www.vniiimt.ru</t>
        </is>
      </c>
      <c r="G114" s="15" t="inlineStr">
        <is>
          <t>test@vniiimt.ru</t>
        </is>
      </c>
      <c r="H114" s="15" t="inlineStr">
        <is>
          <t>ФГБУ «ВНИИИМТ» Росздравнадзора является ключевым учреждением в системе здравоохранения по вопросам обеспечения безопасности, качества и эффективности медицинских изделий на российском рынке.</t>
        </is>
      </c>
      <c r="I114" s="15" t="inlineStr">
        <is>
          <t>Оборудование для мониторинга функций сердечно-сосудистой системы; Аналитика рынка, консалтинг; Профессиональное образование и повышение квалификации; Испытательные лаборатории, органы по сертификации, метрологические центры; Лабораторное оборудование</t>
        </is>
      </c>
      <c r="J114" s="15" t="inlineStr">
        <is>
          <t>Поставщик услуг</t>
        </is>
      </c>
      <c r="K114" s="15" t="inlineStr">
        <is>
          <t>OK</t>
        </is>
      </c>
      <c r="L114" s="15" t="inlineStr">
        <is>
          <t>медицинские изделия и лабораторное оборудование</t>
        </is>
      </c>
      <c r="M114" s="15" t="inlineStr">
        <is>
          <t>ВНИИИМТ РОСЗДРАВНАДЗОРА</t>
        </is>
      </c>
      <c r="N114" s="15" t="inlineStr">
        <is>
          <t>Здравоохранение-2025</t>
        </is>
      </c>
      <c r="O114" s="20" t="inlineStr">
        <is>
          <t>https://icatalog.expocentr.ru/ru/exhibitions/de590dc5-417d-11ee-80ce-a0d3c1fab97f</t>
        </is>
      </c>
    </row>
    <row r="115">
      <c r="A115" s="15" t="inlineStr">
        <is>
          <t>НАУЧНЫЙ ЦЕНТР ЭКСПЕРТИЗЫ СРЕДСТВ МЕДИЦИНСКОГО ПРИМЕНЕНИЯ МИНИСТЕРСТВА ЗДРАВООХРАНЕНИЯ РОССИЙСКОЙ ФЕДЕРАЦИИ, ФЕДЕРАЛЬНОЕ ГОСУДАРСТВЕННОЕ БЮДЖЕТНОЕ УЧРЕЖДЕНИЕ</t>
        </is>
      </c>
      <c r="B115" s="15" t="inlineStr">
        <is>
          <t>8G070</t>
        </is>
      </c>
      <c r="C115" s="15" t="inlineStr">
        <is>
          <t>Россия</t>
        </is>
      </c>
      <c r="D115" s="15" t="inlineStr">
        <is>
          <t>Москва</t>
        </is>
      </c>
      <c r="E115" s="15" t="inlineStr">
        <is>
          <t>Россия, 127051, г. Москва, Петровский б-р, д. 8, стр. 2</t>
        </is>
      </c>
      <c r="F115" s="20" t="inlineStr">
        <is>
          <t>https://www.regmed.ru</t>
        </is>
      </c>
      <c r="G115" s="15" t="inlineStr">
        <is>
          <t>general@expmed.ru</t>
        </is>
      </c>
      <c r="H115" s="15" t="inlineStr">
        <is>
          <t>ФГБУ «НЦЭСМП» Минздрава России осуществляет экспертизу лекарственных средств российского и зарубежного производства для медицинского применения.</t>
        </is>
      </c>
      <c r="I115" s="15" t="inlineStr">
        <is>
          <t>Оборудование для мониторинга функций сердечно-сосудистой системы; Диагностические приборы и устройства для аускультации, перкуссии, антропометрии; Комплектующие для производства медицинских изделий</t>
        </is>
      </c>
      <c r="J115" s="15" t="inlineStr">
        <is>
          <t>Поставщик услуг</t>
        </is>
      </c>
      <c r="K115" s="15" t="inlineStr">
        <is>
          <t>OK</t>
        </is>
      </c>
      <c r="L115" s="15" t="inlineStr">
        <is>
          <t>оборудование, приборы и комплектующие</t>
        </is>
      </c>
      <c r="M115" s="15" t="inlineStr">
        <is>
          <t>Научный Центр Экспертизы</t>
        </is>
      </c>
      <c r="N115" s="15" t="inlineStr">
        <is>
          <t>Здравоохранение-2025</t>
        </is>
      </c>
      <c r="O115" s="20" t="inlineStr">
        <is>
          <t>https://icatalog.expocentr.ru/ru/exhibitions/de590dc5-417d-11ee-80ce-a0d3c1fab97f</t>
        </is>
      </c>
    </row>
    <row r="116">
      <c r="A116" s="15" t="inlineStr">
        <is>
          <t>МЕДИКО-ИНСТРУМЕНТАЛЬНЫЙ ЗАВОД ИМ. М. ГОРЬКОГО, ПАО</t>
        </is>
      </c>
      <c r="B116" s="15" t="inlineStr">
        <is>
          <t>8G070</t>
        </is>
      </c>
      <c r="C116" s="15" t="inlineStr">
        <is>
          <t>Россия</t>
        </is>
      </c>
      <c r="D116" s="15" t="n"/>
      <c r="E116" s="15" t="inlineStr">
        <is>
          <t>Россия, 606131, Нижегородская обл., Павловский р-н, пос. Тумботино, ул. Пушкина, д. 1</t>
        </is>
      </c>
      <c r="F116" s="20" t="inlineStr">
        <is>
          <t>https://tumbotino.ru</t>
        </is>
      </c>
      <c r="G116" s="15" t="inlineStr">
        <is>
          <t>info@tumbotino.ru</t>
        </is>
      </c>
      <c r="H116" s="15" t="inlineStr">
        <is>
          <t>ПАО «МИЗ им. М. Горького» — ведущее российское предприятие по производству медицинских инструментов, основано в 1884 году. Выпускает более 5000 наименований медицинских инструментов различного назначения.</t>
        </is>
      </c>
      <c r="I116" s="15" t="inlineStr">
        <is>
          <t>Хирургическое оборудование; Хирургические инструменты</t>
        </is>
      </c>
      <c r="J116" s="15" t="inlineStr">
        <is>
          <t>Производитель</t>
        </is>
      </c>
      <c r="K116" s="15" t="inlineStr">
        <is>
          <t>OK</t>
        </is>
      </c>
      <c r="L116" s="15" t="inlineStr">
        <is>
          <t>хирургическое оборудование и хирургические инструменты</t>
        </is>
      </c>
      <c r="M116" s="15" t="inlineStr">
        <is>
          <t>Медико-Инструментальный Завод</t>
        </is>
      </c>
      <c r="N116" s="15" t="inlineStr">
        <is>
          <t>Здравоохранение-2025</t>
        </is>
      </c>
      <c r="O116" s="20" t="inlineStr">
        <is>
          <t>https://icatalog.expocentr.ru/ru/exhibitions/de590dc5-417d-11ee-80ce-a0d3c1fab97f</t>
        </is>
      </c>
    </row>
    <row r="117">
      <c r="A117" s="15" t="inlineStr">
        <is>
          <t>РМед, Научно-производственное объединение, АО</t>
        </is>
      </c>
      <c r="B117" s="15" t="inlineStr">
        <is>
          <t>8G070</t>
        </is>
      </c>
      <c r="C117" s="15" t="inlineStr">
        <is>
          <t>Россия</t>
        </is>
      </c>
      <c r="D117" s="15" t="inlineStr">
        <is>
          <t>Москва</t>
        </is>
      </c>
      <c r="E117" s="15" t="inlineStr">
        <is>
          <t>Россия, 127299, г. Москва, вн. тер. г. м. о. Коптево, ул. Космонавта Волкова, д. 20</t>
        </is>
      </c>
      <c r="F117" s="15" t="n"/>
      <c r="G117" s="15" t="inlineStr">
        <is>
          <t>info@rmed.tech</t>
        </is>
      </c>
      <c r="H117" s="15" t="inlineStr">
        <is>
          <t>АО «НПО «РМед» — российский производитель медицинской техники.</t>
        </is>
      </c>
      <c r="I117" s="15" t="inlineStr">
        <is>
          <t>Эндоскопы гибкие; Аппараты для искусственной вентиляции легких; Наркозно-дыхательные аппараты</t>
        </is>
      </c>
      <c r="J117" s="15" t="inlineStr">
        <is>
          <t>Производитель</t>
        </is>
      </c>
      <c r="K117" s="15" t="inlineStr">
        <is>
          <t>OK</t>
        </is>
      </c>
      <c r="L117" s="15" t="inlineStr">
        <is>
          <t>эндоскопы, аппараты ИВЛ и наркозно-дыхательные аппараты</t>
        </is>
      </c>
      <c r="M117" s="15" t="inlineStr">
        <is>
          <t>РМед</t>
        </is>
      </c>
      <c r="N117" s="15" t="inlineStr">
        <is>
          <t>Здравоохранение-2025</t>
        </is>
      </c>
      <c r="O117" s="20" t="inlineStr">
        <is>
          <t>https://icatalog.expocentr.ru/ru/exhibitions/de590dc5-417d-11ee-80ce-a0d3c1fab97f</t>
        </is>
      </c>
    </row>
    <row r="118">
      <c r="A118" s="15" t="inlineStr">
        <is>
          <t>АТРИУМ, АО</t>
        </is>
      </c>
      <c r="B118" s="15" t="inlineStr">
        <is>
          <t>8G070</t>
        </is>
      </c>
      <c r="C118" s="15" t="inlineStr">
        <is>
          <t>Россия</t>
        </is>
      </c>
      <c r="D118" s="15" t="inlineStr">
        <is>
          <t>Тула</t>
        </is>
      </c>
      <c r="E118" s="15" t="inlineStr">
        <is>
          <t>Россия, 300004, г. Тула, Венёвское ш., д. 4, корп. 18</t>
        </is>
      </c>
      <c r="F118" s="20" t="inlineStr">
        <is>
          <t>https://medatrium.ru</t>
        </is>
      </c>
      <c r="G118" s="15" t="inlineStr">
        <is>
          <t>info@medatrium.ru</t>
        </is>
      </c>
      <c r="H118" s="15" t="inlineStr">
        <is>
          <t>Компания «Атриум» занимается производством оборудования для оснащения учреждений здравоохранения системами жизнеобеспечения и лечебного газоснабжения.</t>
        </is>
      </c>
      <c r="I118" s="15" t="inlineStr">
        <is>
          <t>Прочие диагностические устройства</t>
        </is>
      </c>
      <c r="J118" s="15" t="inlineStr">
        <is>
          <t>Производитель</t>
        </is>
      </c>
      <c r="K118" s="15" t="inlineStr">
        <is>
          <t>OK</t>
        </is>
      </c>
      <c r="L118" s="15" t="inlineStr">
        <is>
          <t>оборудование, системы жизнеобеспечения и системы газоснабжения</t>
        </is>
      </c>
      <c r="M118" s="15" t="inlineStr">
        <is>
          <t>Атриум</t>
        </is>
      </c>
      <c r="N118" s="15" t="inlineStr">
        <is>
          <t>Здравоохранение-2025</t>
        </is>
      </c>
      <c r="O118" s="20" t="inlineStr">
        <is>
          <t>https://icatalog.expocentr.ru/ru/exhibitions/de590dc5-417d-11ee-80ce-a0d3c1fab97f</t>
        </is>
      </c>
    </row>
    <row r="119">
      <c r="A119" s="15" t="inlineStr">
        <is>
          <t>ВИТАЛ ДЕВЕЛОПМЕНТ КОРПОРЭЙШН, АО</t>
        </is>
      </c>
      <c r="B119" s="15" t="inlineStr">
        <is>
          <t>8G070</t>
        </is>
      </c>
      <c r="C119" s="15" t="inlineStr">
        <is>
          <t>Россия</t>
        </is>
      </c>
      <c r="D119" s="15" t="inlineStr">
        <is>
          <t>Санкт-Петербург</t>
        </is>
      </c>
      <c r="E119" s="15" t="inlineStr">
        <is>
          <t>Россия, 197350, г. Санкт-Петербург, Дорога в Каменку, д. 56, литера А</t>
        </is>
      </c>
      <c r="F119" s="20" t="inlineStr">
        <is>
          <t>http://www.vital-spb.ru</t>
        </is>
      </c>
      <c r="G119" s="15" t="inlineStr">
        <is>
          <t>k.pelle@vital-spb.ru</t>
        </is>
      </c>
      <c r="H119" s="15" t="inlineStr">
        <is>
          <t>Российский производитель наборов реагентов для биохимического и иммуноферментного анализа, автоматических и полуавтоматических биохимических анализаторов, установок для получения деионизированной воды.</t>
        </is>
      </c>
      <c r="I119" s="15" t="inlineStr">
        <is>
          <t>Анализаторы</t>
        </is>
      </c>
      <c r="J119" s="15" t="inlineStr">
        <is>
          <t>Производитель</t>
        </is>
      </c>
      <c r="K119" s="15" t="inlineStr">
        <is>
          <t>OK</t>
        </is>
      </c>
      <c r="L119" s="15" t="inlineStr">
        <is>
          <t>наборы реагентов, анализаторы и установки</t>
        </is>
      </c>
      <c r="M119" s="15" t="inlineStr">
        <is>
          <t>Витал Девелопмент Корпорэйшн</t>
        </is>
      </c>
      <c r="N119" s="15" t="inlineStr">
        <is>
          <t>Здравоохранение-2025</t>
        </is>
      </c>
      <c r="O119" s="20" t="inlineStr">
        <is>
          <t>https://icatalog.expocentr.ru/ru/exhibitions/de590dc5-417d-11ee-80ce-a0d3c1fab97f</t>
        </is>
      </c>
    </row>
    <row r="120">
      <c r="A120" s="15" t="inlineStr">
        <is>
          <t>НЕГАТОСКОП.РУ, НАУЧНО-ПРОИЗВОДСТВЕННАЯ КОМПАНИЯ, ООО</t>
        </is>
      </c>
      <c r="B120" s="15" t="inlineStr">
        <is>
          <t>8G070</t>
        </is>
      </c>
      <c r="C120" s="15" t="inlineStr">
        <is>
          <t>Россия</t>
        </is>
      </c>
      <c r="D120" s="15" t="inlineStr">
        <is>
          <t>Санкт-Петербург</t>
        </is>
      </c>
      <c r="E120" s="15" t="inlineStr">
        <is>
          <t>Россия, 192284, г. Санкт-Петербург, ул. Пловдивская, д. 2, оф. 525</t>
        </is>
      </c>
      <c r="F120" s="20" t="inlineStr">
        <is>
          <t>https://negatoscope.ru</t>
        </is>
      </c>
      <c r="G120" s="15" t="inlineStr">
        <is>
          <t>info@negatoscope.ru</t>
        </is>
      </c>
      <c r="H120" s="15" t="inlineStr">
        <is>
          <t>Российский производитель медицинской техники. Производим и продаем медицинские светильники и светодиодные негатоскопы.</t>
        </is>
      </c>
      <c r="I120" s="15" t="inlineStr">
        <is>
          <t>Рентгеновские диагностические установки, передвижные и стационарные</t>
        </is>
      </c>
      <c r="J120" s="15" t="inlineStr">
        <is>
          <t>Производитель</t>
        </is>
      </c>
      <c r="K120" s="15" t="inlineStr">
        <is>
          <t>OK</t>
        </is>
      </c>
      <c r="L120" s="15" t="inlineStr">
        <is>
          <t>медицинские светильники, светодиодные негатоскопы и рентгеновские установки</t>
        </is>
      </c>
      <c r="M120" s="15" t="inlineStr">
        <is>
          <t>Негатоскоп.Ру</t>
        </is>
      </c>
      <c r="N120" s="15" t="inlineStr">
        <is>
          <t>Здравоохранение-2025</t>
        </is>
      </c>
      <c r="O120" s="20" t="inlineStr">
        <is>
          <t>https://icatalog.expocentr.ru/ru/exhibitions/de590dc5-417d-11ee-80ce-a0d3c1fab97f</t>
        </is>
      </c>
    </row>
    <row r="121">
      <c r="A121" s="15" t="inlineStr">
        <is>
          <t>ПЕТР ТЕЛЕГИН, ООО (BPLAB TM)</t>
        </is>
      </c>
      <c r="B121" s="15" t="inlineStr">
        <is>
          <t>8A035</t>
        </is>
      </c>
      <c r="C121" s="15" t="inlineStr">
        <is>
          <t>Россия</t>
        </is>
      </c>
      <c r="D121" s="15" t="inlineStr">
        <is>
          <t>Нижний Новгород</t>
        </is>
      </c>
      <c r="E121" s="15" t="inlineStr">
        <is>
          <t>Россия, 603009, г. Нижний Новгород, просп. Гагарина, д. 37д, пом. П1</t>
        </is>
      </c>
      <c r="F121" s="20" t="inlineStr">
        <is>
          <t>http://www.bplab.ru</t>
        </is>
      </c>
      <c r="G121" s="15" t="inlineStr">
        <is>
          <t>info@bplab.com</t>
        </is>
      </c>
      <c r="H121" s="15" t="inlineStr">
        <is>
          <t>Предприятие полного цикла, производит суточные мониторы АД и ЭКГ BPlab, аппараты для объемной сфигмографии BPlab Angio, современное ПО с технологией Vasotens. Продукция используется в ЛПУ России и мира.</t>
        </is>
      </c>
      <c r="I121" s="15" t="inlineStr">
        <is>
          <t>Системы мониторирования ЭКГ и АД; Производство медицинских изделий</t>
        </is>
      </c>
      <c r="J121" s="15" t="inlineStr">
        <is>
          <t>Производитель</t>
        </is>
      </c>
      <c r="K121" s="15" t="inlineStr">
        <is>
          <t>OK</t>
        </is>
      </c>
      <c r="L121" s="15" t="inlineStr">
        <is>
          <t>мониторы и аппараты</t>
        </is>
      </c>
      <c r="M121" s="15" t="inlineStr">
        <is>
          <t>BPLAB</t>
        </is>
      </c>
      <c r="N121" s="15" t="inlineStr">
        <is>
          <t>Здравоохранение-2025</t>
        </is>
      </c>
      <c r="O121" s="20" t="inlineStr">
        <is>
          <t>https://icatalog.expocentr.ru/ru/exhibitions/de590dc5-417d-11ee-80ce-a0d3c1fab97f</t>
        </is>
      </c>
    </row>
    <row r="122">
      <c r="A122" s="15" t="inlineStr">
        <is>
          <t>ЭЛЕМЕНТА ПЛЮС, ООО</t>
        </is>
      </c>
      <c r="B122" s="15" t="inlineStr">
        <is>
          <t>8G070</t>
        </is>
      </c>
      <c r="C122" s="15" t="inlineStr">
        <is>
          <t>Россия</t>
        </is>
      </c>
      <c r="D122" s="15" t="inlineStr">
        <is>
          <t>Москва</t>
        </is>
      </c>
      <c r="E122" s="15" t="inlineStr">
        <is>
          <t>Россия, 121471, г. Москва, вн. тер. г. м. о. Можайский, ул. Рябиновая, д. 14а</t>
        </is>
      </c>
      <c r="F122" s="15" t="n"/>
      <c r="G122" s="15" t="inlineStr">
        <is>
          <t>info@elementaplus.ru</t>
        </is>
      </c>
      <c r="H122" s="15" t="inlineStr">
        <is>
          <t>ООО «Элемента Плюс» — российский производитель порт‑систем: титановых и полисульфоновых высокопоточных портов с комплектами для установки. Простая установка, полная промывка, МРТ/КТ/рентген‑совместимость.</t>
        </is>
      </c>
      <c r="I122" s="15" t="inlineStr">
        <is>
          <t>Хирургические инструменты; Аппараты и материалы для сердечно-сосудистой хирургии</t>
        </is>
      </c>
      <c r="J122" s="15" t="inlineStr">
        <is>
          <t>Производитель</t>
        </is>
      </c>
      <c r="K122" s="15" t="inlineStr">
        <is>
          <t>OK</t>
        </is>
      </c>
      <c r="L122" s="15" t="inlineStr">
        <is>
          <t>порт-системы и комплекты</t>
        </is>
      </c>
      <c r="M122" s="15" t="inlineStr">
        <is>
          <t>Элемента Плюс</t>
        </is>
      </c>
      <c r="N122" s="15" t="inlineStr">
        <is>
          <t>Здравоохранение-2025</t>
        </is>
      </c>
      <c r="O122" s="20" t="inlineStr">
        <is>
          <t>https://icatalog.expocentr.ru/ru/exhibitions/de590dc5-417d-11ee-80ce-a0d3c1fab97f</t>
        </is>
      </c>
    </row>
    <row r="123">
      <c r="A123" s="15" t="inlineStr">
        <is>
          <t>ВМТ, ООО</t>
        </is>
      </c>
      <c r="B123" s="15" t="inlineStr">
        <is>
          <t>8G070</t>
        </is>
      </c>
      <c r="C123" s="15" t="inlineStr">
        <is>
          <t>Россия</t>
        </is>
      </c>
      <c r="D123" s="15" t="inlineStr">
        <is>
          <t>Челябинск</t>
        </is>
      </c>
      <c r="E123" s="15" t="inlineStr">
        <is>
          <t>Россия, 454087, г. Челябинск, ул. Рылеева, д. 16, Э101</t>
        </is>
      </c>
      <c r="F123" s="20" t="inlineStr">
        <is>
          <t>http://vmt-neuro.ru</t>
        </is>
      </c>
      <c r="G123" s="15" t="inlineStr">
        <is>
          <t>info@m-sy.ru</t>
        </is>
      </c>
      <c r="H123" s="15" t="inlineStr">
        <is>
          <t>Серийное производство изделий медицинской техники для оказания высокотехнологичной медицинской помощи (ВМП): ⁠замещение собственной продукцией импортных изделий на российском рынке.</t>
        </is>
      </c>
      <c r="I123" s="15" t="inlineStr">
        <is>
          <t>Лабораторное оборудование; Реагенты и расходные материалы для лабораторной диагностики</t>
        </is>
      </c>
      <c r="J123" s="15" t="inlineStr">
        <is>
          <t>Производитель</t>
        </is>
      </c>
      <c r="K123" s="15" t="inlineStr">
        <is>
          <t>OK</t>
        </is>
      </c>
      <c r="L123" s="15" t="inlineStr">
        <is>
          <t>изделия медицинской техники, лабораторное оборудование, реагенты и расходные материалы</t>
        </is>
      </c>
      <c r="M123" s="15" t="inlineStr">
        <is>
          <t>ВМТ</t>
        </is>
      </c>
      <c r="N123" s="15" t="inlineStr">
        <is>
          <t>Здравоохранение-2025</t>
        </is>
      </c>
      <c r="O123" s="20" t="inlineStr">
        <is>
          <t>https://icatalog.expocentr.ru/ru/exhibitions/de590dc5-417d-11ee-80ce-a0d3c1fab97f</t>
        </is>
      </c>
    </row>
    <row r="124">
      <c r="A124" s="15" t="inlineStr">
        <is>
          <t>Циммер МедицинСистеме Рус, ООО</t>
        </is>
      </c>
      <c r="B124" s="15" t="inlineStr">
        <is>
          <t>8A090</t>
        </is>
      </c>
      <c r="C124" s="15" t="inlineStr">
        <is>
          <t>Россия</t>
        </is>
      </c>
      <c r="D124" s="15" t="inlineStr">
        <is>
          <t>Москва</t>
        </is>
      </c>
      <c r="E124" s="15" t="inlineStr">
        <is>
          <t>Россия, 121596, г. Москва, ул. Горбунова, д. 2, стр. 3, БЦ «Гранд Сетунь Плаза»</t>
        </is>
      </c>
      <c r="F124" s="20" t="inlineStr">
        <is>
          <t>http://www.zimmer-medsys.ru</t>
        </is>
      </c>
      <c r="G124" s="15" t="inlineStr">
        <is>
          <t>info@zimmer-medsys.ru</t>
        </is>
      </c>
      <c r="H124" s="15" t="inlineStr">
        <is>
          <t>Высокотехнологичное оборудование для физиотерапии и реабилитации: ударно-волновая терапия, криотерапия, электротерапия, ультразвуковая терапия, физиотерапевтические комбайны, массажные столы.</t>
        </is>
      </c>
      <c r="I124" s="15" t="inlineStr">
        <is>
          <t>Физиотерапия и реабилитация; Терапевтическое оборудование; Оборудование для ударно-волновой терапии; Оборудование для электротерапии; Оборудование для комбинированной физиотерапии; Оборудование для криотерапии</t>
        </is>
      </c>
      <c r="J124" s="15" t="inlineStr">
        <is>
          <t>Производитель</t>
        </is>
      </c>
      <c r="K124" s="15" t="inlineStr">
        <is>
          <t>OK</t>
        </is>
      </c>
      <c r="L124" s="15" t="inlineStr">
        <is>
          <t>оборудование для физиотерапии, терапевтическое оборудование и массажные столы</t>
        </is>
      </c>
      <c r="M124" s="15" t="inlineStr">
        <is>
          <t>Циммер МедицинСистеме Рус</t>
        </is>
      </c>
      <c r="N124" s="15" t="inlineStr">
        <is>
          <t>Здравоохранение-2025</t>
        </is>
      </c>
      <c r="O124" s="20" t="inlineStr">
        <is>
          <t>https://icatalog.expocentr.ru/ru/exhibitions/de590dc5-417d-11ee-80ce-a0d3c1fab97f</t>
        </is>
      </c>
    </row>
    <row r="125">
      <c r="A125" s="15" t="inlineStr">
        <is>
          <t>НИЖЕГОРОДЕЦ CT, ООО</t>
        </is>
      </c>
      <c r="B125" s="15" t="inlineStr">
        <is>
          <t>8F150</t>
        </is>
      </c>
      <c r="C125" s="15" t="inlineStr">
        <is>
          <t>Россия</t>
        </is>
      </c>
      <c r="D125" s="15" t="inlineStr">
        <is>
          <t>Нижний Новгород</t>
        </is>
      </c>
      <c r="E125" s="15" t="inlineStr">
        <is>
          <t>Россия, 603124, г. Нижний Новгород, ул. Айвазовского, д. 1а</t>
        </is>
      </c>
      <c r="F125" s="20" t="inlineStr">
        <is>
          <t>http://www.st-nn.ru</t>
        </is>
      </c>
      <c r="G125" s="15" t="inlineStr">
        <is>
          <t>bas@st-nn.ru</t>
        </is>
      </c>
      <c r="H125" s="15" t="inlineStr">
        <is>
          <t>«СТ Нижегородец» 19 лет производит и продает коммерческий автотранспорт. Две производственные площадки, официальный дилер Sollers и Dongfeng. Более 15 000 автомобилей в год.Одно из системообразующих предприятий Нижегородской области.</t>
        </is>
      </c>
      <c r="I125" s="15" t="inlineStr">
        <is>
          <t>Транспортные средства, в том числе транспортные самолеты; Передвижные пункты первичной (скорой) медицинской помощи</t>
        </is>
      </c>
      <c r="J125" s="15" t="inlineStr">
        <is>
          <t>Производитель</t>
        </is>
      </c>
      <c r="K125" s="15" t="inlineStr">
        <is>
          <t>OK</t>
        </is>
      </c>
      <c r="L125" s="15" t="inlineStr">
        <is>
          <t>коммерческий автотранспорт, транспортные средства и передвижные пункты</t>
        </is>
      </c>
      <c r="M125" s="15" t="inlineStr">
        <is>
          <t>Нижегородец CT</t>
        </is>
      </c>
      <c r="N125" s="15" t="inlineStr">
        <is>
          <t>Здравоохранение-2025</t>
        </is>
      </c>
      <c r="O125" s="20" t="inlineStr">
        <is>
          <t>https://icatalog.expocentr.ru/ru/exhibitions/de590dc5-417d-11ee-80ce-a0d3c1fab97f</t>
        </is>
      </c>
    </row>
    <row r="126">
      <c r="A126" s="15" t="inlineStr">
        <is>
          <t>ПОЛИТЕХМЕД, ООО</t>
        </is>
      </c>
      <c r="B126" s="15" t="inlineStr">
        <is>
          <t>8G154</t>
        </is>
      </c>
      <c r="C126" s="15" t="inlineStr">
        <is>
          <t>Россия</t>
        </is>
      </c>
      <c r="D126" s="15" t="inlineStr">
        <is>
          <t>Москва</t>
        </is>
      </c>
      <c r="E126" s="15" t="inlineStr">
        <is>
          <t>Россия, 117279, г. Москва, ул. Миклухо-Маклая, д. 36а, оф. 514</t>
        </is>
      </c>
      <c r="F126" s="20" t="inlineStr">
        <is>
          <t>http://polytechmed.ru</t>
        </is>
      </c>
      <c r="G126" s="15" t="inlineStr">
        <is>
          <t>m@ptmm.ru</t>
        </is>
      </c>
      <c r="H126" s="15" t="inlineStr">
        <is>
          <t>Разработка и производство хирургических шовных материалов по программе импортозамещения.</t>
        </is>
      </c>
      <c r="I126" s="15" t="inlineStr">
        <is>
          <t>Шовный материал; Эндопротезы и имплантаты</t>
        </is>
      </c>
      <c r="J126" s="15" t="inlineStr">
        <is>
          <t>Производитель</t>
        </is>
      </c>
      <c r="K126" s="15" t="inlineStr">
        <is>
          <t>OK</t>
        </is>
      </c>
      <c r="L126" s="15" t="inlineStr">
        <is>
          <t>шовный материал и имплантаты</t>
        </is>
      </c>
      <c r="M126" s="15" t="inlineStr">
        <is>
          <t>Политехмед</t>
        </is>
      </c>
      <c r="N126" s="15" t="inlineStr">
        <is>
          <t>Здравоохранение-2025</t>
        </is>
      </c>
      <c r="O126" s="20" t="inlineStr">
        <is>
          <t>https://icatalog.expocentr.ru/ru/exhibitions/de590dc5-417d-11ee-80ce-a0d3c1fab97f</t>
        </is>
      </c>
    </row>
    <row r="127">
      <c r="A127" s="15" t="inlineStr">
        <is>
          <t>ЗДОРОВЬЕ HEALTH</t>
        </is>
      </c>
      <c r="B127" s="15" t="inlineStr">
        <is>
          <t>8B160</t>
        </is>
      </c>
      <c r="C127" s="15" t="inlineStr">
        <is>
          <t>Россия</t>
        </is>
      </c>
      <c r="D127" s="15" t="n"/>
      <c r="E127" s="15" t="inlineStr">
        <is>
          <t>Россия, 143430, Московская обл., г. о. Красногорск, пгт. Нахабино, ул. Советская, д. 20а</t>
        </is>
      </c>
      <c r="F127" s="20" t="inlineStr">
        <is>
          <t>https://lektrava.ru</t>
        </is>
      </c>
      <c r="G127" s="15" t="inlineStr">
        <is>
          <t>mail@lektrava.ru</t>
        </is>
      </c>
      <c r="H127" s="15" t="inlineStr">
        <is>
          <t>Производитель лекарственных растительных препаратов, БАД к пище и фиточаев.</t>
        </is>
      </c>
      <c r="I127" s="15" t="inlineStr">
        <is>
          <t>Фармацевтические средства и БАД; Лекарственные средства; Биологически активные добавки к пище</t>
        </is>
      </c>
      <c r="J127" s="15" t="inlineStr">
        <is>
          <t>Производитель</t>
        </is>
      </c>
      <c r="K127" s="15" t="inlineStr">
        <is>
          <t>OK</t>
        </is>
      </c>
      <c r="L127" s="15" t="inlineStr">
        <is>
          <t>лекарственные препараты, БАД и фиточаи</t>
        </is>
      </c>
      <c r="M127" s="15" t="inlineStr">
        <is>
          <t>Здоровье Health</t>
        </is>
      </c>
      <c r="N127" s="15" t="inlineStr">
        <is>
          <t>Здравоохранение-2025</t>
        </is>
      </c>
      <c r="O127" s="20" t="inlineStr">
        <is>
          <t>https://icatalog.expocentr.ru/ru/exhibitions/de590dc5-417d-11ee-80ce-a0d3c1fab97f</t>
        </is>
      </c>
    </row>
    <row r="128">
      <c r="A128" s="15" t="inlineStr">
        <is>
          <t>МЕДМАРИН, ООО</t>
        </is>
      </c>
      <c r="B128" s="15" t="inlineStr">
        <is>
          <t>7C060</t>
        </is>
      </c>
      <c r="C128" s="15" t="inlineStr">
        <is>
          <t>Россия</t>
        </is>
      </c>
      <c r="D128" s="15" t="inlineStr">
        <is>
          <t>Санкт-Петербург</t>
        </is>
      </c>
      <c r="E128" s="15" t="inlineStr">
        <is>
          <t>Россия, 195027, г. Санкт-Петербург, ул. Магнитогорская, д. 30, литера В, пом. 209</t>
        </is>
      </c>
      <c r="F128" s="20" t="inlineStr">
        <is>
          <t>http://www.medmarin.com</t>
        </is>
      </c>
      <c r="G128" s="15" t="inlineStr">
        <is>
          <t>info@medmarin.com</t>
        </is>
      </c>
      <c r="H128" s="15" t="inlineStr">
        <is>
          <t>Оборудование для профилактики и лечения гипотермии: для подогрева медицинских сред и обогрева пациентов. Оснащение отделений реанимации, неонатологии, интенсивной терапии, оперблоков, скорой помощи, МСЧ.</t>
        </is>
      </c>
      <c r="I128" s="15" t="inlineStr">
        <is>
          <t>Инкубаторы и открытые реанимационные системы; Оборудование и принадлежности для трансфузии; Средства для оказания экстренной медицинской помощи; Оборудование для длительных вливаний крови и растворов; Устройства для энтерального питания; Хирургическое оборудование</t>
        </is>
      </c>
      <c r="J128" s="15" t="inlineStr">
        <is>
          <t>Дилер</t>
        </is>
      </c>
      <c r="K128" s="15" t="inlineStr">
        <is>
          <t>OK</t>
        </is>
      </c>
      <c r="L128" s="15" t="inlineStr">
        <is>
          <t>инкубаторы, реанимационные системы, хирургическое оборудование и средства для трансфузии</t>
        </is>
      </c>
      <c r="M128" s="15" t="inlineStr">
        <is>
          <t>Медмарин</t>
        </is>
      </c>
      <c r="N128" s="15" t="inlineStr">
        <is>
          <t>Здравоохранение-2025</t>
        </is>
      </c>
      <c r="O128" s="20" t="inlineStr">
        <is>
          <t>https://icatalog.expocentr.ru/ru/exhibitions/de590dc5-417d-11ee-80ce-a0d3c1fab97f</t>
        </is>
      </c>
    </row>
    <row r="129">
      <c r="A129" s="15" t="inlineStr">
        <is>
          <t>МЕДИКО, ТПК, ООО</t>
        </is>
      </c>
      <c r="B129" s="15" t="inlineStr">
        <is>
          <t>7B020</t>
        </is>
      </c>
      <c r="C129" s="15" t="inlineStr">
        <is>
          <t>Россия</t>
        </is>
      </c>
      <c r="D129" s="15" t="inlineStr">
        <is>
          <t>Москва</t>
        </is>
      </c>
      <c r="E129" s="15" t="inlineStr">
        <is>
          <t>Россия, 111524, г. Москва, вн. тер. г. м. о. Перово, ул. Электродная, д. 2, стр. 12-13-14, этаж 3, пом. VI, комн. 29</t>
        </is>
      </c>
      <c r="F129" s="20" t="inlineStr">
        <is>
          <t>http://www.mediko.ru</t>
        </is>
      </c>
      <c r="G129" s="15" t="inlineStr">
        <is>
          <t>info@mediko.ru</t>
        </is>
      </c>
      <c r="H129" s="15" t="inlineStr">
        <is>
          <t>С 2005 года производим оборудование для хирургии и реанимации.</t>
        </is>
      </c>
      <c r="I129" s="15" t="inlineStr">
        <is>
          <t>Осветительные приборы; Аппараты для искусственной вентиляции легких; Операционные столы; Потолочные консоли; Осветители хирургические</t>
        </is>
      </c>
      <c r="J129" s="15" t="inlineStr">
        <is>
          <t>Производитель</t>
        </is>
      </c>
      <c r="K129" s="15" t="inlineStr">
        <is>
          <t>OK</t>
        </is>
      </c>
      <c r="L129" s="15" t="inlineStr">
        <is>
          <t>осветительные приборы, аппараты ИВЛ, операционные столы и потолочные консоли</t>
        </is>
      </c>
      <c r="M129" s="15" t="inlineStr">
        <is>
          <t>Медико, ТПК</t>
        </is>
      </c>
      <c r="N129" s="15" t="inlineStr">
        <is>
          <t>Здравоохранение-2025</t>
        </is>
      </c>
      <c r="O129" s="20" t="inlineStr">
        <is>
          <t>https://icatalog.expocentr.ru/ru/exhibitions/de590dc5-417d-11ee-80ce-a0d3c1fab97f</t>
        </is>
      </c>
    </row>
    <row r="130">
      <c r="A130" s="15" t="inlineStr">
        <is>
          <t>ТУЛИНОВСКИЙ ПРИБОРОСТРОИТЕЛЬНЫЙ ЗАВОД ТВЕС</t>
        </is>
      </c>
      <c r="B130" s="15" t="inlineStr">
        <is>
          <t>7B160</t>
        </is>
      </c>
      <c r="C130" s="15" t="inlineStr">
        <is>
          <t>Россия</t>
        </is>
      </c>
      <c r="D130" s="15" t="n"/>
      <c r="E130" s="15" t="inlineStr">
        <is>
          <t>Россия, 392511, Тамбовская обл., с. Тулиновка, ул. Позднякова, д. 3</t>
        </is>
      </c>
      <c r="F130" s="20" t="inlineStr">
        <is>
          <t>http://www.tves.com.ru</t>
        </is>
      </c>
      <c r="G130" s="15" t="inlineStr">
        <is>
          <t>green99777777@mail.ru</t>
        </is>
      </c>
      <c r="H130" s="15" t="inlineStr">
        <is>
          <t>АО «ТВЕС» производит весоизмерительную технику высокой точности. Комплекс аппаратно-программный для медицинского осмотра пациентов «КАП МО-1». Аппаратно-программный комплекс «Здоровье. Правильное питание».</t>
        </is>
      </c>
      <c r="I130" s="15" t="inlineStr">
        <is>
          <t>Диагностические приборы и устройства для аускультации, перкуссии, антропометрии</t>
        </is>
      </c>
      <c r="J130" s="15" t="inlineStr">
        <is>
          <t>Производитель</t>
        </is>
      </c>
      <c r="K130" s="15" t="inlineStr">
        <is>
          <t>OK</t>
        </is>
      </c>
      <c r="L130" s="15" t="inlineStr">
        <is>
          <t>весоизмерительная техника, диагностические приборы и устройства</t>
        </is>
      </c>
      <c r="M130" s="15" t="inlineStr">
        <is>
          <t>Тулиновский ТВЕС</t>
        </is>
      </c>
      <c r="N130" s="15" t="inlineStr">
        <is>
          <t>Здравоохранение-2025</t>
        </is>
      </c>
      <c r="O130" s="20" t="inlineStr">
        <is>
          <t>https://icatalog.expocentr.ru/ru/exhibitions/de590dc5-417d-11ee-80ce-a0d3c1fab97f</t>
        </is>
      </c>
    </row>
    <row r="131">
      <c r="A131" s="15" t="inlineStr">
        <is>
          <t>ENDOMED</t>
        </is>
      </c>
      <c r="B131" s="21" t="n">
        <v>7e+50</v>
      </c>
      <c r="C131" s="15" t="inlineStr">
        <is>
          <t>Россия</t>
        </is>
      </c>
      <c r="D131" s="15" t="inlineStr">
        <is>
          <t>Санкт-Петербург</t>
        </is>
      </c>
      <c r="E131" s="15" t="inlineStr">
        <is>
          <t>Россия, г. Санкт-Петербург, просп. Металлистов, д. 7</t>
        </is>
      </c>
      <c r="F131" s="20" t="inlineStr">
        <is>
          <t>http://www.endomed.biz</t>
        </is>
      </c>
      <c r="G131" s="15" t="inlineStr">
        <is>
          <t>info@endomed.biz</t>
        </is>
      </c>
      <c r="H131" s="15" t="inlineStr">
        <is>
          <t>Российский производитель: гастро- и колонофиброскопов Endomed; портативных видеобронхоскопов и портативных видеоназофаринголарингоскопов, ирригаторов и инсуффляторов CO2 для гибкой эндоскопии.</t>
        </is>
      </c>
      <c r="I131" s="15" t="inlineStr">
        <is>
          <t>Приборы для оценки функции ЖКТ; Производство медицинских изделий; Отоскопы и лор-инструменты; Эндоскопы гибкие; Эндоскопические комплексы и системы; Инструменты и принадлежности для эндоскопии</t>
        </is>
      </c>
      <c r="J131" s="15" t="inlineStr">
        <is>
          <t>Производитель</t>
        </is>
      </c>
      <c r="K131" s="15" t="inlineStr">
        <is>
          <t>OK</t>
        </is>
      </c>
      <c r="L131" s="15" t="inlineStr">
        <is>
          <t>эндоскопы, ирригаторы и инсуффляторы</t>
        </is>
      </c>
      <c r="M131" s="15" t="inlineStr">
        <is>
          <t>ENDOMED</t>
        </is>
      </c>
      <c r="N131" s="15" t="inlineStr">
        <is>
          <t>Здравоохранение-2025</t>
        </is>
      </c>
      <c r="O131" s="20" t="inlineStr">
        <is>
          <t>https://icatalog.expocentr.ru/ru/exhibitions/de590dc5-417d-11ee-80ce-a0d3c1fab97f</t>
        </is>
      </c>
    </row>
    <row r="132">
      <c r="A132" s="15" t="inlineStr">
        <is>
          <t>НЕОФИТОС, ООО</t>
        </is>
      </c>
      <c r="B132" s="15" t="inlineStr">
        <is>
          <t>7C160</t>
        </is>
      </c>
      <c r="C132" s="15" t="inlineStr">
        <is>
          <t>Россия</t>
        </is>
      </c>
      <c r="D132" s="15" t="inlineStr">
        <is>
          <t>Москва</t>
        </is>
      </c>
      <c r="E132" s="15" t="inlineStr">
        <is>
          <t>Россия, 127576, г. Москва, ул. Илимская, д. 3а, стр. 1, комн. 2.1</t>
        </is>
      </c>
      <c r="F132" s="20" t="inlineStr">
        <is>
          <t>http://www.neofytos.ru</t>
        </is>
      </c>
      <c r="G132" s="15" t="inlineStr">
        <is>
          <t>info@neofytos.ru</t>
        </is>
      </c>
      <c r="H132" s="15" t="inlineStr">
        <is>
          <t>Розничная и оптовая продажа материалов (искусственной кожи и ткани) для производства медицинской, уличной, контрактной, спортивной и мягкой мебели.</t>
        </is>
      </c>
      <c r="I132" s="15" t="inlineStr">
        <is>
          <t>Медицинская мебель; Кушетки медицинские; Столы массажные; Прочее общебольничное оборудование; Производство медицинских изделий; Комплектующие для производства медицинских изделий</t>
        </is>
      </c>
      <c r="J132" s="15" t="inlineStr">
        <is>
          <t>Дилер</t>
        </is>
      </c>
      <c r="K132" s="15" t="inlineStr">
        <is>
          <t>OK</t>
        </is>
      </c>
      <c r="L132" s="15" t="inlineStr">
        <is>
          <t>искусственная кожа, ткани, медицинская мебель и комплектующие</t>
        </is>
      </c>
      <c r="M132" s="15" t="inlineStr">
        <is>
          <t>Неофитос</t>
        </is>
      </c>
      <c r="N132" s="15" t="inlineStr">
        <is>
          <t>Здравоохранение-2025</t>
        </is>
      </c>
      <c r="O132" s="20" t="inlineStr">
        <is>
          <t>https://icatalog.expocentr.ru/ru/exhibitions/de590dc5-417d-11ee-80ce-a0d3c1fab97f</t>
        </is>
      </c>
    </row>
    <row r="133">
      <c r="A133" s="15" t="inlineStr">
        <is>
          <t>ДОСЧАТИНСКИЙ ЗАВОД МЕДИЦИНСКОГО ОБОРУДОВАНИЯ, АО</t>
        </is>
      </c>
      <c r="B133" s="15" t="inlineStr">
        <is>
          <t>7F105</t>
        </is>
      </c>
      <c r="C133" s="15" t="inlineStr">
        <is>
          <t>Россия</t>
        </is>
      </c>
      <c r="D133" s="15" t="inlineStr">
        <is>
          <t>Выкса</t>
        </is>
      </c>
      <c r="E133" s="15" t="inlineStr">
        <is>
          <t>Россия, 607033, Нижегородская обл., г. Выкса, ул. Лесная, пос. Досчатое</t>
        </is>
      </c>
      <c r="F133" s="20" t="inlineStr">
        <is>
          <t>http://www.dzmo.ru</t>
        </is>
      </c>
      <c r="G133" s="15" t="inlineStr">
        <is>
          <t>marketing@dzmo.ru</t>
        </is>
      </c>
      <c r="H133" s="15" t="inlineStr">
        <is>
          <t>С 1936 г. производим надежную медтехнику: функциональные кровати, тележки, гинекологические кресла, неонатальные столы и другое. Все кровати имеют документальное подтверждение российского производства.</t>
        </is>
      </c>
      <c r="I133" s="15" t="inlineStr">
        <is>
          <t>Мебель для гинекологии и акушерства; Гинекологические кресла; Родовые кровати; Медицинская мебель; Средства перевозки (перемещения) пациентов, оборудования и материалов; Производство медицинских изделий</t>
        </is>
      </c>
      <c r="J133" s="15" t="inlineStr">
        <is>
          <t>Производитель</t>
        </is>
      </c>
      <c r="K133" s="15" t="inlineStr">
        <is>
          <t>OK</t>
        </is>
      </c>
      <c r="L133" s="15" t="inlineStr">
        <is>
          <t>кровати, тележки, кресла и столы</t>
        </is>
      </c>
      <c r="M133" s="15" t="inlineStr">
        <is>
          <t>Досчатинский Завод</t>
        </is>
      </c>
      <c r="N133" s="15" t="inlineStr">
        <is>
          <t>Здравоохранение-2025</t>
        </is>
      </c>
      <c r="O133" s="20" t="inlineStr">
        <is>
          <t>https://icatalog.expocentr.ru/ru/exhibitions/de590dc5-417d-11ee-80ce-a0d3c1fab97f</t>
        </is>
      </c>
    </row>
    <row r="134">
      <c r="A134" s="15" t="inlineStr">
        <is>
          <t>МЕДИМКОМ, ООО</t>
        </is>
      </c>
      <c r="B134" s="15" t="inlineStr">
        <is>
          <t>7D110</t>
        </is>
      </c>
      <c r="C134" s="15" t="inlineStr">
        <is>
          <t>Россия</t>
        </is>
      </c>
      <c r="D134" s="15" t="inlineStr">
        <is>
          <t>Санкт-Петербург</t>
        </is>
      </c>
      <c r="E134" s="15" t="inlineStr">
        <is>
          <t>Россия, 197183, г. Санкт-Петербург, ул. Полевая Сабировская, д. 43, литера Б</t>
        </is>
      </c>
      <c r="F134" s="20" t="inlineStr">
        <is>
          <t>http://www.medimcom.ru</t>
        </is>
      </c>
      <c r="G134" s="15" t="inlineStr">
        <is>
          <t>info@medimcom.ru</t>
        </is>
      </c>
      <c r="H134" s="15" t="inlineStr">
        <is>
          <t>«Медимком» – производитель и поставщик медицинских расходных материалов и оборудования мировых брендов в РФ с 20-летним опытом. Бесперебойные поставки, оптимальные цены, сервис для клиентов и партнеров.</t>
        </is>
      </c>
      <c r="I134" s="15" t="inlineStr">
        <is>
          <t>Оборудование для лечения онкологических заболеваний; Инструменты и принадлежности для инъекций  и взятия крови; Наркозно-дыхательные аппараты; Принадлежности и расходные материалы для реанимации и экстренной помощи; Хирургическое оборудование; Хирургические инструменты</t>
        </is>
      </c>
      <c r="J134" s="15" t="inlineStr">
        <is>
          <t>Производитель</t>
        </is>
      </c>
      <c r="K134" s="15" t="inlineStr">
        <is>
          <t>OK</t>
        </is>
      </c>
      <c r="L134" s="15" t="inlineStr">
        <is>
          <t>расходные материалы, медицинское оборудование, хирургические инструменты</t>
        </is>
      </c>
      <c r="M134" s="15" t="inlineStr">
        <is>
          <t>Медимком</t>
        </is>
      </c>
      <c r="N134" s="15" t="inlineStr">
        <is>
          <t>Здравоохранение-2025</t>
        </is>
      </c>
      <c r="O134" s="20" t="inlineStr">
        <is>
          <t>https://icatalog.expocentr.ru/ru/exhibitions/de590dc5-417d-11ee-80ce-a0d3c1fab97f</t>
        </is>
      </c>
    </row>
    <row r="135">
      <c r="A135" s="15" t="inlineStr">
        <is>
          <t>НОВАЯ МЕДИЦИНСКАЯ КОМПАНИЯ, ООО</t>
        </is>
      </c>
      <c r="B135" s="15" t="inlineStr">
        <is>
          <t>7F120</t>
        </is>
      </c>
      <c r="C135" s="15" t="inlineStr">
        <is>
          <t>Россия</t>
        </is>
      </c>
      <c r="D135" s="15" t="inlineStr">
        <is>
          <t>Серпухов</t>
        </is>
      </c>
      <c r="E135" s="15" t="inlineStr">
        <is>
          <t>Россия, 142200, Московская обл., г. Серпухов, ул. Ворошилова, д. 128, оф. 304</t>
        </is>
      </c>
      <c r="F135" s="20" t="inlineStr">
        <is>
          <t>http://www.newmedcom.ru</t>
        </is>
      </c>
      <c r="G135" s="15" t="inlineStr">
        <is>
          <t>info@newmedcom.ru</t>
        </is>
      </c>
      <c r="H135" s="15" t="inlineStr">
        <is>
          <t>Дистрибьютор медицинского оборудования ведущих производителей с опытом работы более 15 лет! Уполномоченный представитель компаний-производителей Oricare и Aeonmed в России.</t>
        </is>
      </c>
      <c r="I135" s="15" t="inlineStr">
        <is>
          <t>Фетальные мониторы; Аппараты для искусственной вентиляции легких; Мониторы пациента; Наркозно-дыхательные аппараты; Операционные столы; Потолочные консоли</t>
        </is>
      </c>
      <c r="J135" s="15" t="inlineStr">
        <is>
          <t>Дилер</t>
        </is>
      </c>
      <c r="K135" s="15" t="inlineStr">
        <is>
          <t>OK</t>
        </is>
      </c>
      <c r="L135" s="15" t="inlineStr">
        <is>
          <t>фетальные мониторы, аппараты ИВЛ, мониторы пациента, наркозно-дыхательные аппараты и операционные столы</t>
        </is>
      </c>
      <c r="M135" s="15" t="inlineStr">
        <is>
          <t>Новая Медицинская Компания</t>
        </is>
      </c>
      <c r="N135" s="15" t="inlineStr">
        <is>
          <t>Здравоохранение-2025</t>
        </is>
      </c>
      <c r="O135" s="20" t="inlineStr">
        <is>
          <t>https://icatalog.expocentr.ru/ru/exhibitions/de590dc5-417d-11ee-80ce-a0d3c1fab97f</t>
        </is>
      </c>
    </row>
    <row r="136">
      <c r="A136" s="15" t="inlineStr">
        <is>
          <t>ЛЕВЕНШТАЙН МЕДИКАЛ РУС, ООО</t>
        </is>
      </c>
      <c r="B136" s="15" t="inlineStr">
        <is>
          <t>7C001</t>
        </is>
      </c>
      <c r="C136" s="15" t="inlineStr">
        <is>
          <t>Россия</t>
        </is>
      </c>
      <c r="D136" s="15" t="inlineStr">
        <is>
          <t>Москва</t>
        </is>
      </c>
      <c r="E136" s="15" t="inlineStr">
        <is>
          <t>Россия, 127106, г. Москва, вн. тер. г. м. о. Марфино, ул. Гостиничная, д. 5</t>
        </is>
      </c>
      <c r="F136" s="20" t="inlineStr">
        <is>
          <t>https://loewensteinmedical.com</t>
        </is>
      </c>
      <c r="G136" s="15" t="inlineStr">
        <is>
          <t>nadeschda.borodina@loewensteinmedical.com</t>
        </is>
      </c>
      <c r="H136" s="15" t="inlineStr">
        <is>
          <t>Немецкая компания Löwenstein Medical — это разработчик и производитель наркозных аппаратов, стационарных и портативных аппаратов ИВЛ, НВЛ, СРАР, масок и диагностических систем для лабораторий сна.</t>
        </is>
      </c>
      <c r="I136" s="15" t="inlineStr">
        <is>
          <t>Системы мониторирования ЭЭГ; Нейрофизиологическое оборудование; Прочие диагностические устройства; Аппараты для искусственной вентиляции легких; Наркозно-дыхательные аппараты; Принадлежности и расходные материалы для реанимации и экстренной помощи</t>
        </is>
      </c>
      <c r="J136" s="15" t="inlineStr">
        <is>
          <t>Производитель</t>
        </is>
      </c>
      <c r="K136" s="15" t="inlineStr">
        <is>
          <t>OK</t>
        </is>
      </c>
      <c r="L136" s="15" t="inlineStr">
        <is>
          <t>аппараты, системы, маски и принадлежности</t>
        </is>
      </c>
      <c r="M136" s="15" t="inlineStr">
        <is>
          <t>Левенштайн Медикал Рус</t>
        </is>
      </c>
      <c r="N136" s="15" t="inlineStr">
        <is>
          <t>Здравоохранение-2025</t>
        </is>
      </c>
      <c r="O136" s="20" t="inlineStr">
        <is>
          <t>https://icatalog.expocentr.ru/ru/exhibitions/de590dc5-417d-11ee-80ce-a0d3c1fab97f</t>
        </is>
      </c>
    </row>
    <row r="137">
      <c r="A137" s="15" t="inlineStr">
        <is>
          <t>СЕВКАВРЕНТГЕН-Д, ООО</t>
        </is>
      </c>
      <c r="B137" s="15" t="inlineStr">
        <is>
          <t>7B040</t>
        </is>
      </c>
      <c r="C137" s="15" t="inlineStr">
        <is>
          <t>Россия</t>
        </is>
      </c>
      <c r="D137" s="15" t="inlineStr">
        <is>
          <t>Майский</t>
        </is>
      </c>
      <c r="E137" s="15" t="inlineStr">
        <is>
          <t>Россия, 361115, Кабардино-Балкарская Республика, г. Майский, ул. 9 Мая, д. 181</t>
        </is>
      </c>
      <c r="F137" s="20" t="inlineStr">
        <is>
          <t>http://www.skrz.ru</t>
        </is>
      </c>
      <c r="G137" s="15" t="inlineStr">
        <is>
          <t>info@skrz.ru</t>
        </is>
      </c>
      <c r="H137" s="15" t="inlineStr">
        <is>
          <t>Российский производитель и поставщик медицинского рентгеновского диагностического оборудования и штативных медицинских устройств.</t>
        </is>
      </c>
      <c r="I137" s="15" t="inlineStr">
        <is>
          <t>Рентгеновские диагностические установки, передвижные и стационарные; Столы для радиографии; Средства защиты от рентгеновских лучей; Системы оцифровки и хранения изображений; Маммографы; Флюорографы</t>
        </is>
      </c>
      <c r="J137" s="15" t="inlineStr">
        <is>
          <t>Производитель</t>
        </is>
      </c>
      <c r="K137" s="15" t="inlineStr">
        <is>
          <t>OK</t>
        </is>
      </c>
      <c r="L137" s="15" t="inlineStr">
        <is>
          <t>рентгеновские установки, штативные устройства, маммографы и флюорографы</t>
        </is>
      </c>
      <c r="M137" s="15" t="inlineStr">
        <is>
          <t>Севкаврентген-Д</t>
        </is>
      </c>
      <c r="N137" s="15" t="inlineStr">
        <is>
          <t>Здравоохранение-2025</t>
        </is>
      </c>
      <c r="O137" s="20" t="inlineStr">
        <is>
          <t>https://icatalog.expocentr.ru/ru/exhibitions/de590dc5-417d-11ee-80ce-a0d3c1fab97f</t>
        </is>
      </c>
    </row>
    <row r="138">
      <c r="A138" s="15" t="inlineStr">
        <is>
          <t>ВЭЛМЕНТ, ООО</t>
        </is>
      </c>
      <c r="B138" s="15" t="inlineStr">
        <is>
          <t>7C025</t>
        </is>
      </c>
      <c r="C138" s="15" t="inlineStr">
        <is>
          <t>Россия</t>
        </is>
      </c>
      <c r="D138" s="15" t="inlineStr">
        <is>
          <t>Москва</t>
        </is>
      </c>
      <c r="E138" s="15" t="inlineStr">
        <is>
          <t>Россия, 125252, г. Москва, Ходынский б-р, д. 5, корп. 4</t>
        </is>
      </c>
      <c r="F138" s="20" t="inlineStr">
        <is>
          <t>http://www.velment.ru</t>
        </is>
      </c>
      <c r="G138" s="15" t="inlineStr">
        <is>
          <t>info@velment.ru</t>
        </is>
      </c>
      <c r="H138" s="15" t="inlineStr">
        <is>
          <t>Проектирование и производство медицинских консолей для систем лечебного газоснабжения.</t>
        </is>
      </c>
      <c r="I138" s="15" t="inlineStr">
        <is>
          <t>Производство медицинских изделий</t>
        </is>
      </c>
      <c r="J138" s="15" t="inlineStr">
        <is>
          <t>Производитель</t>
        </is>
      </c>
      <c r="K138" s="15" t="inlineStr">
        <is>
          <t>OK</t>
        </is>
      </c>
      <c r="L138" s="15" t="inlineStr">
        <is>
          <t>медицинские консоли</t>
        </is>
      </c>
      <c r="M138" s="15" t="inlineStr">
        <is>
          <t>Вэлмент</t>
        </is>
      </c>
      <c r="N138" s="15" t="inlineStr">
        <is>
          <t>Здравоохранение-2025</t>
        </is>
      </c>
      <c r="O138" s="20" t="inlineStr">
        <is>
          <t>https://icatalog.expocentr.ru/ru/exhibitions/de590dc5-417d-11ee-80ce-a0d3c1fab97f</t>
        </is>
      </c>
    </row>
    <row r="139">
      <c r="A139" s="15" t="inlineStr">
        <is>
          <t>МЕДЕЛИЯ, ООО</t>
        </is>
      </c>
      <c r="B139" s="15" t="inlineStr">
        <is>
          <t>7A120</t>
        </is>
      </c>
      <c r="C139" s="15" t="inlineStr">
        <is>
          <t>Россия</t>
        </is>
      </c>
      <c r="D139" s="15" t="inlineStr">
        <is>
          <t>Москва</t>
        </is>
      </c>
      <c r="E139" s="15" t="inlineStr">
        <is>
          <t>Россия, 125413, г. Москва, ул. Онежская, д. 24, стр. 1</t>
        </is>
      </c>
      <c r="F139" s="20" t="inlineStr">
        <is>
          <t>http://www.medelia.ru</t>
        </is>
      </c>
      <c r="G139" s="15" t="inlineStr">
        <is>
          <t>info@medelia.ru</t>
        </is>
      </c>
      <c r="H139" s="15" t="inlineStr">
        <is>
          <t>«Меделия» — российская компания, специализирующаяся на производстве и продаже мебели для медицинских учреждений. На протяжении 17 лет мы подтверждаем репутацию надежного и солидного поставщика.</t>
        </is>
      </c>
      <c r="I139" s="15" t="inlineStr">
        <is>
          <t>Медицинская мебель</t>
        </is>
      </c>
      <c r="J139" s="15" t="inlineStr">
        <is>
          <t>Производитель</t>
        </is>
      </c>
      <c r="K139" s="15" t="inlineStr">
        <is>
          <t>OK</t>
        </is>
      </c>
      <c r="L139" s="15" t="inlineStr">
        <is>
          <t>медицинская мебель</t>
        </is>
      </c>
      <c r="M139" s="15" t="inlineStr">
        <is>
          <t>Меделия</t>
        </is>
      </c>
      <c r="N139" s="15" t="inlineStr">
        <is>
          <t>Здравоохранение-2025</t>
        </is>
      </c>
      <c r="O139" s="20" t="inlineStr">
        <is>
          <t>https://icatalog.expocentr.ru/ru/exhibitions/de590dc5-417d-11ee-80ce-a0d3c1fab97f</t>
        </is>
      </c>
    </row>
    <row r="140">
      <c r="A140" s="15" t="inlineStr">
        <is>
          <t>МедИнжиниринг</t>
        </is>
      </c>
      <c r="B140" s="15" t="inlineStr">
        <is>
          <t>7B140</t>
        </is>
      </c>
      <c r="C140" s="15" t="inlineStr">
        <is>
          <t>Россия</t>
        </is>
      </c>
      <c r="D140" s="15" t="inlineStr">
        <is>
          <t>Москва</t>
        </is>
      </c>
      <c r="E140" s="15" t="inlineStr">
        <is>
          <t>Россия, 107076, г. Москва, ул. Электрозаводская, д. 29, стр. 2</t>
        </is>
      </c>
      <c r="F140" s="20" t="inlineStr">
        <is>
          <t>http://www.med-engineering.ru</t>
        </is>
      </c>
      <c r="G140" s="15" t="inlineStr">
        <is>
          <t>info@med-engineering.ru</t>
        </is>
      </c>
      <c r="H140" s="15" t="inlineStr">
        <is>
          <t>ООО «ХИТЭК-ГРУП» — российский производитель медицинской мебели и оборудования под ТМ «МедИнжиниринг».</t>
        </is>
      </c>
      <c r="I140" s="15" t="inlineStr">
        <is>
          <t>Мебель для гинекологии и акушерства; Гинекологические кресла; Медицинская мебель; Кушетки медицинские; Столы массажные; Средства перевозки (перемещения) пациентов, оборудования и материалов</t>
        </is>
      </c>
      <c r="J140" s="15" t="inlineStr">
        <is>
          <t>Производитель</t>
        </is>
      </c>
      <c r="K140" s="15" t="inlineStr">
        <is>
          <t>OK</t>
        </is>
      </c>
      <c r="L140" s="15" t="inlineStr">
        <is>
          <t>медицинская мебель, оборудование и кушетки</t>
        </is>
      </c>
      <c r="M140" s="15" t="inlineStr">
        <is>
          <t>Мединжиниринг</t>
        </is>
      </c>
      <c r="N140" s="15" t="inlineStr">
        <is>
          <t>Здравоохранение-2025</t>
        </is>
      </c>
      <c r="O140" s="20" t="inlineStr">
        <is>
          <t>https://icatalog.expocentr.ru/ru/exhibitions/de590dc5-417d-11ee-80ce-a0d3c1fab97f</t>
        </is>
      </c>
    </row>
    <row r="141">
      <c r="A141" s="15" t="inlineStr">
        <is>
          <t>ENDOMARKET</t>
        </is>
      </c>
      <c r="B141" s="15" t="inlineStr">
        <is>
          <t>7B050</t>
        </is>
      </c>
      <c r="C141" s="15" t="inlineStr">
        <is>
          <t>Россия</t>
        </is>
      </c>
      <c r="D141" s="15" t="inlineStr">
        <is>
          <t>Самара</t>
        </is>
      </c>
      <c r="E141" s="15" t="inlineStr">
        <is>
          <t>Россия, 443080, г. Самара, ул. Блюхера, д. 24</t>
        </is>
      </c>
      <c r="F141" s="20" t="inlineStr">
        <is>
          <t>https://endomarket.ru</t>
        </is>
      </c>
      <c r="G141" s="15" t="inlineStr">
        <is>
          <t>pr@endomarket.ru</t>
        </is>
      </c>
      <c r="H141" s="15" t="inlineStr">
        <is>
          <t>ENDOMARKET — ведущий поставщик эндоскопического оборудования в России. Генеральный партнер компании SonoScape.</t>
        </is>
      </c>
      <c r="I141" s="15" t="inlineStr">
        <is>
          <t>Оборудование для дезинфекции; Эндоскопы жесткие; Эндоскопы гибкие; Эндоскопические комплексы и системы; Инструменты и принадлежности для эндоскопии; Мониторы пациента</t>
        </is>
      </c>
      <c r="J141" s="15" t="inlineStr">
        <is>
          <t>Дилер</t>
        </is>
      </c>
      <c r="K141" s="15" t="inlineStr">
        <is>
          <t>OK</t>
        </is>
      </c>
      <c r="L141" s="15" t="inlineStr">
        <is>
          <t>эндоскопы, эндоскопические комплексы, инструменты и мониторы пациента</t>
        </is>
      </c>
      <c r="M141" s="15" t="inlineStr">
        <is>
          <t>Endomarket</t>
        </is>
      </c>
      <c r="N141" s="15" t="inlineStr">
        <is>
          <t>Здравоохранение-2025</t>
        </is>
      </c>
      <c r="O141" s="20" t="inlineStr">
        <is>
          <t>https://icatalog.expocentr.ru/ru/exhibitions/de590dc5-417d-11ee-80ce-a0d3c1fab97f</t>
        </is>
      </c>
    </row>
    <row r="142">
      <c r="A142" s="15" t="inlineStr">
        <is>
          <t>СКБ ТЕЛСИ, ООО</t>
        </is>
      </c>
      <c r="B142" s="15" t="inlineStr">
        <is>
          <t>7A080</t>
        </is>
      </c>
      <c r="C142" s="15" t="inlineStr">
        <is>
          <t>Россия</t>
        </is>
      </c>
      <c r="D142" s="15" t="inlineStr">
        <is>
          <t>Москва</t>
        </is>
      </c>
      <c r="E142" s="15" t="inlineStr">
        <is>
          <t>Россия, 117105, г. Москва, Варшавское ш., д. 25а, стр. 1, оф. 504</t>
        </is>
      </c>
      <c r="F142" s="20" t="inlineStr">
        <is>
          <t>http://www.telsi.ru</t>
        </is>
      </c>
      <c r="G142" s="15" t="inlineStr">
        <is>
          <t>info@telsi.ru</t>
        </is>
      </c>
      <c r="H142" s="15" t="inlineStr">
        <is>
          <t>ООО «СКБ ТЕЛСИ» является разработчиком и производителем систем вызова медсестер под торговыми марками HostCall и GetCall для больниц, домов престарелых, медицинских центров, хосписов.</t>
        </is>
      </c>
      <c r="I142" s="15" t="inlineStr">
        <is>
          <t>Прочее общебольничное оборудование; Медицинские информационные системы / программные решения; Коммуникационные системы</t>
        </is>
      </c>
      <c r="J142" s="15" t="inlineStr">
        <is>
          <t>Производитель</t>
        </is>
      </c>
      <c r="K142" s="15" t="inlineStr">
        <is>
          <t>OK</t>
        </is>
      </c>
      <c r="L142" s="15" t="inlineStr">
        <is>
          <t>системы вызова медсестер, оборудование и системы</t>
        </is>
      </c>
      <c r="M142" s="15" t="inlineStr">
        <is>
          <t>СКБ Телси</t>
        </is>
      </c>
      <c r="N142" s="15" t="inlineStr">
        <is>
          <t>Здравоохранение-2025</t>
        </is>
      </c>
      <c r="O142" s="20" t="inlineStr">
        <is>
          <t>https://icatalog.expocentr.ru/ru/exhibitions/de590dc5-417d-11ee-80ce-a0d3c1fab97f</t>
        </is>
      </c>
    </row>
    <row r="143">
      <c r="A143" s="15" t="inlineStr">
        <is>
          <t>ИННОДРАЙВ, ООО</t>
        </is>
      </c>
      <c r="B143" s="15" t="inlineStr">
        <is>
          <t>7D115</t>
        </is>
      </c>
      <c r="C143" s="15" t="inlineStr">
        <is>
          <t>Россия</t>
        </is>
      </c>
      <c r="D143" s="15" t="inlineStr">
        <is>
          <t>Санкт-Петербург</t>
        </is>
      </c>
      <c r="E143" s="15" t="inlineStr">
        <is>
          <t>Россия, 197198, г. Санкт-Петербург, ул. Пионерская, д. 30, литера Б, пом. 306</t>
        </is>
      </c>
      <c r="F143" s="20" t="inlineStr">
        <is>
          <t>https://innodrive.ru</t>
        </is>
      </c>
      <c r="G143" s="15" t="inlineStr">
        <is>
          <t>marketing@innodrive.ru</t>
        </is>
      </c>
      <c r="H143" s="15" t="inlineStr">
        <is>
          <t>Компания «ИнноДрайв» — надежный производитель и поставщик качественных высокотехнологичных приводных решений для медицины: стоматологии, лабораторной автоматизации и ручных инструментов, помп, микродозаторов, хирургических роботов, анализаторов, аппаратов ИВЛ, бионических экзопротезов, экзоскелетов, томографов,эндохирургии и лучевой терапии. Компания занимается разработкой и производством высокоточных отечественных сервоприводов «ХАРЗА», компактных сервоприводов «ГРИЗОН» и отечественных компактных сервоконтроллеров «СОЛОНГОЙ», а также осуществляет поставки коллекторных и бесколлекторных двигателей (в том числе плоских и бескорпусных), редукторов, датчиков, контроллеров и приводов на их основе производства России и Азии.</t>
        </is>
      </c>
      <c r="I143" s="15" t="inlineStr">
        <is>
          <t>Комплектующие для производства медицинских изделий</t>
        </is>
      </c>
      <c r="J143" s="15" t="inlineStr">
        <is>
          <t>Производитель</t>
        </is>
      </c>
      <c r="K143" s="15" t="inlineStr">
        <is>
          <t>OK</t>
        </is>
      </c>
      <c r="L143" s="15" t="inlineStr">
        <is>
          <t>сервоприводы, двигатели, редукторы, датчики и контроллеры</t>
        </is>
      </c>
      <c r="M143" s="15" t="inlineStr">
        <is>
          <t>Иннодрайв</t>
        </is>
      </c>
      <c r="N143" s="15" t="inlineStr">
        <is>
          <t>Здравоохранение-2025</t>
        </is>
      </c>
      <c r="O143" s="20" t="inlineStr">
        <is>
          <t>https://icatalog.expocentr.ru/ru/exhibitions/de590dc5-417d-11ee-80ce-a0d3c1fab97f</t>
        </is>
      </c>
    </row>
    <row r="144">
      <c r="A144" s="15" t="inlineStr">
        <is>
          <t>ДИАГНОСТИКФАРМ, ООО</t>
        </is>
      </c>
      <c r="B144" s="15" t="inlineStr">
        <is>
          <t>7D165</t>
        </is>
      </c>
      <c r="C144" s="15" t="inlineStr">
        <is>
          <t>Россия</t>
        </is>
      </c>
      <c r="D144" s="15" t="inlineStr">
        <is>
          <t>Вологда</t>
        </is>
      </c>
      <c r="E144" s="15" t="inlineStr">
        <is>
          <t>Россия, 160002, г. Вологда, ул. Лечебная, д. 32а</t>
        </is>
      </c>
      <c r="F144" s="20" t="inlineStr">
        <is>
          <t>http://www.35med.ru</t>
        </is>
      </c>
      <c r="G144" s="15" t="inlineStr">
        <is>
          <t>info@35med.ru</t>
        </is>
      </c>
      <c r="H144" s="15" t="inlineStr">
        <is>
          <t>Более 30 лет компания MESPA поставляет медицинскую мебель по всему миру. Бренд удовлетворяет всем требованиям пациентов и медицинских работников с помощью передовых технологий. Имя, связанное с качеством, теперь доступно и в России.</t>
        </is>
      </c>
      <c r="I144" s="15" t="inlineStr">
        <is>
          <t>Мебель для гинекологии и акушерства; Медицинская мебель; Средства, облегчающие передвижения</t>
        </is>
      </c>
      <c r="J144" s="15" t="inlineStr">
        <is>
          <t>Производитель</t>
        </is>
      </c>
      <c r="K144" s="15" t="inlineStr">
        <is>
          <t>OK</t>
        </is>
      </c>
      <c r="L144" s="15" t="inlineStr">
        <is>
          <t>медицинская мебель и средства передвижения</t>
        </is>
      </c>
      <c r="M144" s="15" t="inlineStr">
        <is>
          <t>Диагностикфарм</t>
        </is>
      </c>
      <c r="N144" s="15" t="inlineStr">
        <is>
          <t>Здравоохранение-2025</t>
        </is>
      </c>
      <c r="O144" s="20" t="inlineStr">
        <is>
          <t>https://icatalog.expocentr.ru/ru/exhibitions/de590dc5-417d-11ee-80ce-a0d3c1fab97f</t>
        </is>
      </c>
    </row>
    <row r="145">
      <c r="A145" s="15" t="inlineStr">
        <is>
          <t>ПРОВИТА, ООО</t>
        </is>
      </c>
      <c r="B145" s="21" t="n">
        <v>7e+80</v>
      </c>
      <c r="C145" s="15" t="inlineStr">
        <is>
          <t>Россия</t>
        </is>
      </c>
      <c r="D145" s="15" t="inlineStr">
        <is>
          <t>Санкт-Петербург</t>
        </is>
      </c>
      <c r="E145" s="15" t="inlineStr">
        <is>
          <t>Россия, 199106, г. Санкт-Петербург, 24-я линия В. О., д. 3-7, литера Б, пом. 1-Н, ЧП53, оф. 603</t>
        </is>
      </c>
      <c r="F145" s="20" t="inlineStr">
        <is>
          <t>http://www.provita.ru</t>
        </is>
      </c>
      <c r="G145" s="15" t="inlineStr">
        <is>
          <t>info@provita.ru</t>
        </is>
      </c>
      <c r="H145" s="15" t="inlineStr">
        <is>
          <t>Компания «Провита» была основана в 1991 году. Мы пионеры в области адсорбционного оборудования. За это время успешно реализовали более 2300 проектов по всей территории России и СНГ.</t>
        </is>
      </c>
      <c r="I145" s="15" t="inlineStr">
        <is>
          <t>Средства и инструменты для дентальной анестезиологии; Оборудование для медицинских газов</t>
        </is>
      </c>
      <c r="J145" s="15" t="inlineStr">
        <is>
          <t>Производитель</t>
        </is>
      </c>
      <c r="K145" s="15" t="inlineStr">
        <is>
          <t>OK</t>
        </is>
      </c>
      <c r="L145" s="15" t="inlineStr">
        <is>
          <t>оборудование, средства и инструменты</t>
        </is>
      </c>
      <c r="M145" s="15" t="inlineStr">
        <is>
          <t>Провита</t>
        </is>
      </c>
      <c r="N145" s="15" t="inlineStr">
        <is>
          <t>Здравоохранение-2025</t>
        </is>
      </c>
      <c r="O145" s="20" t="inlineStr">
        <is>
          <t>https://icatalog.expocentr.ru/ru/exhibitions/de590dc5-417d-11ee-80ce-a0d3c1fab97f</t>
        </is>
      </c>
    </row>
    <row r="146">
      <c r="A146" s="15" t="inlineStr">
        <is>
          <t>ЛОЙЕР МЕДИКАЛ, ООО</t>
        </is>
      </c>
      <c r="B146" s="15" t="inlineStr">
        <is>
          <t>7B070</t>
        </is>
      </c>
      <c r="C146" s="15" t="inlineStr">
        <is>
          <t>Россия</t>
        </is>
      </c>
      <c r="D146" s="15" t="inlineStr">
        <is>
          <t>Москва</t>
        </is>
      </c>
      <c r="E146" s="15" t="inlineStr">
        <is>
          <t>Россия, 121357, г. Москва, ул. Верейская, д. 29, стр. 134</t>
        </is>
      </c>
      <c r="F146" s="20" t="inlineStr">
        <is>
          <t>http://www.lojer.com</t>
        </is>
      </c>
      <c r="G146" s="15" t="inlineStr">
        <is>
          <t>cis@lojer.com</t>
        </is>
      </c>
      <c r="H146" s="15" t="inlineStr">
        <is>
          <t>Медицинская мебель LOJER (Финляндия). Хирургическое оборудование, системы интеграции MERIVAARA (Финляндия). Аспираторы MEDELA (Швейцария). Медициинские тележки INSAUSTI (Испания).</t>
        </is>
      </c>
      <c r="I146" s="15" t="inlineStr">
        <is>
          <t>Гинекологические кресла; Родовые кровати; Кушетки медицинские; Столы массажные; Операционные столы; Вакуумные экстракторы, аспираторы</t>
        </is>
      </c>
      <c r="J146" s="15" t="inlineStr">
        <is>
          <t>Дилер</t>
        </is>
      </c>
      <c r="K146" s="15" t="inlineStr">
        <is>
          <t>OK</t>
        </is>
      </c>
      <c r="L146" s="15" t="inlineStr">
        <is>
          <t>медицинская мебель, хирургическое оборудование и аспираторы</t>
        </is>
      </c>
      <c r="M146" s="15" t="inlineStr">
        <is>
          <t>Лойер Медикал</t>
        </is>
      </c>
      <c r="N146" s="15" t="inlineStr">
        <is>
          <t>Здравоохранение-2025</t>
        </is>
      </c>
      <c r="O146" s="20" t="inlineStr">
        <is>
          <t>https://icatalog.expocentr.ru/ru/exhibitions/de590dc5-417d-11ee-80ce-a0d3c1fab97f</t>
        </is>
      </c>
    </row>
    <row r="147">
      <c r="A147" s="15" t="inlineStr">
        <is>
          <t>АКСИОМА, ЗАО</t>
        </is>
      </c>
      <c r="B147" s="15" t="inlineStr">
        <is>
          <t>7F010</t>
        </is>
      </c>
      <c r="C147" s="15" t="inlineStr">
        <is>
          <t>Россия</t>
        </is>
      </c>
      <c r="D147" s="15" t="inlineStr">
        <is>
          <t>Санкт-Петербург</t>
        </is>
      </c>
      <c r="E147" s="15" t="inlineStr">
        <is>
          <t>Россия, 197022, г. Санкт-Петербург, ул. Академика Павлова, д. 14а, литера Д, пом. 1Н</t>
        </is>
      </c>
      <c r="F147" s="20" t="inlineStr">
        <is>
          <t>https://aksioma.com</t>
        </is>
      </c>
      <c r="G147" s="15" t="inlineStr">
        <is>
          <t>info@aksioma.com</t>
        </is>
      </c>
      <c r="H147" s="15" t="inlineStr">
        <is>
          <t>«Аксиома» — ведущий российский производитель с 37-летним опытом. Компания специализируется на разработке, производстве и реализации высококачественного медицинского эндоскопического и эндовидеохирургического оборудования и инструмента.</t>
        </is>
      </c>
      <c r="I147" s="15" t="inlineStr">
        <is>
          <t>Эндоскопы жесткие; Эндоскопы гибкие; Эндоскопические комплексы и системы; Оборудование и средства для лапароскопии; Инструменты и принадлежности для эндоскопии; Электрохирургические аппараты</t>
        </is>
      </c>
      <c r="J147" s="15" t="inlineStr">
        <is>
          <t>Производитель</t>
        </is>
      </c>
      <c r="K147" s="15" t="inlineStr">
        <is>
          <t>OK</t>
        </is>
      </c>
      <c r="L147" s="15" t="inlineStr">
        <is>
          <t>эндоскопы, оборудование и инструменты, аппараты</t>
        </is>
      </c>
      <c r="M147" s="15" t="inlineStr">
        <is>
          <t>Аксиома</t>
        </is>
      </c>
      <c r="N147" s="15" t="inlineStr">
        <is>
          <t>Здравоохранение-2025</t>
        </is>
      </c>
      <c r="O147" s="20" t="inlineStr">
        <is>
          <t>https://icatalog.expocentr.ru/ru/exhibitions/de590dc5-417d-11ee-80ce-a0d3c1fab97f</t>
        </is>
      </c>
    </row>
    <row r="148">
      <c r="A148" s="15" t="inlineStr">
        <is>
          <t>КРИПТОМЕД, ООО</t>
        </is>
      </c>
      <c r="B148" s="21" t="n">
        <v>7e+55</v>
      </c>
      <c r="C148" s="15" t="inlineStr">
        <is>
          <t>Россия</t>
        </is>
      </c>
      <c r="D148" s="15" t="inlineStr">
        <is>
          <t>Москва</t>
        </is>
      </c>
      <c r="E148" s="15" t="inlineStr">
        <is>
          <t>Россия, 127051, г. Москва, ул. Трубная, д. 35, корп. 1</t>
        </is>
      </c>
      <c r="F148" s="20" t="inlineStr">
        <is>
          <t>http://www.kriptomed.ru</t>
        </is>
      </c>
      <c r="G148" s="15" t="inlineStr">
        <is>
          <t>info@kriptomed.ru</t>
        </is>
      </c>
      <c r="H148" s="15" t="inlineStr">
        <is>
          <t>Разработчик, производитель и поставщик медицинского оборудования для аудиологии, офтальмологии, лор, хирургии, УЗИ, флебологии, косметологии и др. 2000 позиций в каталоге, собственная сервисная служба.</t>
        </is>
      </c>
      <c r="I148" s="15" t="inlineStr">
        <is>
          <t>Прочие диагностические устройства; Приборы и аппараты для офтальмодиагностики; Инструменты для офтальмологии; Ультразвуковые сканеры и диагностические системы; Отоскопы и лор-инструменты; Операционные микроскопы и видеоустройства</t>
        </is>
      </c>
      <c r="J148" s="15" t="inlineStr">
        <is>
          <t>Производитель</t>
        </is>
      </c>
      <c r="K148" s="15" t="inlineStr">
        <is>
          <t>OK</t>
        </is>
      </c>
      <c r="L148" s="15" t="inlineStr">
        <is>
          <t>диагностические устройства, приборы, инструменты, сканеры и микроскопы</t>
        </is>
      </c>
      <c r="M148" s="15" t="inlineStr">
        <is>
          <t>Криптомед</t>
        </is>
      </c>
      <c r="N148" s="15" t="inlineStr">
        <is>
          <t>Здравоохранение-2025</t>
        </is>
      </c>
      <c r="O148" s="20" t="inlineStr">
        <is>
          <t>https://icatalog.expocentr.ru/ru/exhibitions/de590dc5-417d-11ee-80ce-a0d3c1fab97f</t>
        </is>
      </c>
    </row>
    <row r="149">
      <c r="A149" s="15" t="inlineStr">
        <is>
          <t>ТРИОМЕД, ООО</t>
        </is>
      </c>
      <c r="B149" s="15" t="inlineStr">
        <is>
          <t>7D015</t>
        </is>
      </c>
      <c r="C149" s="15" t="inlineStr">
        <is>
          <t>Россия</t>
        </is>
      </c>
      <c r="D149" s="15" t="inlineStr">
        <is>
          <t>Пермь</t>
        </is>
      </c>
      <c r="E149" s="15" t="inlineStr">
        <is>
          <t>Россия, 614095, г. Пермь, ул. Мира, д. 11, кв. 2</t>
        </is>
      </c>
      <c r="F149" s="20" t="inlineStr">
        <is>
          <t>http://www.triomed.pro</t>
        </is>
      </c>
      <c r="G149" s="15" t="inlineStr">
        <is>
          <t>ztv@triomed.pro</t>
        </is>
      </c>
      <c r="H149" s="15" t="inlineStr">
        <is>
          <t>Компания «ТРИОМЕД» — официальный представитель производителей медицинского оборудования: — Victor Medical — сшивающие аппараты; — Chun Li — эндопротезы суставов; — EON Meditech — принадлежности для лор-хирургии.</t>
        </is>
      </c>
      <c r="I149" s="15" t="inlineStr">
        <is>
          <t>Отоскопы и лор-инструменты; Хирургические инструменты; Ортопедическое оборудование и инструменты; Эндопротезы и имплантаты</t>
        </is>
      </c>
      <c r="J149" s="15" t="inlineStr">
        <is>
          <t>Дилер</t>
        </is>
      </c>
      <c r="K149" s="15" t="inlineStr">
        <is>
          <t>OK</t>
        </is>
      </c>
      <c r="L149" s="15" t="inlineStr">
        <is>
          <t>сшивающие аппараты, эндопротезы, принадлежности для хирургии и инструменты</t>
        </is>
      </c>
      <c r="M149" s="15" t="inlineStr">
        <is>
          <t>Триомед</t>
        </is>
      </c>
      <c r="N149" s="15" t="inlineStr">
        <is>
          <t>Здравоохранение-2025</t>
        </is>
      </c>
      <c r="O149" s="20" t="inlineStr">
        <is>
          <t>https://icatalog.expocentr.ru/ru/exhibitions/de590dc5-417d-11ee-80ce-a0d3c1fab97f</t>
        </is>
      </c>
    </row>
    <row r="150">
      <c r="A150" s="15" t="inlineStr">
        <is>
          <t>ВАЛИДУС, ООО</t>
        </is>
      </c>
      <c r="B150" s="15" t="inlineStr">
        <is>
          <t>7B150</t>
        </is>
      </c>
      <c r="C150" s="15" t="inlineStr">
        <is>
          <t>Россия</t>
        </is>
      </c>
      <c r="D150" s="15" t="n"/>
      <c r="E150" s="15" t="inlineStr">
        <is>
          <t>Россия, 601421, Владимирская обл., Вязниковский р-н, пос. Лукново, ул. Советская, д. 2в</t>
        </is>
      </c>
      <c r="F150" s="20" t="inlineStr">
        <is>
          <t>http://www.validusmed.ru</t>
        </is>
      </c>
      <c r="G150" s="15" t="inlineStr">
        <is>
          <t>info@validusmed.ru</t>
        </is>
      </c>
      <c r="H150" s="15" t="inlineStr">
        <is>
          <t>Производство специализированной медицинской мебели.</t>
        </is>
      </c>
      <c r="I150" s="15" t="inlineStr">
        <is>
          <t>Мебель для гинекологии и акушерства; Мебель для стоматологических кабинетов; Медицинская мебель; Кушетки медицинские; Производство медицинских изделий</t>
        </is>
      </c>
      <c r="J150" s="15" t="inlineStr">
        <is>
          <t>Производитель</t>
        </is>
      </c>
      <c r="K150" s="15" t="inlineStr">
        <is>
          <t>OK</t>
        </is>
      </c>
      <c r="L150" s="15" t="inlineStr">
        <is>
          <t>медицинская мебель, кушетки медицинские</t>
        </is>
      </c>
      <c r="M150" s="15" t="inlineStr">
        <is>
          <t>Валидус</t>
        </is>
      </c>
      <c r="N150" s="15" t="inlineStr">
        <is>
          <t>Здравоохранение-2025</t>
        </is>
      </c>
      <c r="O150" s="20" t="inlineStr">
        <is>
          <t>https://icatalog.expocentr.ru/ru/exhibitions/de590dc5-417d-11ee-80ce-a0d3c1fab97f</t>
        </is>
      </c>
    </row>
    <row r="151">
      <c r="A151" s="15" t="inlineStr">
        <is>
          <t>МБ-ЦЕНТР, OOO</t>
        </is>
      </c>
      <c r="B151" s="15" t="inlineStr">
        <is>
          <t>7F130</t>
        </is>
      </c>
      <c r="C151" s="15" t="inlineStr">
        <is>
          <t>Россия</t>
        </is>
      </c>
      <c r="D151" s="15" t="inlineStr">
        <is>
          <t>Москва</t>
        </is>
      </c>
      <c r="E151" s="15" t="inlineStr">
        <is>
          <t>Россия, 115516, г. Москва, ул. Промышленная, д. 11, стр. 2, этаж 6, оф. 539</t>
        </is>
      </c>
      <c r="F151" s="20" t="inlineStr">
        <is>
          <t>https://www.mbe-center.ru</t>
        </is>
      </c>
      <c r="G151" s="15" t="inlineStr">
        <is>
          <t>goloulin1@mail.ru</t>
        </is>
      </c>
      <c r="H151" s="15" t="inlineStr">
        <is>
          <t>Оптовая торговля лабораторными и антистатическими стульями, табуретами, электроприводами для медицинских кроватей, комплектующими для мебели, колесными опорами, газовыми пружинами.</t>
        </is>
      </c>
      <c r="I151" s="15" t="inlineStr">
        <is>
          <t>Производство медицинских изделий; Лабораторное оборудование; Лабораторная мебель; Операционные столы</t>
        </is>
      </c>
      <c r="J151" s="15" t="inlineStr">
        <is>
          <t>Дилер</t>
        </is>
      </c>
      <c r="K151" s="15" t="inlineStr">
        <is>
          <t>OK</t>
        </is>
      </c>
      <c r="L151" s="15" t="inlineStr">
        <is>
          <t>лабораторные стулья, табуреты, электроприводы, колесные опоры и газовые пружины</t>
        </is>
      </c>
      <c r="M151" s="15" t="inlineStr">
        <is>
          <t>МБ-Центр</t>
        </is>
      </c>
      <c r="N151" s="15" t="inlineStr">
        <is>
          <t>Здравоохранение-2025</t>
        </is>
      </c>
      <c r="O151" s="20" t="inlineStr">
        <is>
          <t>https://icatalog.expocentr.ru/ru/exhibitions/de590dc5-417d-11ee-80ce-a0d3c1fab97f</t>
        </is>
      </c>
    </row>
    <row r="152">
      <c r="A152" s="15" t="inlineStr">
        <is>
          <t>ФАРМ-ИНВЕСТ, ООО</t>
        </is>
      </c>
      <c r="B152" s="21" t="n">
        <v>7e+120</v>
      </c>
      <c r="C152" s="15" t="inlineStr">
        <is>
          <t>Россия</t>
        </is>
      </c>
      <c r="D152" s="15" t="inlineStr">
        <is>
          <t>Москва</t>
        </is>
      </c>
      <c r="E152" s="15" t="inlineStr">
        <is>
          <t>Россия, 125362, г. Москва, ул. Вишнёвая, д. 9, корп. 1, пом. 410, 412</t>
        </is>
      </c>
      <c r="F152" s="20" t="inlineStr">
        <is>
          <t>http://www.farm-invest.ru</t>
        </is>
      </c>
      <c r="G152" s="15" t="inlineStr">
        <is>
          <t>farm@farm-invest.ru</t>
        </is>
      </c>
      <c r="H152" s="15" t="inlineStr">
        <is>
          <t>«Фарм-Инвест» – торгово-производственная компания, основанная в 1993 году. Собственная ТМ FarmFrost. Дистрибьютор АО «ПОЗиС». Комплексные поставки, монтаж и ввод в эксплуатацию, лицензированный СЦ.</t>
        </is>
      </c>
      <c r="I152" s="15" t="inlineStr">
        <is>
          <t>Поставка медицинского оборудования и расходных материалов; Производство медицинских изделий; Холодильники; Оборудование для банков крови; Мониторы пациента; Дефибрилляторы</t>
        </is>
      </c>
      <c r="J152" s="15" t="inlineStr">
        <is>
          <t>Производитель</t>
        </is>
      </c>
      <c r="K152" s="15" t="inlineStr">
        <is>
          <t>OK</t>
        </is>
      </c>
      <c r="L152" s="15" t="inlineStr">
        <is>
          <t>холодильники, медицинские изделия, дефибрилляторы и мониторы</t>
        </is>
      </c>
      <c r="M152" s="15" t="inlineStr">
        <is>
          <t>Фарм-Инвест</t>
        </is>
      </c>
      <c r="N152" s="15" t="inlineStr">
        <is>
          <t>Здравоохранение-2025</t>
        </is>
      </c>
      <c r="O152" s="20" t="inlineStr">
        <is>
          <t>https://icatalog.expocentr.ru/ru/exhibitions/de590dc5-417d-11ee-80ce-a0d3c1fab97f</t>
        </is>
      </c>
    </row>
    <row r="153">
      <c r="A153" s="15" t="inlineStr">
        <is>
          <t>КВ МЕДИКАЛ, ООО</t>
        </is>
      </c>
      <c r="B153" s="15" t="inlineStr">
        <is>
          <t>7F020</t>
        </is>
      </c>
      <c r="C153" s="15" t="inlineStr">
        <is>
          <t>Россия</t>
        </is>
      </c>
      <c r="D153" s="15" t="inlineStr">
        <is>
          <t>Москва</t>
        </is>
      </c>
      <c r="E153" s="15" t="inlineStr">
        <is>
          <t>Россия, 107023, г. Москва, ул. Суворовская, д. 10а, оф. 5</t>
        </is>
      </c>
      <c r="F153" s="15" t="n"/>
      <c r="G153" s="15" t="inlineStr">
        <is>
          <t>ra@kvmedical.ru</t>
        </is>
      </c>
      <c r="H153" s="15" t="inlineStr">
        <is>
          <t>ООО «КВ МЕДИКАЛ» – дистрибьютор продукции ведущих производителей из стран ЕАЭС и БРИКС. Специализация — технические средства реабилитации, медицинские изделия, хирургия, анестезиология и реанимация.</t>
        </is>
      </c>
      <c r="I153" s="15" t="inlineStr">
        <is>
          <t>Системы мониторирования ЭКГ и АД; Приборы для исследования внешнего дыхания; Средства ухода за стомой; Оборудование для длительных вливаний крови и растворов; Принадлежности и расходные материалы для реанимации и экстренной помощи; Вакуумные экстракторы, аспираторы</t>
        </is>
      </c>
      <c r="J153" s="15" t="inlineStr">
        <is>
          <t>Дилер</t>
        </is>
      </c>
      <c r="K153" s="15" t="inlineStr">
        <is>
          <t>OK</t>
        </is>
      </c>
      <c r="L153" s="15" t="inlineStr">
        <is>
          <t>средства реабилитации, медицинские изделия, системы мониторирования и приборы для дыхания</t>
        </is>
      </c>
      <c r="M153" s="15" t="inlineStr">
        <is>
          <t>КВ Медикал</t>
        </is>
      </c>
      <c r="N153" s="15" t="inlineStr">
        <is>
          <t>Здравоохранение-2025</t>
        </is>
      </c>
      <c r="O153" s="20" t="inlineStr">
        <is>
          <t>https://icatalog.expocentr.ru/ru/exhibitions/de590dc5-417d-11ee-80ce-a0d3c1fab97f</t>
        </is>
      </c>
    </row>
    <row r="154">
      <c r="A154" s="15" t="inlineStr">
        <is>
          <t>ЛАБРОМЕД, ООО</t>
        </is>
      </c>
      <c r="B154" s="15" t="inlineStr">
        <is>
          <t>7A090</t>
        </is>
      </c>
      <c r="C154" s="15" t="inlineStr">
        <is>
          <t>Россия</t>
        </is>
      </c>
      <c r="D154" s="15" t="inlineStr">
        <is>
          <t>Химки</t>
        </is>
      </c>
      <c r="E154" s="15" t="inlineStr">
        <is>
          <t>Россия, 141407, Московская обл., г. Химки, Куркинское ш., стр. 2, оф. 501/5</t>
        </is>
      </c>
      <c r="F154" s="20" t="inlineStr">
        <is>
          <t>http://www.labromed.ru</t>
        </is>
      </c>
      <c r="G154" s="15" t="inlineStr">
        <is>
          <t>labromed@labromed.ru</t>
        </is>
      </c>
      <c r="H154" s="15" t="inlineStr">
        <is>
          <t>Производитель медицинской и лабораторной мебели.</t>
        </is>
      </c>
      <c r="I154" s="15" t="inlineStr">
        <is>
          <t>Производство медицинских изделий</t>
        </is>
      </c>
      <c r="J154" s="15" t="inlineStr">
        <is>
          <t>Производитель</t>
        </is>
      </c>
      <c r="K154" s="15" t="inlineStr">
        <is>
          <t>OK</t>
        </is>
      </c>
      <c r="L154" s="15" t="inlineStr">
        <is>
          <t>мебель</t>
        </is>
      </c>
      <c r="M154" s="15" t="inlineStr">
        <is>
          <t>Лабромед</t>
        </is>
      </c>
      <c r="N154" s="15" t="inlineStr">
        <is>
          <t>Здравоохранение-2025</t>
        </is>
      </c>
      <c r="O154" s="20" t="inlineStr">
        <is>
          <t>https://icatalog.expocentr.ru/ru/exhibitions/de590dc5-417d-11ee-80ce-a0d3c1fab97f</t>
        </is>
      </c>
    </row>
    <row r="155">
      <c r="A155" s="15" t="inlineStr">
        <is>
          <t>МЕДМОС, ТОРГОВЫЙ ДОМ</t>
        </is>
      </c>
      <c r="B155" s="15" t="inlineStr">
        <is>
          <t>7D090</t>
        </is>
      </c>
      <c r="C155" s="15" t="inlineStr">
        <is>
          <t>Россия</t>
        </is>
      </c>
      <c r="D155" s="15" t="inlineStr">
        <is>
          <t>Москва</t>
        </is>
      </c>
      <c r="E155" s="15" t="inlineStr">
        <is>
          <t>Россия, 121087, г. Москва, вн. тер. г. м. о. Филевский Парк, ул. Барклая, д. 6, стр. 5, этаж 2, комн. 22, оф. 24</t>
        </is>
      </c>
      <c r="F155" s="20" t="inlineStr">
        <is>
          <t>http://www.med-mos.ru</t>
        </is>
      </c>
      <c r="G155" s="15" t="inlineStr">
        <is>
          <t>info@med-mos.ru</t>
        </is>
      </c>
      <c r="H155" s="15" t="inlineStr">
        <is>
          <t>Компания «МедМос» – российский производитель и ведущий поставщик высокотехнологичного медицинского оборудования, резидент ОАЭ «Дубна» с 2025 года. Вот уже 19 лет мы создаем современные решения для широкого круга медицинских задач: от диагностики до реабилитации и нейрореабилитации. Наша миссия – развивать и совершенствовать отечественную систему здравоохранения, повышая качество медицинской помощи. В этом году мы представляем на нашем стенде аппараты для ультразвуковой диагностики, гибкой эндоскопии, терморегуляции. Среди главных элементов экспозиции – «ГИПОТЕРМ Нео», терморегулирующее устройство для неонатологии и педиатрии.</t>
        </is>
      </c>
      <c r="I155" s="15" t="inlineStr">
        <is>
          <t>Системы мониторирования ЭКГ и АД; Стоматологическое оборудование и инструменты; Столы массажные; Средства перевозки (перемещения) пациентов, оборудования и материалов; Прочее общебольничное оборудование; Аналитика рынка, консалтинг; Ультразвуковые сканеры и диагностические системы; Оборудование для термотерапии; Приборы для измерения артериального давления (тонометры); Эндоскопические комплексы и системы; Спасательное оборудование и снаряжение; Мониторы пациента; Оборудование для длительных вливаний крови и растворов; Эндопротезы и имплантаты</t>
        </is>
      </c>
      <c r="J155" s="15" t="inlineStr">
        <is>
          <t>Производитель</t>
        </is>
      </c>
      <c r="K155" s="15" t="inlineStr">
        <is>
          <t>OK</t>
        </is>
      </c>
      <c r="L155" s="15" t="inlineStr">
        <is>
          <t>медицинское оборудование, ультразвуковые сканеры, терморегулирующие устройства и эндоскопические комплексы</t>
        </is>
      </c>
      <c r="M155" s="15" t="inlineStr">
        <is>
          <t>Медмос</t>
        </is>
      </c>
      <c r="N155" s="15" t="inlineStr">
        <is>
          <t>Здравоохранение-2025</t>
        </is>
      </c>
      <c r="O155" s="20" t="inlineStr">
        <is>
          <t>https://icatalog.expocentr.ru/ru/exhibitions/de590dc5-417d-11ee-80ce-a0d3c1fab97f</t>
        </is>
      </c>
    </row>
    <row r="156">
      <c r="A156" s="15" t="inlineStr">
        <is>
          <t>ФЛОГИСТОН-МЕД, ООО</t>
        </is>
      </c>
      <c r="B156" s="15" t="inlineStr">
        <is>
          <t>7C030</t>
        </is>
      </c>
      <c r="C156" s="15" t="inlineStr">
        <is>
          <t>Россия</t>
        </is>
      </c>
      <c r="D156" s="15" t="inlineStr">
        <is>
          <t>Краснознаменск (Московская обл)</t>
        </is>
      </c>
      <c r="E156" s="15" t="inlineStr">
        <is>
          <t>Россия, 143090, Московская обл., г. Краснознаменск (Московская обл), ул. Индустриальная, д. 5</t>
        </is>
      </c>
      <c r="F156" s="20" t="inlineStr">
        <is>
          <t>http://www.flogiston-med.ru</t>
        </is>
      </c>
      <c r="G156" s="15" t="inlineStr">
        <is>
          <t>marketing.flogiston@gmail.com</t>
        </is>
      </c>
      <c r="H156" s="15" t="inlineStr">
        <is>
          <t>Надежный поставщик современного медицинского оборудования из России, а также из Китая, запуск в эксплуатацию и сервис.</t>
        </is>
      </c>
      <c r="I156" s="15" t="inlineStr">
        <is>
          <t>Рентгеновские диагностические установки, передвижные и стационарные; Компьютерные томографы; Магнитно-резонансные томографы</t>
        </is>
      </c>
      <c r="J156" s="15" t="inlineStr">
        <is>
          <t>Дилер</t>
        </is>
      </c>
      <c r="K156" s="15" t="inlineStr">
        <is>
          <t>OK</t>
        </is>
      </c>
      <c r="L156" s="15" t="inlineStr">
        <is>
          <t>рентгеновские установки, томографы</t>
        </is>
      </c>
      <c r="M156" s="15" t="inlineStr">
        <is>
          <t>Флогистон-Мед</t>
        </is>
      </c>
      <c r="N156" s="15" t="inlineStr">
        <is>
          <t>Здравоохранение-2025</t>
        </is>
      </c>
      <c r="O156" s="20" t="inlineStr">
        <is>
          <t>https://icatalog.expocentr.ru/ru/exhibitions/de590dc5-417d-11ee-80ce-a0d3c1fab97f</t>
        </is>
      </c>
    </row>
    <row r="157">
      <c r="A157" s="15" t="inlineStr">
        <is>
          <t>РехаТехник</t>
        </is>
      </c>
      <c r="B157" s="15" t="inlineStr">
        <is>
          <t>7D160</t>
        </is>
      </c>
      <c r="C157" s="15" t="inlineStr">
        <is>
          <t>Россия</t>
        </is>
      </c>
      <c r="D157" s="15" t="inlineStr">
        <is>
          <t>Москва</t>
        </is>
      </c>
      <c r="E157" s="15" t="inlineStr">
        <is>
          <t>Россия, 111123, г. Москва, ш. Энтузиастов, д. 56, стр. 28</t>
        </is>
      </c>
      <c r="F157" s="20" t="inlineStr">
        <is>
          <t>http://www.reha-teh.ru</t>
        </is>
      </c>
      <c r="G157" s="15" t="inlineStr">
        <is>
          <t>sales@reha-teh.ru</t>
        </is>
      </c>
      <c r="H157" s="15" t="inlineStr">
        <is>
          <t>Миссия нашей компании – создавать условия для полноценной интеграции маломобильных людей в общественную и городскую жизнь. Лучшее оборудование из Европы! ГК «РехаТехник» — мы делаем жизнь доступной!</t>
        </is>
      </c>
      <c r="I157" s="15" t="inlineStr">
        <is>
          <t>Кушетки медицинские; Реабилитационное оборудование; Средства, облегчающие передвижения; Эрготерапевтическое оборудование; Ортопедия и травматология; Ортопедическое оборудование и инструменты</t>
        </is>
      </c>
      <c r="J157" s="15" t="inlineStr">
        <is>
          <t>Дилер</t>
        </is>
      </c>
      <c r="K157" s="15" t="inlineStr">
        <is>
          <t>OK</t>
        </is>
      </c>
      <c r="L157" s="15" t="inlineStr">
        <is>
          <t>кушетки, реабилитационное, эрготерапевтическое и ортопедическое оборудование</t>
        </is>
      </c>
      <c r="M157" s="15" t="inlineStr">
        <is>
          <t>РехаТехник</t>
        </is>
      </c>
      <c r="N157" s="15" t="inlineStr">
        <is>
          <t>Здравоохранение-2025</t>
        </is>
      </c>
      <c r="O157" s="20" t="inlineStr">
        <is>
          <t>https://icatalog.expocentr.ru/ru/exhibitions/de590dc5-417d-11ee-80ce-a0d3c1fab97f</t>
        </is>
      </c>
    </row>
    <row r="158">
      <c r="A158" s="15" t="inlineStr">
        <is>
          <t>ЭНДОВИ, ООО</t>
        </is>
      </c>
      <c r="B158" s="15" t="inlineStr">
        <is>
          <t>7D045</t>
        </is>
      </c>
      <c r="C158" s="15" t="inlineStr">
        <is>
          <t>Россия</t>
        </is>
      </c>
      <c r="D158" s="15" t="inlineStr">
        <is>
          <t>Москва</t>
        </is>
      </c>
      <c r="E158" s="15" t="inlineStr">
        <is>
          <t>Россия, 123610, г. Москва, Краснопресненская наб., д. 12, г-ца «Международная», подъезд 6, этаж 9, оф. 906</t>
        </is>
      </c>
      <c r="F158" s="20" t="inlineStr">
        <is>
          <t>https://endovi.ru</t>
        </is>
      </c>
      <c r="G158" s="15" t="inlineStr">
        <is>
          <t>info@endovi.ru</t>
        </is>
      </c>
      <c r="H158" s="15" t="inlineStr">
        <is>
          <t>ООО «ЭНДОВИ» — уполномоченный представитель китайского производителя Concemed на территории России. Поставка и техническое обслуживание видеоэндоскопического оборудования Concemed.</t>
        </is>
      </c>
      <c r="I158" s="15" t="inlineStr">
        <is>
          <t>Эндоскопы гибкие; Эндоскопические комплексы и системы</t>
        </is>
      </c>
      <c r="J158" s="15" t="inlineStr">
        <is>
          <t>Дилер</t>
        </is>
      </c>
      <c r="K158" s="15" t="inlineStr">
        <is>
          <t>OK</t>
        </is>
      </c>
      <c r="L158" s="15" t="inlineStr">
        <is>
          <t>эндоскопы, эндоскопические комплексы и системы</t>
        </is>
      </c>
      <c r="M158" s="15" t="inlineStr">
        <is>
          <t>Эндови</t>
        </is>
      </c>
      <c r="N158" s="15" t="inlineStr">
        <is>
          <t>Здравоохранение-2025</t>
        </is>
      </c>
      <c r="O158" s="20" t="inlineStr">
        <is>
          <t>https://icatalog.expocentr.ru/ru/exhibitions/de590dc5-417d-11ee-80ce-a0d3c1fab97f</t>
        </is>
      </c>
    </row>
    <row r="159">
      <c r="A159" s="15" t="inlineStr">
        <is>
          <t>СЕРВИСИНСТРУМЕНТ, АО</t>
        </is>
      </c>
      <c r="B159" s="15" t="inlineStr">
        <is>
          <t>7F080</t>
        </is>
      </c>
      <c r="C159" s="15" t="inlineStr">
        <is>
          <t>Россия</t>
        </is>
      </c>
      <c r="D159" s="15" t="inlineStr">
        <is>
          <t>Москва</t>
        </is>
      </c>
      <c r="E159" s="15" t="inlineStr">
        <is>
          <t>Россия, 127018, г. Москва, ул. Сущёвский Вал, д. 5, стр. 28</t>
        </is>
      </c>
      <c r="F159" s="20" t="inlineStr">
        <is>
          <t>http://www.servinst.ru</t>
        </is>
      </c>
      <c r="G159" s="15" t="inlineStr">
        <is>
          <t>info@servinst.ru</t>
        </is>
      </c>
      <c r="H159" s="15" t="inlineStr">
        <is>
          <t>Компания основана в 1988 г. Реанимация, интенсивная терапия. Поставки, монтаж, обучение и технический сервис в клиниках РФ и странах ЕАЭС. Партнеры «Ардо», «Чисон», «Вилтехмеда», «Сикрест», «Акутроник», «Текме», «Зильберман».</t>
        </is>
      </c>
      <c r="I159" s="15" t="inlineStr">
        <is>
          <t>Инкубаторы и открытые реанимационные системы; Фототерапевтические системы; Аппараты для искусственной вентиляции легких; Мониторы пациента; Наркозно-дыхательные аппараты</t>
        </is>
      </c>
      <c r="J159" s="15" t="inlineStr">
        <is>
          <t>Дилер</t>
        </is>
      </c>
      <c r="K159" s="15" t="inlineStr">
        <is>
          <t>OK</t>
        </is>
      </c>
      <c r="L159" s="15" t="inlineStr">
        <is>
          <t>инкубаторы, фототерапевтические системы, аппараты искусственной вентиляции легких, мониторы пациента и наркозно-дыхательные аппараты</t>
        </is>
      </c>
      <c r="M159" s="15" t="inlineStr">
        <is>
          <t>Сервисинструмент</t>
        </is>
      </c>
      <c r="N159" s="15" t="inlineStr">
        <is>
          <t>Здравоохранение-2025</t>
        </is>
      </c>
      <c r="O159" s="20" t="inlineStr">
        <is>
          <t>https://icatalog.expocentr.ru/ru/exhibitions/de590dc5-417d-11ee-80ce-a0d3c1fab97f</t>
        </is>
      </c>
    </row>
    <row r="160">
      <c r="A160" s="15" t="inlineStr">
        <is>
          <t>МЕДФАРМА-СЕРВИС, ООО</t>
        </is>
      </c>
      <c r="B160" s="15" t="inlineStr">
        <is>
          <t>7B070</t>
        </is>
      </c>
      <c r="C160" s="15" t="inlineStr">
        <is>
          <t>Россия</t>
        </is>
      </c>
      <c r="D160" s="15" t="inlineStr">
        <is>
          <t>Вологда</t>
        </is>
      </c>
      <c r="E160" s="15" t="inlineStr">
        <is>
          <t>Россия, 160019, г. Вологда, ул. Чернышевского, д. 118</t>
        </is>
      </c>
      <c r="F160" s="20" t="inlineStr">
        <is>
          <t>https://medfarma.net</t>
        </is>
      </c>
      <c r="G160" s="15" t="inlineStr">
        <is>
          <t>info@medfarma.net</t>
        </is>
      </c>
      <c r="H160" s="15" t="inlineStr">
        <is>
          <t>Комплексное оснащение ЛПУ медицинским оборудованием. Официальный представитель корпорации Merivaara в России — внедряем интегрированные системы для цифровизации деятельности медицинских учреждений.</t>
        </is>
      </c>
      <c r="I160" s="15" t="inlineStr">
        <is>
          <t>Проектирование, производство, монтаж, валидация чистых операционных и реанимационных; Медицинский инжиниринг; Поставка медицинского оборудования и расходных материалов; Системы eHealth, телемедицина; Операционные столы; Осветители хирургические</t>
        </is>
      </c>
      <c r="J160" s="15" t="inlineStr">
        <is>
          <t>Поставщик услуг</t>
        </is>
      </c>
      <c r="K160" s="15" t="inlineStr">
        <is>
          <t>OK</t>
        </is>
      </c>
      <c r="L160" s="15" t="inlineStr">
        <is>
          <t>медицинское оборудование, расходные материалы, операционные столы и осветители</t>
        </is>
      </c>
      <c r="M160" s="15" t="inlineStr">
        <is>
          <t>Медфарма-Сервис</t>
        </is>
      </c>
      <c r="N160" s="15" t="inlineStr">
        <is>
          <t>Здравоохранение-2025</t>
        </is>
      </c>
      <c r="O160" s="20" t="inlineStr">
        <is>
          <t>https://icatalog.expocentr.ru/ru/exhibitions/de590dc5-417d-11ee-80ce-a0d3c1fab97f</t>
        </is>
      </c>
    </row>
    <row r="161">
      <c r="A161" s="15" t="inlineStr">
        <is>
          <t>АЛЬЯНС, ТД, ООО</t>
        </is>
      </c>
      <c r="B161" s="15" t="inlineStr">
        <is>
          <t>7F015</t>
        </is>
      </c>
      <c r="C161" s="15" t="inlineStr">
        <is>
          <t>Россия</t>
        </is>
      </c>
      <c r="D161" s="15" t="inlineStr">
        <is>
          <t>Москва</t>
        </is>
      </c>
      <c r="E161" s="15" t="inlineStr">
        <is>
          <t>Россия, 105005, г. Москва, вн. тер. г. м. о. Басманный, ул. Радио, д. 7, стр. 1, комн. 304</t>
        </is>
      </c>
      <c r="F161" s="20" t="inlineStr">
        <is>
          <t>http://www.respircare.ru</t>
        </is>
      </c>
      <c r="G161" s="15" t="inlineStr">
        <is>
          <t>info@respircare.ru</t>
        </is>
      </c>
      <c r="H161" s="15" t="inlineStr">
        <is>
          <t>Компания является импортером оборудования (в т. ч. увлажнителей с генератором потока Hifent) и расходных материалов для высокопоточной кислородной терапии производства Shenyang RMS Medical Tech Co. Ltd.</t>
        </is>
      </c>
      <c r="I161" s="15" t="inlineStr">
        <is>
          <t>Пульмонологические мониторные системы; Расходные материалы для медицинского оборудования; Оборудование для кислородной терапии; Аппараты для искусственной вентиляции легких; Оборудование для медицинских газов; Наркозно-дыхательные аппараты</t>
        </is>
      </c>
      <c r="J161" s="15" t="inlineStr">
        <is>
          <t>Дилер</t>
        </is>
      </c>
      <c r="K161" s="15" t="inlineStr">
        <is>
          <t>OK</t>
        </is>
      </c>
      <c r="L161" s="15" t="inlineStr">
        <is>
          <t>оборудование, расходные материалы, мониторные системы, аппараты и газы</t>
        </is>
      </c>
      <c r="M161" s="15" t="inlineStr">
        <is>
          <t>Альянс</t>
        </is>
      </c>
      <c r="N161" s="15" t="inlineStr">
        <is>
          <t>Здравоохранение-2025</t>
        </is>
      </c>
      <c r="O161" s="20" t="inlineStr">
        <is>
          <t>https://icatalog.expocentr.ru/ru/exhibitions/de590dc5-417d-11ee-80ce-a0d3c1fab97f</t>
        </is>
      </c>
    </row>
    <row r="162">
      <c r="A162" s="15" t="inlineStr">
        <is>
          <t>ЗДРАВМЕБЕЛЬ, ООО</t>
        </is>
      </c>
      <c r="B162" s="15" t="inlineStr">
        <is>
          <t>7C165</t>
        </is>
      </c>
      <c r="C162" s="15" t="inlineStr">
        <is>
          <t>Россия</t>
        </is>
      </c>
      <c r="D162" s="15" t="inlineStr">
        <is>
          <t>Тула</t>
        </is>
      </c>
      <c r="E162" s="15" t="inlineStr">
        <is>
          <t>Россия, 300024, г. Тула, Ханинский пр-д, д. 29, пом. 3</t>
        </is>
      </c>
      <c r="F162" s="20" t="inlineStr">
        <is>
          <t>http://zdravmebel77.ru</t>
        </is>
      </c>
      <c r="G162" s="15" t="inlineStr">
        <is>
          <t>zdravmebel@mail.ru</t>
        </is>
      </c>
      <c r="H162" s="15" t="inlineStr">
        <is>
          <t>Собственное производство и оптовая продажа мебели для медицинских и школьных учреждений. Индивидуальные проекты. Наличие РУ. Высокое качество. Оптимальные сроки. Гарантия производителя.</t>
        </is>
      </c>
      <c r="I162" s="15" t="inlineStr">
        <is>
          <t>Медицинская мебель; Прочее общебольничное оборудование; Аналитика рынка, консалтинг; Производство медицинских изделий; Отраслевые СМИ и издательства; Лабораторная мебель</t>
        </is>
      </c>
      <c r="J162" s="15" t="inlineStr">
        <is>
          <t>Производитель</t>
        </is>
      </c>
      <c r="K162" s="15" t="inlineStr">
        <is>
          <t>OK</t>
        </is>
      </c>
      <c r="L162" s="15" t="inlineStr">
        <is>
          <t>мебель, общебольничное оборудование и лабораторная мебель</t>
        </is>
      </c>
      <c r="M162" s="15" t="inlineStr">
        <is>
          <t>Здравмебель</t>
        </is>
      </c>
      <c r="N162" s="15" t="inlineStr">
        <is>
          <t>Здравоохранение-2025</t>
        </is>
      </c>
      <c r="O162" s="20" t="inlineStr">
        <is>
          <t>https://icatalog.expocentr.ru/ru/exhibitions/de590dc5-417d-11ee-80ce-a0d3c1fab97f</t>
        </is>
      </c>
    </row>
    <row r="163">
      <c r="A163" s="15" t="inlineStr">
        <is>
          <t>БОВА ЕВРАЗИЯ, ООО</t>
        </is>
      </c>
      <c r="B163" s="15" t="inlineStr">
        <is>
          <t>7B090</t>
        </is>
      </c>
      <c r="C163" s="15" t="inlineStr">
        <is>
          <t>Россия</t>
        </is>
      </c>
      <c r="D163" s="15" t="inlineStr">
        <is>
          <t>Москва</t>
        </is>
      </c>
      <c r="E163" s="15" t="inlineStr">
        <is>
          <t>Россия, 125040, г. Москва, Ленинградский просп., д. 24, стр. 3</t>
        </is>
      </c>
      <c r="F163" s="20" t="inlineStr">
        <is>
          <t>http://www.bowa-eurasia.com</t>
        </is>
      </c>
      <c r="G163" s="15" t="inlineStr">
        <is>
          <t>office.russia@bowa-medical.com</t>
        </is>
      </c>
      <c r="H163" s="15" t="inlineStr">
        <is>
          <t>Все, что нужно для хирургии. Надежно, безопасно, навсегда, BOWA.</t>
        </is>
      </c>
      <c r="I163" s="15" t="inlineStr">
        <is>
          <t>Электрохирургические аппараты; Ультразвуковые хирургические аппараты</t>
        </is>
      </c>
      <c r="J163" s="15" t="inlineStr">
        <is>
          <t>Производитель</t>
        </is>
      </c>
      <c r="K163" s="15" t="inlineStr">
        <is>
          <t>OK</t>
        </is>
      </c>
      <c r="L163" s="15" t="inlineStr">
        <is>
          <t>электрохирургические и ультразвуковые аппараты</t>
        </is>
      </c>
      <c r="M163" s="15" t="inlineStr">
        <is>
          <t>Бова Евразия</t>
        </is>
      </c>
      <c r="N163" s="15" t="inlineStr">
        <is>
          <t>Здравоохранение-2025</t>
        </is>
      </c>
      <c r="O163" s="20" t="inlineStr">
        <is>
          <t>https://icatalog.expocentr.ru/ru/exhibitions/de590dc5-417d-11ee-80ce-a0d3c1fab97f</t>
        </is>
      </c>
    </row>
    <row r="164">
      <c r="A164" s="15" t="inlineStr">
        <is>
          <t>Н-МЕДИКА, ООО</t>
        </is>
      </c>
      <c r="B164" s="15" t="inlineStr">
        <is>
          <t>7F090</t>
        </is>
      </c>
      <c r="C164" s="15" t="inlineStr">
        <is>
          <t>Россия</t>
        </is>
      </c>
      <c r="D164" s="15" t="inlineStr">
        <is>
          <t>Санкт-Петербург</t>
        </is>
      </c>
      <c r="E164" s="15" t="inlineStr">
        <is>
          <t>Россия, 194100, г. Санкт-Петербург, ул. Кантемировская, д. 39, литера А, пом. 41Н, оф. 411</t>
        </is>
      </c>
      <c r="F164" s="20" t="inlineStr">
        <is>
          <t>http://www.nordmedica.ru/kontakty</t>
        </is>
      </c>
      <c r="G164" s="15" t="inlineStr">
        <is>
          <t>info@nordmedica.ru</t>
        </is>
      </c>
      <c r="H164" s="15" t="inlineStr">
        <is>
          <t>«НОРД-МЕДИКА» – официальный дистрибьютор оборудования KaWe (Германия). Более 20 лет занимаемся поставками диагностического оборудования. Эксклюзив: налобный осветитель H-800! Будем рады вас видеть!</t>
        </is>
      </c>
      <c r="I164" s="15" t="inlineStr">
        <is>
          <t>Офтальмоскопы; Дерматоскопы; Отоскопы и лор-инструменты; Ларингоскопы; Комплекты реанимационного оборудования; Осветители хирургические</t>
        </is>
      </c>
      <c r="J164" s="15" t="inlineStr">
        <is>
          <t>Дилер</t>
        </is>
      </c>
      <c r="K164" s="15" t="inlineStr">
        <is>
          <t>OK</t>
        </is>
      </c>
      <c r="L164" s="15" t="inlineStr">
        <is>
          <t>офтальмоскопы, дерматоскопы, отоскопы, ларингоскопы и осветители хирургические</t>
        </is>
      </c>
      <c r="M164" s="15" t="inlineStr">
        <is>
          <t>Н-Медика</t>
        </is>
      </c>
      <c r="N164" s="15" t="inlineStr">
        <is>
          <t>Здравоохранение-2025</t>
        </is>
      </c>
      <c r="O164" s="20" t="inlineStr">
        <is>
          <t>https://icatalog.expocentr.ru/ru/exhibitions/de590dc5-417d-11ee-80ce-a0d3c1fab97f</t>
        </is>
      </c>
    </row>
    <row r="165">
      <c r="A165" s="15" t="inlineStr">
        <is>
          <t>ФОТОН ФЛАЙ, ПО, ООО</t>
        </is>
      </c>
      <c r="B165" s="21" t="n">
        <v>7e+40</v>
      </c>
      <c r="C165" s="15" t="inlineStr">
        <is>
          <t>Россия</t>
        </is>
      </c>
      <c r="D165" s="15" t="inlineStr">
        <is>
          <t>Казань</t>
        </is>
      </c>
      <c r="E165" s="15" t="inlineStr">
        <is>
          <t>Россия, 420095, Республика Татарстан, г. Казань, ул. Восстания, зд. 108Н, корп. 2, оф. 5, 6</t>
        </is>
      </c>
      <c r="F165" s="20" t="inlineStr">
        <is>
          <t>http://www.fotonfly.ru</t>
        </is>
      </c>
      <c r="G165" s="15" t="inlineStr">
        <is>
          <t>info@fotonfly.ru</t>
        </is>
      </c>
      <c r="H165" s="15" t="inlineStr">
        <is>
          <t>Завод светодиодных хирургических светильников.</t>
        </is>
      </c>
      <c r="I165" s="15" t="inlineStr">
        <is>
          <t>Осветители хирургические</t>
        </is>
      </c>
      <c r="J165" s="15" t="inlineStr">
        <is>
          <t>Производитель</t>
        </is>
      </c>
      <c r="K165" s="15" t="inlineStr">
        <is>
          <t>OK</t>
        </is>
      </c>
      <c r="L165" s="15" t="inlineStr">
        <is>
          <t>осветители</t>
        </is>
      </c>
      <c r="M165" s="15" t="inlineStr">
        <is>
          <t>Фотон Флай</t>
        </is>
      </c>
      <c r="N165" s="15" t="inlineStr">
        <is>
          <t>Здравоохранение-2025</t>
        </is>
      </c>
      <c r="O165" s="20" t="inlineStr">
        <is>
          <t>https://icatalog.expocentr.ru/ru/exhibitions/de590dc5-417d-11ee-80ce-a0d3c1fab97f</t>
        </is>
      </c>
    </row>
    <row r="166">
      <c r="A166" s="15" t="inlineStr">
        <is>
          <t>ЭЛ МЕДИКАЛ, ООО</t>
        </is>
      </c>
      <c r="B166" s="21" t="n">
        <v>7e+35</v>
      </c>
      <c r="C166" s="15" t="inlineStr">
        <is>
          <t>Россия</t>
        </is>
      </c>
      <c r="D166" s="15" t="inlineStr">
        <is>
          <t>Москва</t>
        </is>
      </c>
      <c r="E166" s="15" t="inlineStr">
        <is>
          <t>Россия, 111020, г. Москва, ул. Сторожевая, д. 4, стр. 1</t>
        </is>
      </c>
      <c r="F166" s="20" t="inlineStr">
        <is>
          <t>http://www.el-medical.ru</t>
        </is>
      </c>
      <c r="G166" s="15" t="inlineStr">
        <is>
          <t>info@el-medical.ru</t>
        </is>
      </c>
      <c r="H166" s="15" t="inlineStr">
        <is>
          <t>EL Medical Group — динамично развивающаяся группа компаний, объединяющая направления хирургического оборудования и лабораторной диагностики. Компания поставляет продукцию ведущих мировых брендов: Medtronic, RZ Medizintechnik, Abbott, Radiometer и Xishan, а также сшивающие аппараты российского бренда «ЭНДОСПЕЙС».</t>
        </is>
      </c>
      <c r="I166" s="15" t="inlineStr">
        <is>
          <t>Отоскопы и лор-инструменты; Прочие изделия для лабораторий; Анализаторы; Эндоскопы жесткие; Хирургическое оборудование; Хирургические инструменты</t>
        </is>
      </c>
      <c r="J166" s="15" t="inlineStr">
        <is>
          <t>Дилер</t>
        </is>
      </c>
      <c r="K166" s="15" t="inlineStr">
        <is>
          <t>OK</t>
        </is>
      </c>
      <c r="L166" s="15" t="inlineStr">
        <is>
          <t>оборудование, анализаторы, эндоскопы и инструменты</t>
        </is>
      </c>
      <c r="M166" s="15" t="inlineStr">
        <is>
          <t>Эл Медикал</t>
        </is>
      </c>
      <c r="N166" s="15" t="inlineStr">
        <is>
          <t>Здравоохранение-2025</t>
        </is>
      </c>
      <c r="O166" s="20" t="inlineStr">
        <is>
          <t>https://icatalog.expocentr.ru/ru/exhibitions/de590dc5-417d-11ee-80ce-a0d3c1fab97f</t>
        </is>
      </c>
    </row>
    <row r="167">
      <c r="A167" s="15" t="inlineStr">
        <is>
          <t>РМ, ООО</t>
        </is>
      </c>
      <c r="B167" s="15" t="inlineStr">
        <is>
          <t>7B130</t>
        </is>
      </c>
      <c r="C167" s="15" t="inlineStr">
        <is>
          <t>Россия</t>
        </is>
      </c>
      <c r="D167" s="15" t="inlineStr">
        <is>
          <t>Мытищи</t>
        </is>
      </c>
      <c r="E167" s="15" t="inlineStr">
        <is>
          <t>Россия, 141006, Московская обл., г. Мытищи, Олимпийский просп., вл. 29, стр. 2, пом. 32, оф. 7</t>
        </is>
      </c>
      <c r="F167" s="20" t="inlineStr">
        <is>
          <t>http://www.rm-med.ru</t>
        </is>
      </c>
      <c r="G167" s="15" t="inlineStr">
        <is>
          <t>info@rm-med.ru</t>
        </is>
      </c>
      <c r="H167" s="15" t="inlineStr">
        <is>
          <t>Производство мебели для медицинских учреждений.</t>
        </is>
      </c>
      <c r="I167" s="15" t="inlineStr">
        <is>
          <t>Медицинская мебель</t>
        </is>
      </c>
      <c r="J167" s="15" t="inlineStr">
        <is>
          <t>Производитель</t>
        </is>
      </c>
      <c r="K167" s="15" t="inlineStr">
        <is>
          <t>OK</t>
        </is>
      </c>
      <c r="L167" s="15" t="inlineStr">
        <is>
          <t>мебель</t>
        </is>
      </c>
      <c r="M167" s="15" t="inlineStr">
        <is>
          <t>РМ</t>
        </is>
      </c>
      <c r="N167" s="15" t="inlineStr">
        <is>
          <t>Здравоохранение-2025</t>
        </is>
      </c>
      <c r="O167" s="20" t="inlineStr">
        <is>
          <t>https://icatalog.expocentr.ru/ru/exhibitions/de590dc5-417d-11ee-80ce-a0d3c1fab97f</t>
        </is>
      </c>
    </row>
    <row r="168">
      <c r="A168" s="15" t="inlineStr">
        <is>
          <t>ОНХС, ООО</t>
        </is>
      </c>
      <c r="B168" s="21" t="n">
        <v>7e+30</v>
      </c>
      <c r="C168" s="15" t="inlineStr">
        <is>
          <t>Россия</t>
        </is>
      </c>
      <c r="D168" s="15" t="inlineStr">
        <is>
          <t>Москва</t>
        </is>
      </c>
      <c r="E168" s="15" t="inlineStr">
        <is>
          <t>Россия, 125252, г. Москва, Ходынский б-р, д. 5, корп. 4, пом. 6/2</t>
        </is>
      </c>
      <c r="F168" s="20" t="inlineStr">
        <is>
          <t>http://www.onhs.ru</t>
        </is>
      </c>
      <c r="G168" s="15" t="inlineStr">
        <is>
          <t>info@onhs.ru</t>
        </is>
      </c>
      <c r="H168" s="15" t="inlineStr">
        <is>
          <t>Компания «ОНХ Системс» является российским производителем оборудования для систем медицинского газоснабжения (кислород, воздух, вакуум) и устройств для распределения и мониторинга газов в медицинских организациях.</t>
        </is>
      </c>
      <c r="I168" s="15" t="inlineStr">
        <is>
          <t>Оборудование для медицинских газов</t>
        </is>
      </c>
      <c r="J168" s="15" t="inlineStr">
        <is>
          <t>Производитель</t>
        </is>
      </c>
      <c r="K168" s="15" t="inlineStr">
        <is>
          <t>OK</t>
        </is>
      </c>
      <c r="L168" s="15" t="inlineStr">
        <is>
          <t>оборудование и устройства</t>
        </is>
      </c>
      <c r="M168" s="15" t="inlineStr">
        <is>
          <t>ОНХС</t>
        </is>
      </c>
      <c r="N168" s="15" t="inlineStr">
        <is>
          <t>Здравоохранение-2025</t>
        </is>
      </c>
      <c r="O168" s="20" t="inlineStr">
        <is>
          <t>https://icatalog.expocentr.ru/ru/exhibitions/de590dc5-417d-11ee-80ce-a0d3c1fab97f</t>
        </is>
      </c>
    </row>
    <row r="169">
      <c r="A169" s="15" t="inlineStr">
        <is>
          <t>ДЖЕНЕРАЛ МЕДИТЕЧ РУСКОМПАНИ, ООО</t>
        </is>
      </c>
      <c r="B169" s="15" t="inlineStr">
        <is>
          <t>7D050</t>
        </is>
      </c>
      <c r="C169" s="15" t="inlineStr">
        <is>
          <t>Россия</t>
        </is>
      </c>
      <c r="D169" s="15" t="inlineStr">
        <is>
          <t>Нижний Новгород</t>
        </is>
      </c>
      <c r="E169" s="15" t="inlineStr">
        <is>
          <t>Россия, 603163, г. Нижний Новгород, ул. Германа Лопатина, д. 3, пом. П4</t>
        </is>
      </c>
      <c r="F169" s="20" t="inlineStr">
        <is>
          <t>http://gm-med.ru</t>
        </is>
      </c>
      <c r="G169" s="15" t="inlineStr">
        <is>
          <t>office2@gm-med.ru</t>
        </is>
      </c>
      <c r="H169" s="15" t="inlineStr">
        <is>
          <t>«ДЖЕНЕРАЛ МЕДИТЕЧ РУСКОМПАНИ» — торгово-производственная компания, главныенаправления деятельности включают в себя акушерство, анестезиологию и реанимацию. Это — фетальные мониторы, визуализаторы вен, родовые кровати.</t>
        </is>
      </c>
      <c r="I169" s="15" t="inlineStr">
        <is>
          <t>Родовые кровати; Фетальные мониторы; Средства перевозки (перемещения) пациентов, оборудования и материалов; Ультразвуковые сканеры и диагностические системы; Мониторы пациента</t>
        </is>
      </c>
      <c r="J169" s="15" t="inlineStr">
        <is>
          <t>Производитель</t>
        </is>
      </c>
      <c r="K169" s="15" t="inlineStr">
        <is>
          <t>OK</t>
        </is>
      </c>
      <c r="L169" s="15" t="inlineStr">
        <is>
          <t>фетальные мониторы, визуализаторы вен и родовые кровати</t>
        </is>
      </c>
      <c r="M169" s="15" t="inlineStr">
        <is>
          <t>Дженерал Медитеч Рускомпани</t>
        </is>
      </c>
      <c r="N169" s="15" t="inlineStr">
        <is>
          <t>Здравоохранение-2025</t>
        </is>
      </c>
      <c r="O169" s="20" t="inlineStr">
        <is>
          <t>https://icatalog.expocentr.ru/ru/exhibitions/de590dc5-417d-11ee-80ce-a0d3c1fab97f</t>
        </is>
      </c>
    </row>
    <row r="170">
      <c r="A170" s="15" t="inlineStr">
        <is>
          <t>ДЕАЛМЕД, АО</t>
        </is>
      </c>
      <c r="B170" s="21" t="n">
        <v>7e+70</v>
      </c>
      <c r="C170" s="15" t="inlineStr">
        <is>
          <t>Россия</t>
        </is>
      </c>
      <c r="D170" s="15" t="inlineStr">
        <is>
          <t>Москва</t>
        </is>
      </c>
      <c r="E170" s="15" t="inlineStr">
        <is>
          <t>Россия, 117485, г. Москва, ул. Профсоюзная, д. 88/20</t>
        </is>
      </c>
      <c r="F170" s="20" t="inlineStr">
        <is>
          <t>http://www.dealmed.ru</t>
        </is>
      </c>
      <c r="G170" s="15" t="inlineStr">
        <is>
          <t>info@dealmed.ru</t>
        </is>
      </c>
      <c r="H170" s="15" t="inlineStr">
        <is>
          <t>«Деалмед» – это не просто поставщик, а проверенный партнер, который уже много лет занимает лидирующие позиции на российском рынке медицинского оборудования и расходных материалов.</t>
        </is>
      </c>
      <c r="I170" s="15" t="inlineStr">
        <is>
          <t>Инструменты гинекологические; Приборы и аппараты для офтальмодиагностики; Производство медицинских изделий; Отоскопы и лор-инструменты; Проктология; Хирургическое оборудование</t>
        </is>
      </c>
      <c r="J170" s="15" t="inlineStr">
        <is>
          <t>Производитель</t>
        </is>
      </c>
      <c r="K170" s="15" t="inlineStr">
        <is>
          <t>OK</t>
        </is>
      </c>
      <c r="L170" s="15" t="inlineStr">
        <is>
          <t>оборудование, инструменты и материалы</t>
        </is>
      </c>
      <c r="M170" s="15" t="inlineStr">
        <is>
          <t>Деалмед</t>
        </is>
      </c>
      <c r="N170" s="15" t="inlineStr">
        <is>
          <t>Здравоохранение-2025</t>
        </is>
      </c>
      <c r="O170" s="20" t="inlineStr">
        <is>
          <t>https://icatalog.expocentr.ru/ru/exhibitions/de590dc5-417d-11ee-80ce-a0d3c1fab97f</t>
        </is>
      </c>
    </row>
    <row r="171">
      <c r="A171" s="15" t="inlineStr">
        <is>
          <t>ТАЙРИКУ МОСКВА ЛТД, ООО</t>
        </is>
      </c>
      <c r="B171" s="21" t="n">
        <v>7e+122</v>
      </c>
      <c r="C171" s="15" t="inlineStr">
        <is>
          <t>Россия</t>
        </is>
      </c>
      <c r="D171" s="15" t="inlineStr">
        <is>
          <t>Москва</t>
        </is>
      </c>
      <c r="E171" s="15" t="inlineStr">
        <is>
          <t>Россия, г. Москва, ул. Коровий Вал, д. 7, стр. 1, оф. 12</t>
        </is>
      </c>
      <c r="F171" s="20" t="inlineStr">
        <is>
          <t>http://www.tairiku.info</t>
        </is>
      </c>
      <c r="G171" s="15" t="inlineStr">
        <is>
          <t>info@tairiku.info</t>
        </is>
      </c>
      <c r="H171" s="15" t="inlineStr">
        <is>
          <t>«Тайрику Москва Лтд» занимается разработкой и производством медицинских штор для больниц, а также поставкой оборудования и изделий из Японии таких брендов, как Kawashima Selkon, MACHIDA, Topcon.</t>
        </is>
      </c>
      <c r="I171" s="15" t="inlineStr">
        <is>
          <t>Приборы и аппараты для офтальмодиагностики; Прочее общебольничное оборудование; Производство медицинских изделий</t>
        </is>
      </c>
      <c r="J171" s="15" t="inlineStr">
        <is>
          <t>Производитель</t>
        </is>
      </c>
      <c r="K171" s="15" t="inlineStr">
        <is>
          <t>OK</t>
        </is>
      </c>
      <c r="L171" s="15" t="inlineStr">
        <is>
          <t>медицинские шторы, оборудование и изделия</t>
        </is>
      </c>
      <c r="M171" s="15" t="inlineStr">
        <is>
          <t>Тайрику Москва</t>
        </is>
      </c>
      <c r="N171" s="15" t="inlineStr">
        <is>
          <t>Здравоохранение-2025</t>
        </is>
      </c>
      <c r="O171" s="20" t="inlineStr">
        <is>
          <t>https://icatalog.expocentr.ru/ru/exhibitions/de590dc5-417d-11ee-80ce-a0d3c1fab97f</t>
        </is>
      </c>
    </row>
    <row r="172">
      <c r="A172" s="15" t="inlineStr">
        <is>
          <t>СЕНСАР</t>
        </is>
      </c>
      <c r="B172" s="21" t="n">
        <v>7e+124</v>
      </c>
      <c r="C172" s="15" t="inlineStr">
        <is>
          <t>Россия</t>
        </is>
      </c>
      <c r="D172" s="15" t="inlineStr">
        <is>
          <t>Москва</t>
        </is>
      </c>
      <c r="E172" s="15" t="inlineStr">
        <is>
          <t>Россия, 105122, г. Москва, Сиреневый б-р, д. 4, корп. 3, пом. 1/1</t>
        </is>
      </c>
      <c r="F172" s="20" t="inlineStr">
        <is>
          <t>https://sensar.su</t>
        </is>
      </c>
      <c r="G172" s="15" t="inlineStr">
        <is>
          <t>info@sensar.su</t>
        </is>
      </c>
      <c r="H172" s="15" t="inlineStr">
        <is>
          <t>ООО «СЕНСАР» — российский разработчик и производитель. Наш портфель включает в себя оборудование для анестезиологии и реанимации, видеоларингоскопы, решения для урологии и лапароскопической хирургии.</t>
        </is>
      </c>
      <c r="I172" s="15" t="inlineStr">
        <is>
          <t>Оборудование для урологической диагностики; Отоскопы и лор-инструменты; Оборудование и средства для лапароскопии; Средства для оказания экстренной медицинской помощи; Ларингоскопы; Наркозно-дыхательные аппараты</t>
        </is>
      </c>
      <c r="J172" s="15" t="inlineStr">
        <is>
          <t>Производитель</t>
        </is>
      </c>
      <c r="K172" s="15" t="inlineStr">
        <is>
          <t>OK</t>
        </is>
      </c>
      <c r="L172" s="15" t="inlineStr">
        <is>
          <t>оборудование для анестезиологии, ларингоскопы и наркозно-дыхательные аппараты</t>
        </is>
      </c>
      <c r="M172" s="15" t="inlineStr">
        <is>
          <t>Сенсар</t>
        </is>
      </c>
      <c r="N172" s="15" t="inlineStr">
        <is>
          <t>Здравоохранение-2025</t>
        </is>
      </c>
      <c r="O172" s="20" t="inlineStr">
        <is>
          <t>https://icatalog.expocentr.ru/ru/exhibitions/de590dc5-417d-11ee-80ce-a0d3c1fab97f</t>
        </is>
      </c>
    </row>
    <row r="173">
      <c r="A173" s="15" t="inlineStr">
        <is>
          <t>СОЛЕКС, ООО</t>
        </is>
      </c>
      <c r="B173" s="15" t="inlineStr">
        <is>
          <t>7D005</t>
        </is>
      </c>
      <c r="C173" s="15" t="inlineStr">
        <is>
          <t>Россия</t>
        </is>
      </c>
      <c r="D173" s="15" t="inlineStr">
        <is>
          <t>Мытищи</t>
        </is>
      </c>
      <c r="E173" s="15" t="inlineStr">
        <is>
          <t>Россия, 141006, Московская обл., г. Мытищи, Олимпийский просп., д. 29, стр. 2, пом. 32, оф. 15</t>
        </is>
      </c>
      <c r="F173" s="20" t="inlineStr">
        <is>
          <t>http://www.sol-ex.ru</t>
        </is>
      </c>
      <c r="G173" s="15" t="inlineStr">
        <is>
          <t>info@sol-ex.ru</t>
        </is>
      </c>
      <c r="H173" s="15" t="inlineStr">
        <is>
          <t>ООО «Солекс» — производитель и поставщик взрывозащищенного оборудования. Производитель систем электрообогрева. Эксклюзивный дистрибьютор Iconex — взрывозащищенные компьютеры, смартфоны.</t>
        </is>
      </c>
      <c r="I173" s="15" t="inlineStr">
        <is>
          <t>Медицинский инжиниринг; IT-инфраструктура / компьютерное оборудование / системы mHealth; Коммуникационные системы; Производство медицинских изделий; Комплектующие для производства медицинских изделий</t>
        </is>
      </c>
      <c r="J173" s="15" t="inlineStr">
        <is>
          <t>Производитель</t>
        </is>
      </c>
      <c r="K173" s="15" t="inlineStr">
        <is>
          <t>OK</t>
        </is>
      </c>
      <c r="L173" s="15" t="inlineStr">
        <is>
          <t>взрывозащищенное оборудование, системы электрообогрева и медицинские изделия</t>
        </is>
      </c>
      <c r="M173" s="15" t="inlineStr">
        <is>
          <t>Солекс</t>
        </is>
      </c>
      <c r="N173" s="15" t="inlineStr">
        <is>
          <t>Здравоохранение-2025</t>
        </is>
      </c>
      <c r="O173" s="20" t="inlineStr">
        <is>
          <t>https://icatalog.expocentr.ru/ru/exhibitions/de590dc5-417d-11ee-80ce-a0d3c1fab97f</t>
        </is>
      </c>
    </row>
    <row r="174">
      <c r="A174" s="15" t="inlineStr">
        <is>
          <t>LYNMOU MEDICAL</t>
        </is>
      </c>
      <c r="B174" s="15" t="inlineStr">
        <is>
          <t>7F070</t>
        </is>
      </c>
      <c r="C174" s="15" t="inlineStr">
        <is>
          <t>Россия</t>
        </is>
      </c>
      <c r="D174" s="15" t="inlineStr">
        <is>
          <t>Москва</t>
        </is>
      </c>
      <c r="E174" s="15" t="inlineStr">
        <is>
          <t>Россия, 115419, г. Москва, ул. Орджоникидзе, д. 11, стр. 1а</t>
        </is>
      </c>
      <c r="F174" s="15" t="n"/>
      <c r="G174" s="15" t="inlineStr">
        <is>
          <t>sputnikscope@gmail.com</t>
        </is>
      </c>
      <c r="H174" s="15" t="inlineStr">
        <is>
          <t>Mедицинская технологическая компания, специализирующаяся на разработке эндоскопического оборудования и связанных с ним технологий визуализации.</t>
        </is>
      </c>
      <c r="I174" s="15" t="inlineStr">
        <is>
          <t>Прочие диагностические устройства; Эндоскопы гибкие; Эндоскопические комплексы и системы</t>
        </is>
      </c>
      <c r="J174" s="15" t="inlineStr">
        <is>
          <t>Производитель</t>
        </is>
      </c>
      <c r="K174" s="15" t="inlineStr">
        <is>
          <t>OK</t>
        </is>
      </c>
      <c r="L174" s="15" t="inlineStr">
        <is>
          <t>диагностические устройства, гибкие эндоскопы и эндоскопические системы</t>
        </is>
      </c>
      <c r="M174" s="15" t="inlineStr">
        <is>
          <t>Lynmou Medical</t>
        </is>
      </c>
      <c r="N174" s="15" t="inlineStr">
        <is>
          <t>Здравоохранение-2025</t>
        </is>
      </c>
      <c r="O174" s="20" t="inlineStr">
        <is>
          <t>https://icatalog.expocentr.ru/ru/exhibitions/de590dc5-417d-11ee-80ce-a0d3c1fab97f</t>
        </is>
      </c>
    </row>
    <row r="175">
      <c r="A175" s="15" t="inlineStr">
        <is>
          <t>РусЭндо</t>
        </is>
      </c>
      <c r="B175" s="21" t="n">
        <v>7e+90</v>
      </c>
      <c r="C175" s="15" t="inlineStr">
        <is>
          <t>Россия</t>
        </is>
      </c>
      <c r="D175" s="15" t="inlineStr">
        <is>
          <t>Екатеринбург</t>
        </is>
      </c>
      <c r="E175" s="15" t="inlineStr">
        <is>
          <t>Россия, 620014, г. Екатеринбург, ул. Радищева, стр. 41, пом. 137</t>
        </is>
      </c>
      <c r="F175" s="15" t="n"/>
      <c r="G175" s="15" t="inlineStr">
        <is>
          <t>info@lidermedicina.ru</t>
        </is>
      </c>
      <c r="H175" s="15" t="inlineStr">
        <is>
          <t>Отечественный производитель медицинского оборудования для оснащения эндоскопического отделения: видеоэндоскопических систем, периферийного оборудования, оборудования для оснащения ЦСО.</t>
        </is>
      </c>
      <c r="I175" s="15" t="inlineStr">
        <is>
          <t>Производство медицинских изделий; Эндоскопы жесткие; Эндоскопы гибкие; Эндоскопические комплексы и системы; Инструменты и принадлежности для эндоскопии</t>
        </is>
      </c>
      <c r="J175" s="15" t="inlineStr">
        <is>
          <t>Производитель</t>
        </is>
      </c>
      <c r="K175" s="15" t="inlineStr">
        <is>
          <t>OK</t>
        </is>
      </c>
      <c r="L175" s="15" t="inlineStr">
        <is>
          <t>медицинское оборудование, видеоэндоскопические системы, эндоскопы, комплексы и инструменты</t>
        </is>
      </c>
      <c r="M175" s="15" t="inlineStr">
        <is>
          <t>РусЭндо</t>
        </is>
      </c>
      <c r="N175" s="15" t="inlineStr">
        <is>
          <t>Здравоохранение-2025</t>
        </is>
      </c>
      <c r="O175" s="20" t="inlineStr">
        <is>
          <t>https://icatalog.expocentr.ru/ru/exhibitions/de590dc5-417d-11ee-80ce-a0d3c1fab97f</t>
        </is>
      </c>
    </row>
    <row r="176">
      <c r="A176" s="15" t="inlineStr">
        <is>
          <t>СОВРЕМЕННЫЕ ТОРГОВЫЕ РЕШЕНИЯ, ООО</t>
        </is>
      </c>
      <c r="B176" s="15" t="inlineStr">
        <is>
          <t>7C155</t>
        </is>
      </c>
      <c r="C176" s="15" t="inlineStr">
        <is>
          <t>Россия</t>
        </is>
      </c>
      <c r="D176" s="15" t="inlineStr">
        <is>
          <t>Москва</t>
        </is>
      </c>
      <c r="E176" s="15" t="inlineStr">
        <is>
          <t>Россия, 108807, г. Москва, Филимонковский р-н, пос. Птичное, ул. Центральная, д. 1, оф. 24</t>
        </is>
      </c>
      <c r="F176" s="20" t="inlineStr">
        <is>
          <t>http://www.optmebel.ru</t>
        </is>
      </c>
      <c r="G176" s="15" t="inlineStr">
        <is>
          <t>an@medmebel.ru</t>
        </is>
      </c>
      <c r="H176" s="15" t="inlineStr">
        <is>
          <t>Компания «СТР» более 10 лет является одним из ведущих российских производителей медицинской, лабораторной, специализированной мебели и оборудования. Производство компании расположено в Москве.</t>
        </is>
      </c>
      <c r="I176" s="15" t="inlineStr">
        <is>
          <t>Мебель для стоматологических кабинетов; Медицинская мебель; Производство медицинских изделий; Лабораторная мебель</t>
        </is>
      </c>
      <c r="J176" s="15" t="inlineStr">
        <is>
          <t>Производитель</t>
        </is>
      </c>
      <c r="K176" s="15" t="inlineStr">
        <is>
          <t>OK</t>
        </is>
      </c>
      <c r="L176" s="15" t="inlineStr">
        <is>
          <t>мебель, оборудование и медицинские изделия</t>
        </is>
      </c>
      <c r="M176" s="15" t="inlineStr">
        <is>
          <t>Современные Торговые Решения</t>
        </is>
      </c>
      <c r="N176" s="15" t="inlineStr">
        <is>
          <t>Здравоохранение-2025</t>
        </is>
      </c>
      <c r="O176" s="20" t="inlineStr">
        <is>
          <t>https://icatalog.expocentr.ru/ru/exhibitions/de590dc5-417d-11ee-80ce-a0d3c1fab97f</t>
        </is>
      </c>
    </row>
    <row r="177">
      <c r="A177" s="15" t="inlineStr">
        <is>
          <t>АСК, МЕДИЦИНСКАЯ КОМПАНИЯ, ООО</t>
        </is>
      </c>
      <c r="B177" s="21" t="n">
        <v>7e+140</v>
      </c>
      <c r="C177" s="15" t="inlineStr">
        <is>
          <t>Россия</t>
        </is>
      </c>
      <c r="D177" s="15" t="inlineStr">
        <is>
          <t>Нижний Новгород</t>
        </is>
      </c>
      <c r="E177" s="15" t="inlineStr">
        <is>
          <t>Россия, 603016, г. Нижний Новгород, ул. Героя Юрия Смирнова, д. 13, кв. 230</t>
        </is>
      </c>
      <c r="F177" s="20" t="inlineStr">
        <is>
          <t>http://tdask.ru</t>
        </is>
      </c>
      <c r="G177" s="15" t="inlineStr">
        <is>
          <t>info@tdask.ru</t>
        </is>
      </c>
      <c r="H177" s="15" t="inlineStr">
        <is>
          <t>ООО МК «АСК» — производитель медицинской мебели и оборудования с 20-летним опытом. Компания занимается изготовлением широкого перечня мебели для больниц, клиник, медицинских центров, КДЛ.</t>
        </is>
      </c>
      <c r="I177" s="15" t="inlineStr">
        <is>
          <t>Медицинская мебель; Кушетки медицинские; Столы массажные; Средства перевозки (перемещения) пациентов, оборудования и материалов; Прочее общебольничное оборудование; Лабораторная мебель</t>
        </is>
      </c>
      <c r="J177" s="15" t="inlineStr">
        <is>
          <t>Производитель</t>
        </is>
      </c>
      <c r="K177" s="15" t="inlineStr">
        <is>
          <t>OK</t>
        </is>
      </c>
      <c r="L177" s="15" t="inlineStr">
        <is>
          <t>медицинская и лабораторная мебель, кушетки, столы массажные, средства перевозки</t>
        </is>
      </c>
      <c r="M177" s="15" t="inlineStr">
        <is>
          <t>АСК</t>
        </is>
      </c>
      <c r="N177" s="15" t="inlineStr">
        <is>
          <t>Здравоохранение-2025</t>
        </is>
      </c>
      <c r="O177" s="20" t="inlineStr">
        <is>
          <t>https://icatalog.expocentr.ru/ru/exhibitions/de590dc5-417d-11ee-80ce-a0d3c1fab97f</t>
        </is>
      </c>
    </row>
    <row r="178">
      <c r="A178" s="15" t="inlineStr">
        <is>
          <t>ЗДОРОВЫЙ МИР, ООО</t>
        </is>
      </c>
      <c r="B178" s="15" t="inlineStr">
        <is>
          <t>7A070</t>
        </is>
      </c>
      <c r="C178" s="15" t="inlineStr">
        <is>
          <t>Россия</t>
        </is>
      </c>
      <c r="D178" s="15" t="inlineStr">
        <is>
          <t>Санкт-Петербург</t>
        </is>
      </c>
      <c r="E178" s="15" t="inlineStr">
        <is>
          <t>Россия, 195197, г. Санкт-Петербург, ул. Жукова, д. 18, литера Д</t>
        </is>
      </c>
      <c r="F178" s="20" t="inlineStr">
        <is>
          <t>http://www.zmir.ru</t>
        </is>
      </c>
      <c r="G178" s="15" t="inlineStr">
        <is>
          <t>marketing@zmir.ru</t>
        </is>
      </c>
      <c r="H178" s="15" t="inlineStr">
        <is>
          <t>Компания «Здоровый Мир» — российский производитель и поставщик гинекологических микроскопов (кольпоскопов) брендов MEDPRIBOR и «Здоровый Мир», эксклюзивный партнер бренда Labomed на территории РФ и СНГ.</t>
        </is>
      </c>
      <c r="I178" s="15" t="inlineStr">
        <is>
          <t>Диагностическое оборудование для гинекологии</t>
        </is>
      </c>
      <c r="J178" s="15" t="inlineStr">
        <is>
          <t>Производитель</t>
        </is>
      </c>
      <c r="K178" s="15" t="inlineStr">
        <is>
          <t>OK</t>
        </is>
      </c>
      <c r="L178" s="15" t="inlineStr">
        <is>
          <t>микроскопы, кольпоскопы и диагностическое оборудование</t>
        </is>
      </c>
      <c r="M178" s="15" t="inlineStr">
        <is>
          <t>Здоровый Мир</t>
        </is>
      </c>
      <c r="N178" s="15" t="inlineStr">
        <is>
          <t>Здравоохранение-2025</t>
        </is>
      </c>
      <c r="O178" s="20" t="inlineStr">
        <is>
          <t>https://icatalog.expocentr.ru/ru/exhibitions/de590dc5-417d-11ee-80ce-a0d3c1fab97f</t>
        </is>
      </c>
    </row>
    <row r="179">
      <c r="A179" s="15" t="inlineStr">
        <is>
          <t>СОНОСКЕЙП, ООО</t>
        </is>
      </c>
      <c r="B179" s="15" t="inlineStr">
        <is>
          <t>7B010</t>
        </is>
      </c>
      <c r="C179" s="15" t="inlineStr">
        <is>
          <t>Россия</t>
        </is>
      </c>
      <c r="D179" s="15" t="inlineStr">
        <is>
          <t>Москва</t>
        </is>
      </c>
      <c r="E179" s="15" t="inlineStr">
        <is>
          <t>Россия, 119435, г. Москва, вн. тер. г. м. о. Хамовники, ул. Малая Пироговская, д. 13, стр. 1, оф. 318</t>
        </is>
      </c>
      <c r="F179" s="20" t="inlineStr">
        <is>
          <t>http://www.sonoscape.ru</t>
        </is>
      </c>
      <c r="G179" s="15" t="inlineStr">
        <is>
          <t>pr@sonoscape.ru</t>
        </is>
      </c>
      <c r="H179" s="15" t="inlineStr">
        <is>
          <t>Официальный дистрибьютор ультразвуковых диагностических систем и видеоэндоскопических систем SonoScape на территории России.</t>
        </is>
      </c>
      <c r="I179" s="15" t="inlineStr">
        <is>
          <t>Ультразвуковые сканеры и диагностические системы; Эндоскопы жесткие; Эндоскопы гибкие</t>
        </is>
      </c>
      <c r="J179" s="15" t="inlineStr">
        <is>
          <t>Дилер</t>
        </is>
      </c>
      <c r="K179" s="15" t="inlineStr">
        <is>
          <t>OK</t>
        </is>
      </c>
      <c r="L179" s="15" t="inlineStr">
        <is>
          <t>ультразвуковые системы и эндоскопы</t>
        </is>
      </c>
      <c r="M179" s="15" t="inlineStr">
        <is>
          <t>Соноскейп</t>
        </is>
      </c>
      <c r="N179" s="15" t="inlineStr">
        <is>
          <t>Здравоохранение-2025</t>
        </is>
      </c>
      <c r="O179" s="20" t="inlineStr">
        <is>
          <t>https://icatalog.expocentr.ru/ru/exhibitions/de590dc5-417d-11ee-80ce-a0d3c1fab97f</t>
        </is>
      </c>
    </row>
    <row r="180">
      <c r="A180" s="15" t="inlineStr">
        <is>
          <t>СОНОСКЕЙП МЕДИЦИНА РУС, ООО</t>
        </is>
      </c>
      <c r="B180" s="15" t="inlineStr">
        <is>
          <t>7B015</t>
        </is>
      </c>
      <c r="C180" s="15" t="inlineStr">
        <is>
          <t>Россия</t>
        </is>
      </c>
      <c r="D180" s="15" t="inlineStr">
        <is>
          <t>Казань</t>
        </is>
      </c>
      <c r="E180" s="15" t="inlineStr">
        <is>
          <t>Россия, 420108, Республика Татарстан, г. Казань, ул. Мазита Гафури, д. 50, этаж 1, пом. 38</t>
        </is>
      </c>
      <c r="F180" s="20" t="inlineStr">
        <is>
          <t>http://www.sonoscape.com</t>
        </is>
      </c>
      <c r="G180" s="15" t="inlineStr">
        <is>
          <t>russia@sonoscape.net</t>
        </is>
      </c>
      <c r="H180" s="15" t="inlineStr">
        <is>
          <t>Официальное российское представительство производителя ультразвуковых и видеоэндоскопических систем SonoScape Medical Corporation (Китай).</t>
        </is>
      </c>
      <c r="I180" s="15" t="inlineStr">
        <is>
          <t>Ультразвуковые сканеры и диагностические системы; Эндоскопы жесткие; Эндоскопы гибкие; Эндоскопические комплексы и системы; Инструменты и принадлежности для эндоскопии</t>
        </is>
      </c>
      <c r="J180" s="15" t="inlineStr">
        <is>
          <t>Дилер</t>
        </is>
      </c>
      <c r="K180" s="15" t="inlineStr">
        <is>
          <t>OK</t>
        </is>
      </c>
      <c r="L180" s="15" t="inlineStr">
        <is>
          <t>сканеры, эндоскопы и инструменты</t>
        </is>
      </c>
      <c r="M180" s="15" t="inlineStr">
        <is>
          <t>Соноскейп Медицина Рус</t>
        </is>
      </c>
      <c r="N180" s="15" t="inlineStr">
        <is>
          <t>Здравоохранение-2025</t>
        </is>
      </c>
      <c r="O180" s="20" t="inlineStr">
        <is>
          <t>https://icatalog.expocentr.ru/ru/exhibitions/de590dc5-417d-11ee-80ce-a0d3c1fab97f</t>
        </is>
      </c>
    </row>
    <row r="181">
      <c r="A181" s="15" t="inlineStr">
        <is>
          <t>ЭКВИП, КОМПАНИЯ, ООО</t>
        </is>
      </c>
      <c r="B181" s="15" t="inlineStr">
        <is>
          <t>7D155</t>
        </is>
      </c>
      <c r="C181" s="15" t="inlineStr">
        <is>
          <t>Россия</t>
        </is>
      </c>
      <c r="D181" s="15" t="inlineStr">
        <is>
          <t>Москва</t>
        </is>
      </c>
      <c r="E181" s="15" t="inlineStr">
        <is>
          <t>Россия, 115516, г. Москва, ул. Промышленная, д. 11, стр. 2, пом. XII, комн. 9</t>
        </is>
      </c>
      <c r="F181" s="20" t="inlineStr">
        <is>
          <t>http://www.eq-vip.cafe</t>
        </is>
      </c>
      <c r="G181" s="15" t="inlineStr">
        <is>
          <t>info@eq-vip.cafe</t>
        </is>
      </c>
      <c r="H181" s="15" t="inlineStr">
        <is>
          <t>Проектируем и оснащаем пищеблоки по системе «таблет-питание». Занимаемся разработкой и производством в России термоподносов, посуды и оборудования для больниц, в том числе детских.</t>
        </is>
      </c>
      <c r="I181" s="15" t="inlineStr">
        <is>
          <t>Медицинская мебель; Средства перевозки (перемещения) пациентов, оборудования и материалов; Оборудование для пищеблока</t>
        </is>
      </c>
      <c r="J181" s="15" t="inlineStr">
        <is>
          <t>Производитель</t>
        </is>
      </c>
      <c r="K181" s="15" t="inlineStr">
        <is>
          <t>OK</t>
        </is>
      </c>
      <c r="L181" s="15" t="inlineStr">
        <is>
          <t>термоподносы, посуда, оборудование, медицинская мебель и средства перевозки</t>
        </is>
      </c>
      <c r="M181" s="15" t="inlineStr">
        <is>
          <t>Эквип, Компания</t>
        </is>
      </c>
      <c r="N181" s="15" t="inlineStr">
        <is>
          <t>Здравоохранение-2025</t>
        </is>
      </c>
      <c r="O181" s="20" t="inlineStr">
        <is>
          <t>https://icatalog.expocentr.ru/ru/exhibitions/de590dc5-417d-11ee-80ce-a0d3c1fab97f</t>
        </is>
      </c>
    </row>
    <row r="182">
      <c r="A182" s="15" t="inlineStr">
        <is>
          <t>АКСИОН, КОНЦЕРН, ООО</t>
        </is>
      </c>
      <c r="B182" s="15" t="inlineStr">
        <is>
          <t>7D030</t>
        </is>
      </c>
      <c r="C182" s="15" t="inlineStr">
        <is>
          <t>Россия</t>
        </is>
      </c>
      <c r="D182" s="15" t="inlineStr">
        <is>
          <t>Ижевск</t>
        </is>
      </c>
      <c r="E182" s="15" t="inlineStr">
        <is>
          <t>Россия, 426008, Удмуртская Республика, г. Ижевск, ул. Максима Горького, д. 90</t>
        </is>
      </c>
      <c r="F182" s="20" t="inlineStr">
        <is>
          <t>http://www.axion-med.ru</t>
        </is>
      </c>
      <c r="G182" s="15" t="inlineStr">
        <is>
          <t>med@c.axion.ru</t>
        </is>
      </c>
      <c r="H182" s="15" t="inlineStr">
        <is>
          <t>«Аксион» производит более 25 наименований медицинских изделий по таким направлениям, как реанимация, кардиология, хирургия, неонатология и физиотерапия. Предприятие осуществляет полный цикл производства.</t>
        </is>
      </c>
      <c r="I182" s="15" t="inlineStr">
        <is>
          <t>Оборудование для мониторинга функций сердечно-сосудистой системы; Фототерапевтические системы; Средства для оказания экстренной медицинской помощи; Аппараты для искусственной вентиляции легких; Дефибрилляторы; Вакуумные экстракторы, аспираторы</t>
        </is>
      </c>
      <c r="J182" s="15" t="inlineStr">
        <is>
          <t>Производитель</t>
        </is>
      </c>
      <c r="K182" s="15" t="inlineStr">
        <is>
          <t>OK</t>
        </is>
      </c>
      <c r="L182" s="15" t="inlineStr">
        <is>
          <t>медицинские изделия, дефибрилляторы, аспираторы и экстракторы</t>
        </is>
      </c>
      <c r="M182" s="15" t="inlineStr">
        <is>
          <t>АКСИОН Концерн</t>
        </is>
      </c>
      <c r="N182" s="15" t="inlineStr">
        <is>
          <t>Здравоохранение-2025</t>
        </is>
      </c>
      <c r="O182" s="20" t="inlineStr">
        <is>
          <t>https://icatalog.expocentr.ru/ru/exhibitions/de590dc5-417d-11ee-80ce-a0d3c1fab97f</t>
        </is>
      </c>
    </row>
    <row r="183">
      <c r="A183" s="15" t="inlineStr">
        <is>
          <t>Ippon</t>
        </is>
      </c>
      <c r="B183" s="15" t="inlineStr">
        <is>
          <t>7D040</t>
        </is>
      </c>
      <c r="C183" s="15" t="inlineStr">
        <is>
          <t>Россия</t>
        </is>
      </c>
      <c r="D183" s="15" t="inlineStr">
        <is>
          <t>Красногорск</t>
        </is>
      </c>
      <c r="E183" s="15" t="inlineStr">
        <is>
          <t>Россия, 143401, Московская обл., г. Красногорск, б-р Строителей, д. 4, корп. 1, этаж 8, каб. 819</t>
        </is>
      </c>
      <c r="F183" s="20" t="inlineStr">
        <is>
          <t>https://ippon.ru</t>
        </is>
      </c>
      <c r="G183" s="15" t="inlineStr">
        <is>
          <t>pr@ippon.ru</t>
        </is>
      </c>
      <c r="H183" s="15" t="inlineStr">
        <is>
          <t>Ippon — ведущий бренд в России, предлагающий широкий выбор источников бесперебойного питания для защиты электроники: от домашних устройств до профессиональных систем для бизнеса.</t>
        </is>
      </c>
      <c r="I183" s="15" t="inlineStr">
        <is>
          <t>Стоматологическое оборудование и инструменты; Оборудование для цифровой стоматологии; Стоматологическая рентгенодиагностическая аппаратура; Рентгеновские диагностические установки, передвижные и стационарные; Компьютерные томографы; ПЭТ</t>
        </is>
      </c>
      <c r="J183" s="15" t="inlineStr">
        <is>
          <t>Дилер</t>
        </is>
      </c>
      <c r="K183" s="15" t="inlineStr">
        <is>
          <t>OK</t>
        </is>
      </c>
      <c r="L183" s="15" t="inlineStr">
        <is>
          <t>источники бесперебойного питания</t>
        </is>
      </c>
      <c r="M183" s="15" t="inlineStr">
        <is>
          <t>Ippon</t>
        </is>
      </c>
      <c r="N183" s="15" t="inlineStr">
        <is>
          <t>Здравоохранение-2025</t>
        </is>
      </c>
      <c r="O183" s="20" t="inlineStr">
        <is>
          <t>https://icatalog.expocentr.ru/ru/exhibitions/de590dc5-417d-11ee-80ce-a0d3c1fab97f</t>
        </is>
      </c>
    </row>
    <row r="184">
      <c r="A184" s="15" t="inlineStr">
        <is>
          <t>ДИАЛОГ КОМПЛЕКТ</t>
        </is>
      </c>
      <c r="B184" s="15" t="inlineStr">
        <is>
          <t>7D145</t>
        </is>
      </c>
      <c r="C184" s="15" t="inlineStr">
        <is>
          <t>Россия</t>
        </is>
      </c>
      <c r="D184" s="15" t="inlineStr">
        <is>
          <t>Москва</t>
        </is>
      </c>
      <c r="E184" s="15" t="inlineStr">
        <is>
          <t>Россия, г. Москва, ул. Малая Почтовая, д. 2/2, стр. 8</t>
        </is>
      </c>
      <c r="F184" s="20" t="inlineStr">
        <is>
          <t>http://www.ooo-dialog.ru</t>
        </is>
      </c>
      <c r="G184" s="15" t="inlineStr">
        <is>
          <t>vs@ooo-dialog.ru</t>
        </is>
      </c>
      <c r="H184" s="15" t="inlineStr">
        <is>
          <t>Компания «Диалог Комплект» производит термоподносы, посуду для таблет-питания, телеги для перевозки, проектирует, поставляет пищевое оборудование, монтирует, обучает, внедряет в больницы под ключ.</t>
        </is>
      </c>
      <c r="I184" s="15" t="inlineStr">
        <is>
          <t>Оборудование для пищеблока</t>
        </is>
      </c>
      <c r="J184" s="15" t="inlineStr">
        <is>
          <t>Производитель</t>
        </is>
      </c>
      <c r="K184" s="15" t="inlineStr">
        <is>
          <t>OK</t>
        </is>
      </c>
      <c r="L184" s="15" t="inlineStr">
        <is>
          <t>термоподносы, посуда, телеги и пищевое оборудование</t>
        </is>
      </c>
      <c r="M184" s="15" t="inlineStr">
        <is>
          <t>Диалог Комплект</t>
        </is>
      </c>
      <c r="N184" s="15" t="inlineStr">
        <is>
          <t>Здравоохранение-2025</t>
        </is>
      </c>
      <c r="O184" s="20" t="inlineStr">
        <is>
          <t>https://icatalog.expocentr.ru/ru/exhibitions/de590dc5-417d-11ee-80ce-a0d3c1fab97f</t>
        </is>
      </c>
    </row>
    <row r="185">
      <c r="A185" s="15" t="inlineStr">
        <is>
          <t>ЭЛЕКТРОНТЕСТ, ГРУППА КОМПАНИЙ</t>
        </is>
      </c>
      <c r="B185" s="15" t="inlineStr">
        <is>
          <t>7D060</t>
        </is>
      </c>
      <c r="C185" s="15" t="inlineStr">
        <is>
          <t>Россия</t>
        </is>
      </c>
      <c r="D185" s="15" t="inlineStr">
        <is>
          <t>Москва</t>
        </is>
      </c>
      <c r="E185" s="15" t="inlineStr">
        <is>
          <t>Россия, 125414, г. Москва, ул. Клинская, д. 6, оф. 212</t>
        </is>
      </c>
      <c r="F185" s="20" t="inlineStr">
        <is>
          <t>https://electrontest-grp.ru</t>
        </is>
      </c>
      <c r="G185" s="15" t="inlineStr">
        <is>
          <t>electron-test@yandex.ru</t>
        </is>
      </c>
      <c r="H185" s="15" t="inlineStr">
        <is>
          <t>Производство и поставка медицинских изделий. Комплексная регистрация МИ в ЕАЭС и отдельных государствах по национальным правилам. Испытания в собственных лабораториях: технические, ЭМС, токсикологические. Изготовление испытательного оборудования.</t>
        </is>
      </c>
      <c r="I185" s="15" t="inlineStr">
        <is>
          <t>Аналитика рынка, консалтинг; Испытательные лаборатории, органы по сертификации, метрологические центры; Производство медицинских изделий</t>
        </is>
      </c>
      <c r="J185" s="15" t="inlineStr">
        <is>
          <t>Производитель</t>
        </is>
      </c>
      <c r="K185" s="15" t="inlineStr">
        <is>
          <t>OK</t>
        </is>
      </c>
      <c r="L185" s="15" t="inlineStr">
        <is>
          <t>медицинские изделия и испытательное оборудование</t>
        </is>
      </c>
      <c r="M185" s="15" t="inlineStr">
        <is>
          <t>Электронтест</t>
        </is>
      </c>
      <c r="N185" s="15" t="inlineStr">
        <is>
          <t>Здравоохранение-2025</t>
        </is>
      </c>
      <c r="O185" s="20" t="inlineStr">
        <is>
          <t>https://icatalog.expocentr.ru/ru/exhibitions/de590dc5-417d-11ee-80ce-a0d3c1fab97f</t>
        </is>
      </c>
    </row>
    <row r="186">
      <c r="A186" s="15" t="inlineStr">
        <is>
          <t>МЕДКЛЮЧ, ООО</t>
        </is>
      </c>
      <c r="B186" s="15" t="inlineStr">
        <is>
          <t>7C010</t>
        </is>
      </c>
      <c r="C186" s="15" t="inlineStr">
        <is>
          <t>Россия</t>
        </is>
      </c>
      <c r="D186" s="15" t="inlineStr">
        <is>
          <t>Ростов-на-Дону</t>
        </is>
      </c>
      <c r="E186" s="15" t="inlineStr">
        <is>
          <t>Россия, 344022, г. Ростов-на-Дону, ул. Максима Горького, д. 245</t>
        </is>
      </c>
      <c r="F186" s="20" t="inlineStr">
        <is>
          <t>https://medklych.ru</t>
        </is>
      </c>
      <c r="G186" s="15" t="inlineStr">
        <is>
          <t>info@medklych.ru</t>
        </is>
      </c>
      <c r="H186" s="15" t="inlineStr">
        <is>
          <t>17 лет на рынке продаж медицинского оборудования. Входим в список 50 крупных поставщиков рынка госзаказа. Имеем продукцию как мировых зарубежных, так и ведущих отечественных производителей.</t>
        </is>
      </c>
      <c r="I186" s="15" t="inlineStr">
        <is>
          <t>Диагностическое оборудование для гинекологии; Фетальные мониторы; Инкубаторы и открытые реанимационные системы; Рентгеновские диагностические установки, передвижные и стационарные; Компьютерные томографы; Флюорографы; Ультразвуковые сканеры и диагностические системы; Эндоскопы гибкие; Эндоскопические комплексы и системы; Мониторы пациента; Наркозно-дыхательные аппараты</t>
        </is>
      </c>
      <c r="J186" s="15" t="inlineStr">
        <is>
          <t>Дилер</t>
        </is>
      </c>
      <c r="K186" s="15" t="inlineStr">
        <is>
          <t>OK</t>
        </is>
      </c>
      <c r="L186" s="15" t="inlineStr">
        <is>
          <t>диагностическое оборудование, мониторы, томографы, эндоскопы и аппараты</t>
        </is>
      </c>
      <c r="M186" s="15" t="inlineStr">
        <is>
          <t>Медключ</t>
        </is>
      </c>
      <c r="N186" s="15" t="inlineStr">
        <is>
          <t>Здравоохранение-2025</t>
        </is>
      </c>
      <c r="O186" s="20" t="inlineStr">
        <is>
          <t>https://icatalog.expocentr.ru/ru/exhibitions/de590dc5-417d-11ee-80ce-a0d3c1fab97f</t>
        </is>
      </c>
    </row>
    <row r="187">
      <c r="A187" s="15" t="inlineStr">
        <is>
          <t>ЕВРОМЕДСЕРВИС, ООО</t>
        </is>
      </c>
      <c r="B187" s="15" t="inlineStr">
        <is>
          <t>7A010</t>
        </is>
      </c>
      <c r="C187" s="15" t="inlineStr">
        <is>
          <t>Россия</t>
        </is>
      </c>
      <c r="D187" s="15" t="inlineStr">
        <is>
          <t>Москва</t>
        </is>
      </c>
      <c r="E187" s="15" t="inlineStr">
        <is>
          <t>Россия, 125424, г. Москва, Волоколамское ш., д. 73, этаж 3, пом. I, комн. 31, 33</t>
        </is>
      </c>
      <c r="F187" s="20" t="inlineStr">
        <is>
          <t>http://www.euromedservice.org</t>
        </is>
      </c>
      <c r="G187" s="15" t="inlineStr">
        <is>
          <t>euromedservice@bk.ru</t>
        </is>
      </c>
      <c r="H187" s="15" t="inlineStr">
        <is>
          <t>Предлагаем системные решения для реанимации, скорой помощи и респираторной поддержки.Эксклюзивный дистрибьютор Amoul®, специализируемся на оборудовании для проведения СЛР Е6.</t>
        </is>
      </c>
      <c r="I187" s="15" t="inlineStr">
        <is>
          <t>Спасательное оборудование и снаряжение; Дефибрилляторы; Комплекты реанимационного оборудования</t>
        </is>
      </c>
      <c r="J187" s="15" t="inlineStr">
        <is>
          <t>Дилер</t>
        </is>
      </c>
      <c r="K187" s="15" t="inlineStr">
        <is>
          <t>OK</t>
        </is>
      </c>
      <c r="L187" s="15" t="inlineStr">
        <is>
          <t>спасательное оборудование, дефибрилляторы и реанимационные комплекты</t>
        </is>
      </c>
      <c r="M187" s="15" t="inlineStr">
        <is>
          <t>Евромедсервис</t>
        </is>
      </c>
      <c r="N187" s="15" t="inlineStr">
        <is>
          <t>Здравоохранение-2025</t>
        </is>
      </c>
      <c r="O187" s="20" t="inlineStr">
        <is>
          <t>https://icatalog.expocentr.ru/ru/exhibitions/de590dc5-417d-11ee-80ce-a0d3c1fab97f</t>
        </is>
      </c>
    </row>
    <row r="188">
      <c r="A188" s="15" t="inlineStr">
        <is>
          <t>ДОКТОР МЕБЕЛЬ, ООО</t>
        </is>
      </c>
      <c r="B188" s="15" t="inlineStr">
        <is>
          <t>7C130</t>
        </is>
      </c>
      <c r="C188" s="15" t="inlineStr">
        <is>
          <t>Россия</t>
        </is>
      </c>
      <c r="D188" s="15" t="inlineStr">
        <is>
          <t>Москва</t>
        </is>
      </c>
      <c r="E188" s="15" t="inlineStr">
        <is>
          <t>Россия, 108811, г. Москва, Киевское ш., 22-й км (пос. Московский), д. 4/4, оф. 511/1Д</t>
        </is>
      </c>
      <c r="F188" s="20" t="inlineStr">
        <is>
          <t>http://www.doctormebel.ru</t>
        </is>
      </c>
      <c r="G188" s="15" t="inlineStr">
        <is>
          <t>info@doctormebel.ru</t>
        </is>
      </c>
      <c r="H188" s="15" t="inlineStr">
        <is>
          <t>ООО «Доктор Мебель» представляет комплексный подход к организации медицинских пространств, где технологии встречаются с комфортом.</t>
        </is>
      </c>
      <c r="I188" s="15" t="inlineStr">
        <is>
          <t>Медицинская мебель; Кушетки медицинские</t>
        </is>
      </c>
      <c r="J188" s="15" t="inlineStr">
        <is>
          <t>Производитель</t>
        </is>
      </c>
      <c r="K188" s="15" t="inlineStr">
        <is>
          <t>OK</t>
        </is>
      </c>
      <c r="L188" s="15" t="inlineStr">
        <is>
          <t>медицинская мебель и кушетки</t>
        </is>
      </c>
      <c r="M188" s="15" t="inlineStr">
        <is>
          <t>Доктор Мебель</t>
        </is>
      </c>
      <c r="N188" s="15" t="inlineStr">
        <is>
          <t>Здравоохранение-2025</t>
        </is>
      </c>
      <c r="O188" s="20" t="inlineStr">
        <is>
          <t>https://icatalog.expocentr.ru/ru/exhibitions/de590dc5-417d-11ee-80ce-a0d3c1fab97f</t>
        </is>
      </c>
    </row>
    <row r="189">
      <c r="A189" s="15" t="inlineStr">
        <is>
          <t>ЛЕГИОН, ООО</t>
        </is>
      </c>
      <c r="B189" s="15" t="inlineStr">
        <is>
          <t>7F060</t>
        </is>
      </c>
      <c r="C189" s="15" t="inlineStr">
        <is>
          <t>Россия</t>
        </is>
      </c>
      <c r="D189" s="15" t="inlineStr">
        <is>
          <t>Санкт-Петербург</t>
        </is>
      </c>
      <c r="E189" s="15" t="inlineStr">
        <is>
          <t>Россия, 198152, г. Санкт-Петербург, ул. Краснопутиловская, д. 69, литера А, пом. 157-н, оф. 651.1В</t>
        </is>
      </c>
      <c r="F189" s="20" t="inlineStr">
        <is>
          <t>http://www.legion.ru</t>
        </is>
      </c>
      <c r="G189" s="15" t="inlineStr">
        <is>
          <t>welcome@legion.ru</t>
        </is>
      </c>
      <c r="H189" s="15" t="inlineStr">
        <is>
          <t>Системный интегратор ГК «Легион» с 1994 года специализируется на поставках систем печати и AV-оборудования для различных областей применения: в полиграфии, медицине, промышленном и финансовом секторе.</t>
        </is>
      </c>
      <c r="I189" s="15" t="inlineStr">
        <is>
          <t>Прочие диагностические устройства; Поставка медицинского оборудования и расходных материалов; Вспомогательное оборудование; Операционные микроскопы и видеоустройства</t>
        </is>
      </c>
      <c r="J189" s="15" t="inlineStr">
        <is>
          <t>Дилер</t>
        </is>
      </c>
      <c r="K189" s="15" t="inlineStr">
        <is>
          <t>OK</t>
        </is>
      </c>
      <c r="L189" s="15" t="inlineStr">
        <is>
          <t>системы печати, AV-оборудование, медицинское оборудование и расходные материалы</t>
        </is>
      </c>
      <c r="M189" s="15" t="inlineStr">
        <is>
          <t>Легион</t>
        </is>
      </c>
      <c r="N189" s="15" t="inlineStr">
        <is>
          <t>Здравоохранение-2025</t>
        </is>
      </c>
      <c r="O189" s="20" t="inlineStr">
        <is>
          <t>https://icatalog.expocentr.ru/ru/exhibitions/de590dc5-417d-11ee-80ce-a0d3c1fab97f</t>
        </is>
      </c>
    </row>
    <row r="190">
      <c r="A190" s="15" t="inlineStr">
        <is>
          <t>БУРЕЕВА ВЛАДИСЛАВА ИГОРЕВНА, ИП</t>
        </is>
      </c>
      <c r="B190" s="15" t="inlineStr">
        <is>
          <t>7F140</t>
        </is>
      </c>
      <c r="C190" s="15" t="inlineStr">
        <is>
          <t>Россия</t>
        </is>
      </c>
      <c r="D190" s="15" t="inlineStr">
        <is>
          <t>Южно-Сахалинск</t>
        </is>
      </c>
      <c r="E190" s="15" t="inlineStr">
        <is>
          <t>Россия, 693000, Сахалинская обл., г. Южно-Сахалинск</t>
        </is>
      </c>
      <c r="F190" s="15" t="n"/>
      <c r="G190" s="15" t="inlineStr">
        <is>
          <t>alex_petoukhov@mail.ru</t>
        </is>
      </c>
      <c r="H190" s="15" t="inlineStr">
        <is>
          <t>Мы представляем на российском рынке системы линейных приводов немецкой марки DEWERT и колеса китайской марки ZOGO для российского производства надежной технологичной медицинской мебели и оборудования.</t>
        </is>
      </c>
      <c r="I190" s="15" t="inlineStr">
        <is>
          <t>Медицинская мебель; Производство медицинских изделий; Комплектующие для производства медицинских изделий</t>
        </is>
      </c>
      <c r="J190" s="15" t="inlineStr">
        <is>
          <t>Дилер</t>
        </is>
      </c>
      <c r="K190" s="15" t="inlineStr">
        <is>
          <t>OK</t>
        </is>
      </c>
      <c r="L190" s="15" t="inlineStr">
        <is>
          <t>системы приводов, колеса и комплектующие</t>
        </is>
      </c>
      <c r="M190" s="15" t="inlineStr">
        <is>
          <t>ИП Буреева</t>
        </is>
      </c>
      <c r="N190" s="15" t="inlineStr">
        <is>
          <t>Здравоохранение-2025</t>
        </is>
      </c>
      <c r="O190" s="20" t="inlineStr">
        <is>
          <t>https://icatalog.expocentr.ru/ru/exhibitions/de590dc5-417d-11ee-80ce-a0d3c1fab97f</t>
        </is>
      </c>
    </row>
    <row r="191">
      <c r="A191" s="15" t="inlineStr">
        <is>
          <t>МЕДГРЕЙД, ООО</t>
        </is>
      </c>
      <c r="B191" s="15" t="inlineStr">
        <is>
          <t>7C090</t>
        </is>
      </c>
      <c r="C191" s="15" t="inlineStr">
        <is>
          <t>Россия</t>
        </is>
      </c>
      <c r="D191" s="15" t="inlineStr">
        <is>
          <t>Москва</t>
        </is>
      </c>
      <c r="E191" s="15" t="inlineStr">
        <is>
          <t>Россия, 105122, г. Москва, Щёлковское ш., д. 5, стр. 1, оф. 619</t>
        </is>
      </c>
      <c r="F191" s="20" t="inlineStr">
        <is>
          <t>http://www.medgrade.pro</t>
        </is>
      </c>
      <c r="G191" s="15" t="inlineStr">
        <is>
          <t>info@medgrade.pro</t>
        </is>
      </c>
      <c r="H191" s="15" t="inlineStr">
        <is>
          <t>Являемся официальным представителем рентгенов Perlove в России. Поставляем современное медоборудование: от подбора до ввода в эксплуатацию с гарантией качества и сервисным обслуживанием.</t>
        </is>
      </c>
      <c r="I191" s="15" t="inlineStr">
        <is>
          <t>Рентгеновские диагностические установки, передвижные и стационарные; Ультразвуковые сканеры и диагностические системы; Эндоскопы гибкие; Аппараты для искусственной вентиляции легких; Наркозно-дыхательные аппараты; Операционные столы</t>
        </is>
      </c>
      <c r="J191" s="15" t="inlineStr">
        <is>
          <t>Дилер</t>
        </is>
      </c>
      <c r="K191" s="15" t="inlineStr">
        <is>
          <t>OK</t>
        </is>
      </c>
      <c r="L191" s="15" t="inlineStr">
        <is>
          <t>рентгены, сканеры, эндоскопы и аппараты ИВЛ</t>
        </is>
      </c>
      <c r="M191" s="15" t="inlineStr">
        <is>
          <t>Медгрейд</t>
        </is>
      </c>
      <c r="N191" s="15" t="inlineStr">
        <is>
          <t>Здравоохранение-2025</t>
        </is>
      </c>
      <c r="O191" s="20" t="inlineStr">
        <is>
          <t>https://icatalog.expocentr.ru/ru/exhibitions/de590dc5-417d-11ee-80ce-a0d3c1fab97f</t>
        </is>
      </c>
    </row>
    <row r="192">
      <c r="A192" s="15" t="inlineStr">
        <is>
          <t>ДОКТОР ДИСКАУНТ, ООО</t>
        </is>
      </c>
      <c r="B192" s="21" t="n">
        <v>7e+20</v>
      </c>
      <c r="C192" s="15" t="inlineStr">
        <is>
          <t>Россия</t>
        </is>
      </c>
      <c r="D192" s="15" t="inlineStr">
        <is>
          <t>Москва</t>
        </is>
      </c>
      <c r="E192" s="15" t="inlineStr">
        <is>
          <t>Россия, 125040, г. Москва, вн. тер. г. м. о. Беговой, Ленинградский просп., д. 24, стр. 3</t>
        </is>
      </c>
      <c r="F192" s="20" t="inlineStr">
        <is>
          <t>http://www.dr-d.ru</t>
        </is>
      </c>
      <c r="G192" s="15" t="inlineStr">
        <is>
          <t>info@dr-d.ru</t>
        </is>
      </c>
      <c r="H192" s="15" t="inlineStr">
        <is>
          <t>«Доктор Дискаунт» – эксклюзивный представитель немецкого бренда Tontarra, официальный поставщик профессионального медицинского оборудования, хирургического инструмента мировых брендов на российский рынок.</t>
        </is>
      </c>
      <c r="I192" s="15" t="inlineStr">
        <is>
          <t>Эндоскопы жесткие; Инструменты и принадлежности для эндоскопии; Хирургическое оборудование; Электрохирургические аппараты; Хирургические инструменты; Осветители налобные с бинокулярными лупами</t>
        </is>
      </c>
      <c r="J192" s="15" t="inlineStr">
        <is>
          <t>Дилер</t>
        </is>
      </c>
      <c r="K192" s="15" t="inlineStr">
        <is>
          <t>OK</t>
        </is>
      </c>
      <c r="L192" s="15" t="inlineStr">
        <is>
          <t>медицинское оборудование, хирургические инструменты и эндоскопы</t>
        </is>
      </c>
      <c r="M192" s="15" t="inlineStr">
        <is>
          <t>Доктор Дискаунт</t>
        </is>
      </c>
      <c r="N192" s="15" t="inlineStr">
        <is>
          <t>Здравоохранение-2025</t>
        </is>
      </c>
      <c r="O192" s="20" t="inlineStr">
        <is>
          <t>https://icatalog.expocentr.ru/ru/exhibitions/de590dc5-417d-11ee-80ce-a0d3c1fab97f</t>
        </is>
      </c>
    </row>
    <row r="193">
      <c r="A193" s="15" t="inlineStr">
        <is>
          <t>ДИГИТАЛ ВЕБ, ООО</t>
        </is>
      </c>
      <c r="B193" s="15" t="inlineStr">
        <is>
          <t>7A140</t>
        </is>
      </c>
      <c r="C193" s="15" t="inlineStr">
        <is>
          <t>Россия</t>
        </is>
      </c>
      <c r="D193" s="15" t="inlineStr">
        <is>
          <t>Москва</t>
        </is>
      </c>
      <c r="E193" s="15" t="inlineStr">
        <is>
          <t>Россия, 127018, г. Москва, вн. тер. г. м. о. Марьина Роща, ул. Полковая, д. 3, стр. 2, пом. 1B/6</t>
        </is>
      </c>
      <c r="F193" s="20" t="inlineStr">
        <is>
          <t>http://www.medprivod.com</t>
        </is>
      </c>
      <c r="G193" s="15" t="inlineStr">
        <is>
          <t>actuator@neomailbox.net</t>
        </is>
      </c>
      <c r="H193" s="15" t="inlineStr">
        <is>
          <t>Приводы для медицинской мебели Med-i-Drive, производитель Jiecang.</t>
        </is>
      </c>
      <c r="I193" s="15" t="inlineStr">
        <is>
          <t>Приборы и аппараты для офтальмодиагностики; Стоматологическое оборудование и инструменты; Производство медицинских изделий; Комплектующие для производства медицинских изделий; Рентгеновские диагностические установки, передвижные и стационарные; Операционные столы</t>
        </is>
      </c>
      <c r="J193" s="15" t="inlineStr">
        <is>
          <t>Производитель</t>
        </is>
      </c>
      <c r="K193" s="15" t="inlineStr">
        <is>
          <t>OK</t>
        </is>
      </c>
      <c r="L193" s="15" t="inlineStr">
        <is>
          <t>приводы, оборудование, комплектующие и столы</t>
        </is>
      </c>
      <c r="M193" s="15" t="inlineStr">
        <is>
          <t>Дигитал Веб</t>
        </is>
      </c>
      <c r="N193" s="15" t="inlineStr">
        <is>
          <t>Здравоохранение-2025</t>
        </is>
      </c>
      <c r="O193" s="20" t="inlineStr">
        <is>
          <t>https://icatalog.expocentr.ru/ru/exhibitions/de590dc5-417d-11ee-80ce-a0d3c1fab97f</t>
        </is>
      </c>
    </row>
    <row r="194">
      <c r="A194" s="15" t="inlineStr">
        <is>
          <t>ЮНИТИ-М, ООО</t>
        </is>
      </c>
      <c r="B194" s="15" t="inlineStr">
        <is>
          <t>7C020</t>
        </is>
      </c>
      <c r="C194" s="15" t="inlineStr">
        <is>
          <t>Россия</t>
        </is>
      </c>
      <c r="D194" s="15" t="inlineStr">
        <is>
          <t>Москва</t>
        </is>
      </c>
      <c r="E194" s="15" t="inlineStr">
        <is>
          <t>Россия, 127015, г. Москва, ул. Новодмитровская, д. 2Б, этаж 2, пом. VIII, комн. 16</t>
        </is>
      </c>
      <c r="F194" s="20" t="inlineStr">
        <is>
          <t>http://www.unity-m.pro</t>
        </is>
      </c>
      <c r="G194" s="15" t="inlineStr">
        <is>
          <t>info@unity-m.pro</t>
        </is>
      </c>
      <c r="H194" s="15" t="inlineStr">
        <is>
          <t>Создаем чистые помещения — проектирование, 3D-моделирование, производство и монтаж. Модуль медицинский климатизированный, монтаж системы медицинского газоснабжения, поставка медицинского оборудования.</t>
        </is>
      </c>
      <c r="I194" s="15" t="inlineStr">
        <is>
          <t>Прочее общебольничное оборудование; Проектирование, производство, монтаж, валидация чистых операционных и реанимационных; Проектирование и оснащение медицинских учреждений под ключ; Поставка медицинского оборудования и расходных материалов; Оборудование для медицинских газов; Потолочные консоли</t>
        </is>
      </c>
      <c r="J194" s="15" t="inlineStr">
        <is>
          <t>Производитель</t>
        </is>
      </c>
      <c r="K194" s="15" t="inlineStr">
        <is>
          <t>OK</t>
        </is>
      </c>
      <c r="L194" s="15" t="inlineStr">
        <is>
          <t>модули, оборудование, консоли</t>
        </is>
      </c>
      <c r="M194" s="15" t="inlineStr">
        <is>
          <t>Юнити-М</t>
        </is>
      </c>
      <c r="N194" s="15" t="inlineStr">
        <is>
          <t>Здравоохранение-2025</t>
        </is>
      </c>
      <c r="O194" s="20" t="inlineStr">
        <is>
          <t>https://icatalog.expocentr.ru/ru/exhibitions/de590dc5-417d-11ee-80ce-a0d3c1fab97f</t>
        </is>
      </c>
    </row>
    <row r="195">
      <c r="A195" s="15" t="inlineStr">
        <is>
          <t>ПРОМЕТ, НПО, ООО</t>
        </is>
      </c>
      <c r="B195" s="15" t="inlineStr">
        <is>
          <t>7B120</t>
        </is>
      </c>
      <c r="C195" s="15" t="inlineStr">
        <is>
          <t>Россия</t>
        </is>
      </c>
      <c r="D195" s="15" t="inlineStr">
        <is>
          <t>Узловая</t>
        </is>
      </c>
      <c r="E195" s="15" t="inlineStr">
        <is>
          <t>Россия, 301602, Тульская обл., г. Узловая, ул. Дубовская, д. 2а</t>
        </is>
      </c>
      <c r="F195" s="20" t="inlineStr">
        <is>
          <t>http://www.safe.ru</t>
        </is>
      </c>
      <c r="G195" s="15" t="inlineStr">
        <is>
          <t>mo@promet.ru</t>
        </is>
      </c>
      <c r="H195" s="15" t="inlineStr">
        <is>
          <t>Производство медицинской мебели HILFE. Шкафы, тумбы, процедурные столики, кровати, тележки для перевозки больных, для скорой помощи, массажные столы, сейфы-термостаты для хранения медсредств.</t>
        </is>
      </c>
      <c r="I195" s="15" t="inlineStr">
        <is>
          <t>Медицинская мебель; Кушетки медицинские; Столы массажные; Средства перевозки (перемещения) пациентов, оборудования и материалов; Прочее общебольничное оборудование</t>
        </is>
      </c>
      <c r="J195" s="15" t="inlineStr">
        <is>
          <t>Производитель</t>
        </is>
      </c>
      <c r="K195" s="15" t="inlineStr">
        <is>
          <t>OK</t>
        </is>
      </c>
      <c r="L195" s="15" t="inlineStr">
        <is>
          <t>медицинская мебель, кушетки и столы</t>
        </is>
      </c>
      <c r="M195" s="15" t="inlineStr">
        <is>
          <t>ПРОМЕТ</t>
        </is>
      </c>
      <c r="N195" s="15" t="inlineStr">
        <is>
          <t>Здравоохранение-2025</t>
        </is>
      </c>
      <c r="O195" s="20" t="inlineStr">
        <is>
          <t>https://icatalog.expocentr.ru/ru/exhibitions/de590dc5-417d-11ee-80ce-a0d3c1fab97f</t>
        </is>
      </c>
    </row>
    <row r="196">
      <c r="A196" s="15" t="inlineStr">
        <is>
          <t>КАРДИОМЕД, ООО</t>
        </is>
      </c>
      <c r="B196" s="15" t="inlineStr">
        <is>
          <t>7C015</t>
        </is>
      </c>
      <c r="C196" s="15" t="inlineStr">
        <is>
          <t>Россия</t>
        </is>
      </c>
      <c r="D196" s="15" t="inlineStr">
        <is>
          <t>Москва</t>
        </is>
      </c>
      <c r="E196" s="15" t="inlineStr">
        <is>
          <t>Россия, 119285, г. Москва, вн. тер. г. м. о. Раменки, ул. МЖД Киевское, 5-й километр, д. 1, стр. 1, пом. 32/1</t>
        </is>
      </c>
      <c r="F196" s="20" t="inlineStr">
        <is>
          <t>http://www.cardiomed.su</t>
        </is>
      </c>
      <c r="G196" s="15" t="inlineStr">
        <is>
          <t>info@cardiomed.su</t>
        </is>
      </c>
      <c r="H196" s="15" t="inlineStr">
        <is>
          <t>«КардиоМед» — дистрибьютор медицинских изделий и оборудования крупнейших международных производителей. За 19 лет работы компания успешно выполнила более тысячи государственных и муниципальных контрактов, включая комплексное оснащение ЛПУ.«КардиоМед» также является эксклюзивным дистрибьютором фетальных мониторов и доплеров, инкубаторов для новорожденных и аппаратов интенсивной фототерапии, экспресс-анализаторов кислотно-щелочного состояния, гликогемоглобина, маркеров воспаления и сердечно-сосудистых патологий производителей из Южной Кореи и Китая.</t>
        </is>
      </c>
      <c r="I196" s="15" t="inlineStr">
        <is>
          <t>Фетальные мониторы; Инкубаторы и открытые реанимационные системы; Фототерапевтические системы; Производство медицинских изделий; Анализаторы; Ортезы</t>
        </is>
      </c>
      <c r="J196" s="15" t="inlineStr">
        <is>
          <t>Дилер</t>
        </is>
      </c>
      <c r="K196" s="15" t="inlineStr">
        <is>
          <t>OK</t>
        </is>
      </c>
      <c r="L196" s="15" t="inlineStr">
        <is>
          <t>медицинские изделия, оборудование, анализаторы, ортезы</t>
        </is>
      </c>
      <c r="M196" s="15" t="inlineStr">
        <is>
          <t>Кардиомед</t>
        </is>
      </c>
      <c r="N196" s="15" t="inlineStr">
        <is>
          <t>Здравоохранение-2025</t>
        </is>
      </c>
      <c r="O196" s="20" t="inlineStr">
        <is>
          <t>https://icatalog.expocentr.ru/ru/exhibitions/de590dc5-417d-11ee-80ce-a0d3c1fab97f</t>
        </is>
      </c>
    </row>
    <row r="197">
      <c r="A197" s="15" t="inlineStr">
        <is>
          <t>ВЗМО, АО</t>
        </is>
      </c>
      <c r="B197" s="15" t="inlineStr">
        <is>
          <t>7D153</t>
        </is>
      </c>
      <c r="C197" s="15" t="inlineStr">
        <is>
          <t>Россия</t>
        </is>
      </c>
      <c r="D197" s="15" t="inlineStr">
        <is>
          <t>Волгоград</t>
        </is>
      </c>
      <c r="E197" s="15" t="inlineStr">
        <is>
          <t>Россия, 400002, г. Волгоград, ул. Революционная, д. 57а, оф. 12</t>
        </is>
      </c>
      <c r="F197" s="20" t="inlineStr">
        <is>
          <t>http://www.vzmo.su</t>
        </is>
      </c>
      <c r="G197" s="15" t="inlineStr">
        <is>
          <t>info@vzmo.su</t>
        </is>
      </c>
      <c r="H197" s="15" t="inlineStr">
        <is>
          <t>ВЗМО — производственная компания с традициями и историей. На сегодняшний день является одной из наиболее технологичных, эффективных и конкурентных в области производства медицинской мебели.</t>
        </is>
      </c>
      <c r="I197" s="15" t="inlineStr">
        <is>
          <t>Мебель для стоматологических кабинетов; Медицинская мебель; Производство медицинских изделий</t>
        </is>
      </c>
      <c r="J197" s="15" t="inlineStr">
        <is>
          <t>Производитель</t>
        </is>
      </c>
      <c r="K197" s="15" t="inlineStr">
        <is>
          <t>OK</t>
        </is>
      </c>
      <c r="L197" s="15" t="inlineStr">
        <is>
          <t>медицинская мебель, мебель для стоматологических кабинетов и медицинские изделия</t>
        </is>
      </c>
      <c r="M197" s="15" t="inlineStr">
        <is>
          <t>ВЗМО</t>
        </is>
      </c>
      <c r="N197" s="15" t="inlineStr">
        <is>
          <t>Здравоохранение-2025</t>
        </is>
      </c>
      <c r="O197" s="20" t="inlineStr">
        <is>
          <t>https://icatalog.expocentr.ru/ru/exhibitions/de590dc5-417d-11ee-80ce-a0d3c1fab97f</t>
        </is>
      </c>
    </row>
    <row r="198">
      <c r="A198" s="15" t="inlineStr">
        <is>
          <t>МЕДБИЗНЕССЕРВИС, ООО</t>
        </is>
      </c>
      <c r="B198" s="21" t="n">
        <v>7e+65</v>
      </c>
      <c r="C198" s="15" t="inlineStr">
        <is>
          <t>Россия</t>
        </is>
      </c>
      <c r="D198" s="15" t="inlineStr">
        <is>
          <t>Москва</t>
        </is>
      </c>
      <c r="E198" s="15" t="inlineStr">
        <is>
          <t>Россия, 105187, г. Москва, вн. тер. г. м. о. Соколиная Гора, Окружной пр-д, д. 30а</t>
        </is>
      </c>
      <c r="F198" s="20" t="inlineStr">
        <is>
          <t>http://www.rusmbs.ru</t>
        </is>
      </c>
      <c r="G198" s="15" t="inlineStr">
        <is>
          <t>info@rusmbs.ru</t>
        </is>
      </c>
      <c r="H198" s="15" t="inlineStr">
        <is>
          <t>Оптовая продажа медицинского оборудования для операционного блока и диагностического оборудования.</t>
        </is>
      </c>
      <c r="I198" s="15" t="inlineStr">
        <is>
          <t>Операционные столы; Потолочные консоли; Осветители хирургические; Ортопедическое оборудование и инструменты</t>
        </is>
      </c>
      <c r="J198" s="15" t="inlineStr">
        <is>
          <t>Дилер</t>
        </is>
      </c>
      <c r="K198" s="15" t="inlineStr">
        <is>
          <t>OK</t>
        </is>
      </c>
      <c r="L198" s="15" t="inlineStr">
        <is>
          <t>медицинское оборудование, операционные столы, потолочные консоли, осветители, ортопедическое оборудование и инструменты</t>
        </is>
      </c>
      <c r="M198" s="15" t="inlineStr">
        <is>
          <t>Медбизнессервис</t>
        </is>
      </c>
      <c r="N198" s="15" t="inlineStr">
        <is>
          <t>Здравоохранение-2025</t>
        </is>
      </c>
      <c r="O198" s="20" t="inlineStr">
        <is>
          <t>https://icatalog.expocentr.ru/ru/exhibitions/de590dc5-417d-11ee-80ce-a0d3c1fab97f</t>
        </is>
      </c>
    </row>
    <row r="199">
      <c r="A199" s="15" t="inlineStr">
        <is>
          <t>ДИАКОМС, ООО</t>
        </is>
      </c>
      <c r="B199" s="15" t="inlineStr">
        <is>
          <t>7F150</t>
        </is>
      </c>
      <c r="C199" s="15" t="inlineStr">
        <is>
          <t>Россия</t>
        </is>
      </c>
      <c r="D199" s="15" t="inlineStr">
        <is>
          <t>Москва</t>
        </is>
      </c>
      <c r="E199" s="15" t="inlineStr">
        <is>
          <t>Россия, 109382, г. Москва, ул. Нижние Поля, д. 29, стр. 1, оф. 1</t>
        </is>
      </c>
      <c r="F199" s="20" t="inlineStr">
        <is>
          <t>http://www.diacoms.ru</t>
        </is>
      </c>
      <c r="G199" s="15" t="inlineStr">
        <is>
          <t>diakoms@inbox.ru</t>
        </is>
      </c>
      <c r="H199" s="15" t="inlineStr">
        <is>
          <t>ООО «Диакомс» — московский производитель медицинской мебели и оборудования, номенклатура насчитывает более 45 видов изделий: шкафы, кушетки, столики, тележки для перевозки больных и грузов, ростомеры и т. д.</t>
        </is>
      </c>
      <c r="I199" s="15" t="inlineStr">
        <is>
          <t>Гинекологические кресла; Родовые кровати; Медицинская мебель; Кушетки медицинские; Столы массажные; Производство медицинских изделий</t>
        </is>
      </c>
      <c r="J199" s="15" t="inlineStr">
        <is>
          <t>Производитель</t>
        </is>
      </c>
      <c r="K199" s="15" t="inlineStr">
        <is>
          <t>OK</t>
        </is>
      </c>
      <c r="L199" s="15" t="inlineStr">
        <is>
          <t>медицинская мебель, кушетки, столики, ростомеры и кресла</t>
        </is>
      </c>
      <c r="M199" s="15" t="inlineStr">
        <is>
          <t>Диакомс</t>
        </is>
      </c>
      <c r="N199" s="15" t="inlineStr">
        <is>
          <t>Здравоохранение-2025</t>
        </is>
      </c>
      <c r="O199" s="20" t="inlineStr">
        <is>
          <t>https://icatalog.expocentr.ru/ru/exhibitions/de590dc5-417d-11ee-80ce-a0d3c1fab97f</t>
        </is>
      </c>
    </row>
    <row r="200">
      <c r="A200" s="15" t="inlineStr">
        <is>
          <t>СМАРТКОЛЛ, НАО</t>
        </is>
      </c>
      <c r="B200" s="21" t="n">
        <v>70000000000</v>
      </c>
      <c r="C200" s="15" t="inlineStr">
        <is>
          <t>Россия</t>
        </is>
      </c>
      <c r="D200" s="15" t="inlineStr">
        <is>
          <t>Москва</t>
        </is>
      </c>
      <c r="E200" s="15" t="inlineStr">
        <is>
          <t>Россия, 115114, г. Москва, вн. тер. г. м. о. Замоскворечье, ул. Летниковская, д. 16, пом. 1/1</t>
        </is>
      </c>
      <c r="F200" s="20" t="inlineStr">
        <is>
          <t>https://smcall.ru</t>
        </is>
      </c>
      <c r="G200" s="15" t="inlineStr">
        <is>
          <t>office@smcall.ru</t>
        </is>
      </c>
      <c r="H200" s="15" t="inlineStr">
        <is>
          <t>«СМАРТКОЛЛ» — российский производитель IP палатной сигнализации и системы часофикации. Мы спасаем жизни, обеспечивая безупрeчную связь между пациентом и персоналом, когда каждая секунда на счету. Легкое проектирование и установка. Сервис без выходных. Нам доверяют лучшие клиники. Сделано в России — для России.</t>
        </is>
      </c>
      <c r="I200" s="15" t="inlineStr">
        <is>
          <t>IT-инфраструктура / компьютерное оборудование / системы mHealth; Коммуникационные системы</t>
        </is>
      </c>
      <c r="J200" s="15" t="inlineStr">
        <is>
          <t>Производитель</t>
        </is>
      </c>
      <c r="K200" s="15" t="inlineStr">
        <is>
          <t>OK</t>
        </is>
      </c>
      <c r="L200" s="15" t="inlineStr">
        <is>
          <t>системы сигнализации и системы часофикации</t>
        </is>
      </c>
      <c r="M200" s="15" t="inlineStr">
        <is>
          <t>Смартколл</t>
        </is>
      </c>
      <c r="N200" s="15" t="inlineStr">
        <is>
          <t>Здравоохранение-2025</t>
        </is>
      </c>
      <c r="O200" s="20" t="inlineStr">
        <is>
          <t>https://icatalog.expocentr.ru/ru/exhibitions/de590dc5-417d-11ee-80ce-a0d3c1fab97f</t>
        </is>
      </c>
    </row>
    <row r="201">
      <c r="A201" s="15" t="inlineStr">
        <is>
          <t>ЛИДЕР-М, ООО</t>
        </is>
      </c>
      <c r="B201" s="15" t="inlineStr">
        <is>
          <t>7D120</t>
        </is>
      </c>
      <c r="C201" s="15" t="inlineStr">
        <is>
          <t>Россия</t>
        </is>
      </c>
      <c r="D201" s="15" t="inlineStr">
        <is>
          <t>Москва</t>
        </is>
      </c>
      <c r="E201" s="15" t="inlineStr">
        <is>
          <t>Россия, 117246, г. Москва, вн. тер. г. м. о. Черёмушки, Научный пр-д, д. 17, пом. 33/7</t>
        </is>
      </c>
      <c r="F201" s="20" t="inlineStr">
        <is>
          <t>https://nitrocare.com.ru</t>
        </is>
      </c>
      <c r="G201" s="15" t="inlineStr">
        <is>
          <t>info@nitrocare.com.ru</t>
        </is>
      </c>
      <c r="H201" s="15" t="inlineStr">
        <is>
          <t>Комплексное оснащение медицинских учреждений. Производство и поставка медицинских многофункциональных кроватей, кушеток, каталок, кресел-каталок и прочего.</t>
        </is>
      </c>
      <c r="I201" s="15" t="inlineStr">
        <is>
          <t>Родовые кровати; Медицинская мебель; Кушетки медицинские; Средства перевозки (перемещения) пациентов, оборудования и материалов; Физиотерапия и реабилитация; Реабилитационное оборудование</t>
        </is>
      </c>
      <c r="J201" s="15" t="inlineStr">
        <is>
          <t>Производитель</t>
        </is>
      </c>
      <c r="K201" s="15" t="inlineStr">
        <is>
          <t>OK</t>
        </is>
      </c>
      <c r="L201" s="15" t="inlineStr">
        <is>
          <t>кровати, кушетки, каталки и кресла-каталки</t>
        </is>
      </c>
      <c r="M201" s="15" t="inlineStr">
        <is>
          <t>Лидер-М</t>
        </is>
      </c>
      <c r="N201" s="15" t="inlineStr">
        <is>
          <t>Здравоохранение-2025</t>
        </is>
      </c>
      <c r="O201" s="20" t="inlineStr">
        <is>
          <t>https://icatalog.expocentr.ru/ru/exhibitions/de590dc5-417d-11ee-80ce-a0d3c1fab97f</t>
        </is>
      </c>
    </row>
    <row r="202">
      <c r="A202" s="15" t="inlineStr">
        <is>
          <t>ЯДРОМЕД, ООО</t>
        </is>
      </c>
      <c r="B202" s="21" t="n">
        <v>7e+110</v>
      </c>
      <c r="C202" s="15" t="inlineStr">
        <is>
          <t>Россия</t>
        </is>
      </c>
      <c r="D202" s="15" t="inlineStr">
        <is>
          <t>Ростов-на-Дону</t>
        </is>
      </c>
      <c r="E202" s="15" t="inlineStr">
        <is>
          <t>Россия, 344092, г. Ростов-на-Дону, ул. Волкова, д. 39, кв. 100</t>
        </is>
      </c>
      <c r="F202" s="20" t="inlineStr">
        <is>
          <t>http://www.yadromed.ru</t>
        </is>
      </c>
      <c r="G202" s="15" t="inlineStr">
        <is>
          <t>info@yadromed.ru</t>
        </is>
      </c>
      <c r="H202" s="15" t="inlineStr">
        <is>
          <t>Разработчик и производитель уникальной отечественной системы внутрикостного доступа Р-КД.</t>
        </is>
      </c>
      <c r="I202" s="15" t="inlineStr">
        <is>
          <t>Приборы и принадлежности для кардиографических исследований; Нейрофизиологическое оборудование; Средства для оказания экстренной медицинской помощи; Вакуумные экстракторы, аспираторы</t>
        </is>
      </c>
      <c r="J202" s="15" t="inlineStr">
        <is>
          <t>Производитель</t>
        </is>
      </c>
      <c r="K202" s="15" t="inlineStr">
        <is>
          <t>OK</t>
        </is>
      </c>
      <c r="L202" s="15" t="inlineStr">
        <is>
          <t>медицинские приборы, оборудование и средства помощи</t>
        </is>
      </c>
      <c r="M202" s="15" t="inlineStr">
        <is>
          <t>Ядромед</t>
        </is>
      </c>
      <c r="N202" s="15" t="inlineStr">
        <is>
          <t>Здравоохранение-2025</t>
        </is>
      </c>
      <c r="O202" s="20" t="inlineStr">
        <is>
          <t>https://icatalog.expocentr.ru/ru/exhibitions/de590dc5-417d-11ee-80ce-a0d3c1fab97f</t>
        </is>
      </c>
    </row>
    <row r="203">
      <c r="A203" s="15" t="inlineStr">
        <is>
          <t>ЛОМО, АО</t>
        </is>
      </c>
      <c r="B203" s="15" t="inlineStr">
        <is>
          <t>7D130</t>
        </is>
      </c>
      <c r="C203" s="15" t="inlineStr">
        <is>
          <t>Россия</t>
        </is>
      </c>
      <c r="D203" s="15" t="inlineStr">
        <is>
          <t>Санкт-Петербург</t>
        </is>
      </c>
      <c r="E203" s="15" t="inlineStr">
        <is>
          <t>Россия, 194044, г. Санкт-Петербург, ул. Чугунная, д. 20</t>
        </is>
      </c>
      <c r="F203" s="20" t="inlineStr">
        <is>
          <t>http://www.lomo.ru</t>
        </is>
      </c>
      <c r="G203" s="15" t="inlineStr">
        <is>
          <t>lomo@lomo.ru</t>
        </is>
      </c>
      <c r="H203" s="15" t="inlineStr">
        <is>
          <t>АО «ЛОМО» - единственное предприятие в РФ, имеющее полный цикл производства гибких медицинских эндоскопов. В рамках импортозамещения мы предлагаем высококачественную отечественную продукцию, соответствующую современным стандартам качества. АО «ЛОМО» стремится к постоянному развитию и совершенствованию производства медицинской техники, предлагая рынку продуктивные и инновационные решения.</t>
        </is>
      </c>
      <c r="I203" s="15" t="inlineStr">
        <is>
          <t>Приборы для оценки функции ЖКТ; Микроскопы; Эндоскопы гибкие; Эндоскопические комплексы и системы</t>
        </is>
      </c>
      <c r="J203" s="15" t="inlineStr">
        <is>
          <t>Производитель</t>
        </is>
      </c>
      <c r="K203" s="15" t="inlineStr">
        <is>
          <t>OK</t>
        </is>
      </c>
      <c r="L203" s="15" t="inlineStr">
        <is>
          <t>эндоскопы, микроскопы и приборы для ЖКТ</t>
        </is>
      </c>
      <c r="M203" s="15" t="inlineStr">
        <is>
          <t>ЛОМО</t>
        </is>
      </c>
      <c r="N203" s="15" t="inlineStr">
        <is>
          <t>Здравоохранение-2025</t>
        </is>
      </c>
      <c r="O203" s="20" t="inlineStr">
        <is>
          <t>https://icatalog.expocentr.ru/ru/exhibitions/de590dc5-417d-11ee-80ce-a0d3c1fab97f</t>
        </is>
      </c>
    </row>
    <row r="204">
      <c r="A204" s="15" t="inlineStr">
        <is>
          <t>РЕЗОНАНС, ГРУППА КОМПАНИЙ</t>
        </is>
      </c>
      <c r="B204" s="21" t="n">
        <v>7e+105</v>
      </c>
      <c r="C204" s="15" t="inlineStr">
        <is>
          <t>Россия</t>
        </is>
      </c>
      <c r="D204" s="15" t="inlineStr">
        <is>
          <t>Воронеж</t>
        </is>
      </c>
      <c r="E204" s="15" t="inlineStr">
        <is>
          <t>Россия, г. Воронеж, Московский просп., д. 11/17</t>
        </is>
      </c>
      <c r="F204" s="20" t="inlineStr">
        <is>
          <t>http://www.mrigroup.ru</t>
        </is>
      </c>
      <c r="G204" s="15" t="inlineStr">
        <is>
          <t>v1@mrigroup.ru</t>
        </is>
      </c>
      <c r="H204" s="15" t="inlineStr">
        <is>
          <t>Поставка медицинского оборудования (МРТ, КТ, УЗИ, рентген) под ключ, сервисное обслуживание медицинского оборудования, строительство мобильных медицинских зданий.</t>
        </is>
      </c>
      <c r="I204" s="15" t="inlineStr">
        <is>
          <t>Рентгеновские диагностические установки, передвижные и стационарные; Вспомогательное оборудование; Компьютерные томографы; Флюорографы; Магнитно-резонансные томографы; Ультразвуковые сканеры и диагностические системы</t>
        </is>
      </c>
      <c r="J204" s="15" t="inlineStr">
        <is>
          <t>Дилер</t>
        </is>
      </c>
      <c r="K204" s="15" t="inlineStr">
        <is>
          <t>OK</t>
        </is>
      </c>
      <c r="L204" s="15" t="inlineStr">
        <is>
          <t>медицинское оборудование и здания</t>
        </is>
      </c>
      <c r="M204" s="15" t="inlineStr">
        <is>
          <t>Резонанс</t>
        </is>
      </c>
      <c r="N204" s="15" t="inlineStr">
        <is>
          <t>Здравоохранение-2025</t>
        </is>
      </c>
      <c r="O204" s="20" t="inlineStr">
        <is>
          <t>https://icatalog.expocentr.ru/ru/exhibitions/de590dc5-417d-11ee-80ce-a0d3c1fab97f</t>
        </is>
      </c>
    </row>
    <row r="205">
      <c r="A205" s="15" t="inlineStr">
        <is>
          <t>ЮНОНА ХОЛДИНГ</t>
        </is>
      </c>
      <c r="B205" s="21" t="n">
        <v>700000000000</v>
      </c>
      <c r="C205" s="15" t="inlineStr">
        <is>
          <t>Россия</t>
        </is>
      </c>
      <c r="D205" s="15" t="inlineStr">
        <is>
          <t>Екатеринбург</t>
        </is>
      </c>
      <c r="E205" s="15" t="inlineStr">
        <is>
          <t>Россия, 620028, г. Екатеринбург, ул. Кирова, стр. 28, пом. 222</t>
        </is>
      </c>
      <c r="F205" s="20" t="inlineStr">
        <is>
          <t>http://unona-aqua.ru</t>
        </is>
      </c>
      <c r="G205" s="15" t="inlineStr">
        <is>
          <t>info@unona-aqua.ru</t>
        </is>
      </c>
      <c r="H205" s="15" t="inlineStr">
        <is>
          <t>Система водоподготовки «Юнона АКВА» — единственная система получения УЛЬТРАчистой воды для гемодиализа по уникальной технологии. ООО «Завод Дизэт» — импортозамещение и инновации для гемодиализа.</t>
        </is>
      </c>
      <c r="I205" s="15" t="inlineStr">
        <is>
          <t>Проектирование и оснащение медицинских учреждений под ключ; Медицинский инжиниринг; Поставка медицинского оборудования и расходных материалов; Оборудование и расходные материалы для проведения гемосорбции, гемодиализа и плазмофереза</t>
        </is>
      </c>
      <c r="J205" s="15" t="inlineStr">
        <is>
          <t>Производитель</t>
        </is>
      </c>
      <c r="K205" s="15" t="inlineStr">
        <is>
          <t>OK</t>
        </is>
      </c>
      <c r="L205" s="15" t="inlineStr">
        <is>
          <t>системы водоподготовки, оборудование и материалы</t>
        </is>
      </c>
      <c r="M205" s="15" t="inlineStr">
        <is>
          <t>Юнона Холдинг</t>
        </is>
      </c>
      <c r="N205" s="15" t="inlineStr">
        <is>
          <t>Здравоохранение-2025</t>
        </is>
      </c>
      <c r="O205" s="20" t="inlineStr">
        <is>
          <t>https://icatalog.expocentr.ru/ru/exhibitions/de590dc5-417d-11ee-80ce-a0d3c1fab97f</t>
        </is>
      </c>
    </row>
    <row r="206">
      <c r="A206" s="15" t="inlineStr">
        <is>
          <t>КАРИПАИН, НПК, ООО</t>
        </is>
      </c>
      <c r="B206" s="21" t="n">
        <v>7.000000000000001e+135</v>
      </c>
      <c r="C206" s="15" t="inlineStr">
        <is>
          <t>Россия</t>
        </is>
      </c>
      <c r="D206" s="15" t="inlineStr">
        <is>
          <t>Подольск</t>
        </is>
      </c>
      <c r="E206" s="15" t="inlineStr">
        <is>
          <t>Россия, 142155, Московская обл., г. Подольск, Львовский мкр., пр-д Металлургов, д. 6</t>
        </is>
      </c>
      <c r="F206" s="20" t="inlineStr">
        <is>
          <t>https://karipain.ru</t>
        </is>
      </c>
      <c r="G206" s="15" t="inlineStr">
        <is>
          <t>npk-karipain@yandex.ru</t>
        </is>
      </c>
      <c r="H206" s="15" t="inlineStr">
        <is>
          <t>НПК «КАРИПАИН» специализируется на разработке и выпуске ферментных препаратов, применяемых для восстановления позвоночника и суставов, а также ликвидации и уменьшения рубцов, шрамов и других дефектов.</t>
        </is>
      </c>
      <c r="I206" s="15" t="inlineStr">
        <is>
          <t>Физиотерапия и реабилитация; Спортивное питание; Лечебная косметика; Профилактическая медицина, увеличение продолжительности жизни; Методы и способы усиления иммунитета, повышения защитных функций организма; Фармацевтические средства и БАД</t>
        </is>
      </c>
      <c r="J206" s="15" t="inlineStr">
        <is>
          <t>Производитель</t>
        </is>
      </c>
      <c r="K206" s="15" t="inlineStr">
        <is>
          <t>OK</t>
        </is>
      </c>
      <c r="L206" s="15" t="inlineStr">
        <is>
          <t>ферментные препараты, спортивное питание, лечебная косметика и фармацевтические средства</t>
        </is>
      </c>
      <c r="M206" s="15" t="inlineStr">
        <is>
          <t>Карипаин, НПК</t>
        </is>
      </c>
      <c r="N206" s="15" t="inlineStr">
        <is>
          <t>Здравоохранение-2025</t>
        </is>
      </c>
      <c r="O206" s="20" t="inlineStr">
        <is>
          <t>https://icatalog.expocentr.ru/ru/exhibitions/de590dc5-417d-11ee-80ce-a0d3c1fab97f</t>
        </is>
      </c>
    </row>
    <row r="207">
      <c r="A207" s="15" t="inlineStr">
        <is>
          <t>ДИВИСИ ИНТЕГРАЦИЯ, ООО</t>
        </is>
      </c>
      <c r="B207" s="15" t="inlineStr">
        <is>
          <t>7B110</t>
        </is>
      </c>
      <c r="C207" s="15" t="inlineStr">
        <is>
          <t>Россия</t>
        </is>
      </c>
      <c r="D207" s="15" t="inlineStr">
        <is>
          <t>Москва</t>
        </is>
      </c>
      <c r="E207" s="15" t="inlineStr">
        <is>
          <t>Россия, г. Москва, ул. Шаболовка, д. 31г</t>
        </is>
      </c>
      <c r="F207" s="20" t="inlineStr">
        <is>
          <t>http://www.divisy.biz</t>
        </is>
      </c>
      <c r="G207" s="15" t="inlineStr">
        <is>
          <t>info@divisy.biz</t>
        </is>
      </c>
      <c r="H207" s="15" t="inlineStr">
        <is>
          <t>Divisy Group — первая российская компания, которая разработала интегрированные решения для диагностических кабинетов, операционных залов и реанимационных в России и странах СНГ.</t>
        </is>
      </c>
      <c r="I207" s="15" t="inlineStr">
        <is>
          <t>IT-инфраструктура / компьютерное оборудование / системы mHealth; Системы eHealth, телемедицина; Информационные системы администрирования / программное обеспечение; Медицинские информационные системы / программные решения; Коммуникационные системы; Медицинские порталы</t>
        </is>
      </c>
      <c r="J207" s="15" t="inlineStr">
        <is>
          <t>Производитель</t>
        </is>
      </c>
      <c r="K207" s="15" t="inlineStr">
        <is>
          <t>OK</t>
        </is>
      </c>
      <c r="L207" s="15" t="inlineStr">
        <is>
          <t>компьютерное оборудование</t>
        </is>
      </c>
      <c r="M207" s="15" t="inlineStr">
        <is>
          <t>Дивиси Интеграция</t>
        </is>
      </c>
      <c r="N207" s="15" t="inlineStr">
        <is>
          <t>Здравоохранение-2025</t>
        </is>
      </c>
      <c r="O207" s="20" t="inlineStr">
        <is>
          <t>https://icatalog.expocentr.ru/ru/exhibitions/de590dc5-417d-11ee-80ce-a0d3c1fab97f</t>
        </is>
      </c>
    </row>
    <row r="208">
      <c r="A208" s="15" t="inlineStr">
        <is>
          <t>ДЕЛЬТА ГРУПП, ООО</t>
        </is>
      </c>
      <c r="B208" s="21" t="n">
        <v>7e+112</v>
      </c>
      <c r="C208" s="15" t="inlineStr">
        <is>
          <t>Россия</t>
        </is>
      </c>
      <c r="D208" s="15" t="inlineStr">
        <is>
          <t>Уфа</t>
        </is>
      </c>
      <c r="E208" s="15" t="inlineStr">
        <is>
          <t>Россия, 450078, Республика Башкортостан, г. Уфа, ул. Кирова, д. 91, оф. 1</t>
        </is>
      </c>
      <c r="F208" s="20" t="inlineStr">
        <is>
          <t>http://deltaufa.ru</t>
        </is>
      </c>
      <c r="G208" s="15" t="inlineStr">
        <is>
          <t>office@deltaufa.ru</t>
        </is>
      </c>
      <c r="H208" s="15" t="inlineStr">
        <is>
          <t>Осуществляем прямые поставки медицинской продукции зарубежных и отечественных производителей, предназначенных для применения в различных сферах медицины.</t>
        </is>
      </c>
      <c r="I208" s="15" t="inlineStr">
        <is>
          <t>Инструменты и принадлежности для эндоскопии; Операционные микроскопы и видеоустройства</t>
        </is>
      </c>
      <c r="J208" s="15" t="inlineStr">
        <is>
          <t>Дилер</t>
        </is>
      </c>
      <c r="K208" s="15" t="inlineStr">
        <is>
          <t>OK</t>
        </is>
      </c>
      <c r="L208" s="15" t="inlineStr">
        <is>
          <t>медицинская продукция, инструменты, микроскопы и видеоустройства</t>
        </is>
      </c>
      <c r="M208" s="15" t="inlineStr">
        <is>
          <t>Дельта Групп</t>
        </is>
      </c>
      <c r="N208" s="15" t="inlineStr">
        <is>
          <t>Здравоохранение-2025</t>
        </is>
      </c>
      <c r="O208" s="20" t="inlineStr">
        <is>
          <t>https://icatalog.expocentr.ru/ru/exhibitions/de590dc5-417d-11ee-80ce-a0d3c1fab97f</t>
        </is>
      </c>
    </row>
    <row r="209">
      <c r="A209" s="15" t="inlineStr">
        <is>
          <t>АЛМАЗ НПП, АО</t>
        </is>
      </c>
      <c r="B209" s="21" t="n">
        <v>70000000000000</v>
      </c>
      <c r="C209" s="15" t="inlineStr">
        <is>
          <t>Россия</t>
        </is>
      </c>
      <c r="D209" s="15" t="inlineStr">
        <is>
          <t>Саратов</t>
        </is>
      </c>
      <c r="E209" s="15" t="inlineStr">
        <is>
          <t>Россия, 410033, г. Саратов, ул. им. Панфилова И.В., зд. 1а, стр. 1</t>
        </is>
      </c>
      <c r="F209" s="20" t="inlineStr">
        <is>
          <t>http://www.almaz-rpe.ru</t>
        </is>
      </c>
      <c r="G209" s="15" t="inlineStr">
        <is>
          <t>info@almaz-rpe.ru</t>
        </is>
      </c>
      <c r="H209" s="15" t="inlineStr">
        <is>
          <t>АО «НПП «Алмаз» более 30 лет производит устройства газовой автоматики, выпуская сигнализаторы контроля загазованности широкого назначения, а также медицинские изделия.</t>
        </is>
      </c>
      <c r="I209" s="15" t="inlineStr">
        <is>
          <t>Производство медицинских изделий; Средства для оказания экстренной медицинской помощи; Комплекты реанимационного оборудования</t>
        </is>
      </c>
      <c r="J209" s="15" t="inlineStr">
        <is>
          <t>Производитель</t>
        </is>
      </c>
      <c r="K209" s="15" t="inlineStr">
        <is>
          <t>OK</t>
        </is>
      </c>
      <c r="L209" s="15" t="inlineStr">
        <is>
          <t>сигнализаторы и медицинские изделия</t>
        </is>
      </c>
      <c r="M209" s="15" t="inlineStr">
        <is>
          <t>Алмаз НПП</t>
        </is>
      </c>
      <c r="N209" s="15" t="inlineStr">
        <is>
          <t>Здравоохранение-2025</t>
        </is>
      </c>
      <c r="O209" s="20" t="inlineStr">
        <is>
          <t>https://icatalog.expocentr.ru/ru/exhibitions/de590dc5-417d-11ee-80ce-a0d3c1fab97f</t>
        </is>
      </c>
    </row>
    <row r="210">
      <c r="A210" s="15" t="inlineStr">
        <is>
          <t>ВЕГА, ВНИИ, АО</t>
        </is>
      </c>
      <c r="B210" s="21" t="n">
        <v>70000000000000</v>
      </c>
      <c r="C210" s="15" t="inlineStr">
        <is>
          <t>Россия</t>
        </is>
      </c>
      <c r="D210" s="15" t="inlineStr">
        <is>
          <t>Воронеж</t>
        </is>
      </c>
      <c r="E210" s="15" t="inlineStr">
        <is>
          <t>Россия, 394026, г. Воронеж, Московский просп., д. 7, корп. Б</t>
        </is>
      </c>
      <c r="F210" s="20" t="inlineStr">
        <is>
          <t>https://vniivega.ru</t>
        </is>
      </c>
      <c r="G210" s="15" t="inlineStr">
        <is>
          <t>vega@vniivega.ru</t>
        </is>
      </c>
      <c r="H210" s="15" t="inlineStr">
        <is>
          <t>Разработка, производство и обслуживание систем, программно-аппаратных комплексов и средств подвижной радиосвязи профессионального назначения, радиоэлектронной аппаратуры и медицинских изделий.</t>
        </is>
      </c>
      <c r="I210" s="15" t="inlineStr">
        <is>
          <t>Ультразвуковые сканеры и диагностические системы; Эндоскопические комплексы и системы; Оборудование и средства для лапароскопии; Электрохирургические аппараты; Лазерные  хирургические аппараты</t>
        </is>
      </c>
      <c r="J210" s="15" t="inlineStr">
        <is>
          <t>Производитель</t>
        </is>
      </c>
      <c r="K210" s="15" t="inlineStr">
        <is>
          <t>OK</t>
        </is>
      </c>
      <c r="L210" s="15" t="inlineStr">
        <is>
          <t>медицинские изделия, радиоаппаратура и системы радиосвязи</t>
        </is>
      </c>
      <c r="M210" s="15" t="inlineStr">
        <is>
          <t>ВЕГА, ВНИИ</t>
        </is>
      </c>
      <c r="N210" s="15" t="inlineStr">
        <is>
          <t>Здравоохранение-2025</t>
        </is>
      </c>
      <c r="O210" s="20" t="inlineStr">
        <is>
          <t>https://icatalog.expocentr.ru/ru/exhibitions/de590dc5-417d-11ee-80ce-a0d3c1fab97f</t>
        </is>
      </c>
    </row>
    <row r="211">
      <c r="A211" s="15" t="inlineStr">
        <is>
          <t>РЭЛСИБ НПК, ООО</t>
        </is>
      </c>
      <c r="B211" s="21" t="n">
        <v>7e+130</v>
      </c>
      <c r="C211" s="15" t="inlineStr">
        <is>
          <t>Россия</t>
        </is>
      </c>
      <c r="D211" s="15" t="inlineStr">
        <is>
          <t>Новосибирск</t>
        </is>
      </c>
      <c r="E211" s="15" t="inlineStr">
        <is>
          <t>Россия, 630087, г. Новосибирск, ул. Немировича-Данченко, зд. 128/1</t>
        </is>
      </c>
      <c r="F211" s="20" t="inlineStr">
        <is>
          <t>http://www.relsib.com</t>
        </is>
      </c>
      <c r="G211" s="15" t="inlineStr">
        <is>
          <t>chif@relsib.com</t>
        </is>
      </c>
      <c r="H211" s="15" t="inlineStr">
        <is>
          <t>Разработка, производство и поставка медицинской техники, гигрометров, логгеров, термометров. Интегратор систем мониторинга и автоматизации на производстве. Валидация и температурное картирование.</t>
        </is>
      </c>
      <c r="I211" s="15" t="inlineStr">
        <is>
          <t>Оборудование для пищеблока; Прочее общебольничное оборудование; Медицинский инжиниринг; Поставка медицинского оборудования и расходных материалов; Термометры; Прочие изделия для лабораторий</t>
        </is>
      </c>
      <c r="J211" s="15" t="inlineStr">
        <is>
          <t>Производитель</t>
        </is>
      </c>
      <c r="K211" s="15" t="inlineStr">
        <is>
          <t>OK</t>
        </is>
      </c>
      <c r="L211" s="15" t="inlineStr">
        <is>
          <t>медицинская техника, гигрометры, логгеры и термометры</t>
        </is>
      </c>
      <c r="M211" s="15" t="inlineStr">
        <is>
          <t>Рэлсиб НПК</t>
        </is>
      </c>
      <c r="N211" s="15" t="inlineStr">
        <is>
          <t>Здравоохранение-2025</t>
        </is>
      </c>
      <c r="O211" s="20" t="inlineStr">
        <is>
          <t>https://icatalog.expocentr.ru/ru/exhibitions/de590dc5-417d-11ee-80ce-a0d3c1fab97f</t>
        </is>
      </c>
    </row>
    <row r="212">
      <c r="A212" s="15" t="inlineStr">
        <is>
          <t>ВСВ, ООО</t>
        </is>
      </c>
      <c r="B212" s="21" t="n">
        <v>7.000000000000001e+126</v>
      </c>
      <c r="C212" s="15" t="inlineStr">
        <is>
          <t>Россия</t>
        </is>
      </c>
      <c r="D212" s="15" t="inlineStr">
        <is>
          <t>Санкт-Петербург</t>
        </is>
      </c>
      <c r="E212" s="15" t="inlineStr">
        <is>
          <t>Россия, 198095, г. Санкт-Петербург, Химический пер., д. 12, литера АБ</t>
        </is>
      </c>
      <c r="F212" s="20" t="inlineStr">
        <is>
          <t>http://www.rs01.ru</t>
        </is>
      </c>
      <c r="G212" s="15" t="inlineStr">
        <is>
          <t>mail@rs01.ru</t>
        </is>
      </c>
      <c r="H212" s="15" t="inlineStr">
        <is>
          <t>Компания «ВСВ» была основана в декабре 1997 года, с тех мы осуществляем производство, поставку и обслуживание оборудования и снаряжения для спасательных и медицинских служб.</t>
        </is>
      </c>
      <c r="I212" s="15" t="inlineStr">
        <is>
          <t>Спасательное оборудование и снаряжение; Средства для оказания экстренной медицинской помощи</t>
        </is>
      </c>
      <c r="J212" s="15" t="inlineStr">
        <is>
          <t>Производитель</t>
        </is>
      </c>
      <c r="K212" s="15" t="inlineStr">
        <is>
          <t>OK</t>
        </is>
      </c>
      <c r="L212" s="15" t="inlineStr">
        <is>
          <t>оборудование, снаряжение и средства</t>
        </is>
      </c>
      <c r="M212" s="15" t="inlineStr">
        <is>
          <t>ВСВ</t>
        </is>
      </c>
      <c r="N212" s="15" t="inlineStr">
        <is>
          <t>Здравоохранение-2025</t>
        </is>
      </c>
      <c r="O212" s="20" t="inlineStr">
        <is>
          <t>https://icatalog.expocentr.ru/ru/exhibitions/de590dc5-417d-11ee-80ce-a0d3c1fab97f</t>
        </is>
      </c>
    </row>
    <row r="213">
      <c r="A213" s="15" t="inlineStr">
        <is>
          <t>ХААСС, ООО</t>
        </is>
      </c>
      <c r="B213" s="15" t="inlineStr">
        <is>
          <t>7D001</t>
        </is>
      </c>
      <c r="C213" s="15" t="inlineStr">
        <is>
          <t>Россия</t>
        </is>
      </c>
      <c r="D213" s="15" t="inlineStr">
        <is>
          <t>Москва</t>
        </is>
      </c>
      <c r="E213" s="15" t="inlineStr">
        <is>
          <t>Россия, 109235, г. Москва, вн. тер. г. м. о. Печатники, ул. 1-я Курьяновская, д. 34, стр. 8</t>
        </is>
      </c>
      <c r="F213" s="20" t="inlineStr">
        <is>
          <t>http://haass.ru</t>
        </is>
      </c>
      <c r="G213" s="15" t="inlineStr">
        <is>
          <t>info@haass.ru</t>
        </is>
      </c>
      <c r="H213" s="15" t="inlineStr">
        <is>
          <t>Компания «ХААСС» проектирует, производит и поставляет оборудование для систем медицинского газоснабжения, выполняет монтаж и ввод в эксплуатацию, предлагая решения мирового уровня.</t>
        </is>
      </c>
      <c r="I213" s="15" t="inlineStr">
        <is>
          <t>Проектирование, производство, монтаж, валидация чистых операционных и реанимационных; Оборудование для медицинских газов; Комплекты реанимационного оборудования; Потолочные консоли</t>
        </is>
      </c>
      <c r="J213" s="15" t="inlineStr">
        <is>
          <t>Производитель</t>
        </is>
      </c>
      <c r="K213" s="15" t="inlineStr">
        <is>
          <t>OK</t>
        </is>
      </c>
      <c r="L213" s="15" t="inlineStr">
        <is>
          <t>оборудование, комплекты, консоли</t>
        </is>
      </c>
      <c r="M213" s="15" t="inlineStr">
        <is>
          <t>Хаасс</t>
        </is>
      </c>
      <c r="N213" s="15" t="inlineStr">
        <is>
          <t>Здравоохранение-2025</t>
        </is>
      </c>
      <c r="O213" s="20" t="inlineStr">
        <is>
          <t>https://icatalog.expocentr.ru/ru/exhibitions/de590dc5-417d-11ee-80ce-a0d3c1fab97f</t>
        </is>
      </c>
    </row>
    <row r="214">
      <c r="A214" s="15" t="inlineStr">
        <is>
          <t>АДД Медикал</t>
        </is>
      </c>
      <c r="B214" s="21" t="n">
        <v>7000000000000</v>
      </c>
      <c r="C214" s="15" t="inlineStr">
        <is>
          <t>Россия</t>
        </is>
      </c>
      <c r="D214" s="15" t="inlineStr">
        <is>
          <t>Нижний Новгород</t>
        </is>
      </c>
      <c r="E214" s="15" t="inlineStr">
        <is>
          <t>Россия, 603105, г. Нижний Новгород, ул. Верхнеудинская, д. 4</t>
        </is>
      </c>
      <c r="F214" s="15" t="n"/>
      <c r="G214" s="15" t="inlineStr">
        <is>
          <t>Ddr@add-med.ru</t>
        </is>
      </c>
      <c r="H214" s="15" t="inlineStr">
        <is>
          <t>Компания является уполномоченным представителем завода Plasti-med (Турция) на территории РФ, реализует медицинские изделия для урологии, хирургии, реанимации.</t>
        </is>
      </c>
      <c r="I214" s="15" t="inlineStr">
        <is>
          <t>Инструменты урологические; Одноразовые медицинские изделия прочие; Принадлежности и расходные материалы для реанимации и экстренной помощи; Инструменты общехирургические</t>
        </is>
      </c>
      <c r="J214" s="15" t="inlineStr">
        <is>
          <t>Дилер</t>
        </is>
      </c>
      <c r="K214" s="15" t="inlineStr">
        <is>
          <t>OK</t>
        </is>
      </c>
      <c r="L214" s="15" t="inlineStr">
        <is>
          <t>медицинские изделия, инструменты и расходные материалы</t>
        </is>
      </c>
      <c r="M214" s="15" t="inlineStr">
        <is>
          <t>АДД Медикал</t>
        </is>
      </c>
      <c r="N214" s="15" t="inlineStr">
        <is>
          <t>Здравоохранение-2025</t>
        </is>
      </c>
      <c r="O214" s="20" t="inlineStr">
        <is>
          <t>https://icatalog.expocentr.ru/ru/exhibitions/de590dc5-417d-11ee-80ce-a0d3c1fab97f</t>
        </is>
      </c>
    </row>
    <row r="215">
      <c r="A215" s="15" t="inlineStr">
        <is>
          <t>ИННОВАЦИОННАЯ ФИРМА МАРК, ООО</t>
        </is>
      </c>
      <c r="B215" s="21" t="n">
        <v>7e+132</v>
      </c>
      <c r="C215" s="15" t="inlineStr">
        <is>
          <t>Россия</t>
        </is>
      </c>
      <c r="D215" s="15" t="n"/>
      <c r="E215" s="15" t="inlineStr">
        <is>
          <t>Россия, 121108, ул. Кастанаевская, д. 43, корп. 4, пом. V, оф. 1</t>
        </is>
      </c>
      <c r="F215" s="20" t="inlineStr">
        <is>
          <t>http://ifmark.ru</t>
        </is>
      </c>
      <c r="G215" s="15" t="inlineStr">
        <is>
          <t>sales@ifmark.ru</t>
        </is>
      </c>
      <c r="H215" s="15" t="inlineStr">
        <is>
          <t>Занимаемся производством изделий на основе силикона платиновой системы вулканизации из передовых материалов, разработанных в соответствии со строгими требованиями фармацевтики, медицины и биотехнологий.</t>
        </is>
      </c>
      <c r="I215" s="15" t="inlineStr">
        <is>
          <t>Расходные материалы для медицинского оборудования; Производство медицинских изделий; Оборудование и расходные материалы для проведения гемосорбции, гемодиализа и плазмофереза; Средства для оказания экстренной медицинской помощи; Оборудование для длительных вливаний крови и растворов</t>
        </is>
      </c>
      <c r="J215" s="15" t="inlineStr">
        <is>
          <t>Производитель</t>
        </is>
      </c>
      <c r="K215" s="15" t="inlineStr">
        <is>
          <t>OK</t>
        </is>
      </c>
      <c r="L215" s="15" t="inlineStr">
        <is>
          <t>изделия, расходные материалы и оборудование</t>
        </is>
      </c>
      <c r="M215" s="15" t="inlineStr">
        <is>
          <t>Инновационная Фирма Марк</t>
        </is>
      </c>
      <c r="N215" s="15" t="inlineStr">
        <is>
          <t>Здравоохранение-2025</t>
        </is>
      </c>
      <c r="O215" s="20" t="inlineStr">
        <is>
          <t>https://icatalog.expocentr.ru/ru/exhibitions/de590dc5-417d-11ee-80ce-a0d3c1fab97f</t>
        </is>
      </c>
    </row>
    <row r="216">
      <c r="A216" s="15" t="inlineStr">
        <is>
          <t>ЭЛЕПС, НПФ, ООО</t>
        </is>
      </c>
      <c r="B216" s="15" t="inlineStr">
        <is>
          <t>7D010</t>
        </is>
      </c>
      <c r="C216" s="15" t="inlineStr">
        <is>
          <t>Россия</t>
        </is>
      </c>
      <c r="D216" s="15" t="inlineStr">
        <is>
          <t>Казань</t>
        </is>
      </c>
      <c r="E216" s="15" t="inlineStr">
        <is>
          <t>Россия, 420095, Республика Татарстан, г. Казань, тер. Химград, д. 156, оф. 14</t>
        </is>
      </c>
      <c r="F216" s="20" t="inlineStr">
        <is>
          <t>http://www.eleps.ru</t>
        </is>
      </c>
      <c r="G216" s="15" t="inlineStr">
        <is>
          <t>info@eleps.ru</t>
        </is>
      </c>
      <c r="H216" s="15" t="inlineStr">
        <is>
          <t>ООО НПФ «ЭЛЕПС» — российский производитель оборудования и инструментов эндохирургического комплекса. Более 30 лет опыта разработки и производства. Производство полного цикла. Тройная гарантия.</t>
        </is>
      </c>
      <c r="I216" s="15" t="inlineStr">
        <is>
          <t>Эндоскопы жесткие; Эндоскопические комплексы и системы; Оборудование и средства для лапароскопии; Инструменты и принадлежности для эндоскопии</t>
        </is>
      </c>
      <c r="J216" s="15" t="inlineStr">
        <is>
          <t>Производитель</t>
        </is>
      </c>
      <c r="K216" s="15" t="inlineStr">
        <is>
          <t>OK</t>
        </is>
      </c>
      <c r="L216" s="15" t="inlineStr">
        <is>
          <t>эндоскопы, комплексы, оборудование и инструменты</t>
        </is>
      </c>
      <c r="M216" s="15" t="inlineStr">
        <is>
          <t>ЭЛЕПС, НПФ</t>
        </is>
      </c>
      <c r="N216" s="15" t="inlineStr">
        <is>
          <t>Здравоохранение-2025</t>
        </is>
      </c>
      <c r="O216" s="20" t="inlineStr">
        <is>
          <t>https://icatalog.expocentr.ru/ru/exhibitions/de590dc5-417d-11ee-80ce-a0d3c1fab97f</t>
        </is>
      </c>
    </row>
    <row r="217">
      <c r="A217" s="15" t="inlineStr">
        <is>
          <t>БАЛУМЕД, ООО</t>
        </is>
      </c>
      <c r="B217" s="15" t="inlineStr">
        <is>
          <t>6D025</t>
        </is>
      </c>
      <c r="C217" s="15" t="inlineStr">
        <is>
          <t>Россия</t>
        </is>
      </c>
      <c r="D217" s="15" t="inlineStr">
        <is>
          <t>Ростов-на-Дону</t>
        </is>
      </c>
      <c r="E217" s="15" t="inlineStr">
        <is>
          <t>Россия, 344091, г. Ростов-на-Дону, ул. Малиновского, зд. 9а</t>
        </is>
      </c>
      <c r="F217" s="20" t="inlineStr">
        <is>
          <t>http://www.balumed.su</t>
        </is>
      </c>
      <c r="G217" s="15" t="inlineStr">
        <is>
          <t>info@balumed.su</t>
        </is>
      </c>
      <c r="H217" s="15" t="inlineStr">
        <is>
          <t>ООО «БАЛУМЕД» — российский производитель хирургических шовных материалов для всех отраслей хирургии. Более 20 лет мы производим шовные хирургические материалы и каждый день стремимся к совершенству.</t>
        </is>
      </c>
      <c r="I217" s="15" t="inlineStr">
        <is>
          <t>Одноразовые медицинские изделия прочие; Производство медицинских изделий; Шовный материал</t>
        </is>
      </c>
      <c r="J217" s="15" t="inlineStr">
        <is>
          <t>Производитель</t>
        </is>
      </c>
      <c r="K217" s="15" t="inlineStr">
        <is>
          <t>OK</t>
        </is>
      </c>
      <c r="L217" s="15" t="inlineStr">
        <is>
          <t>шовные материалы, одноразовые изделия</t>
        </is>
      </c>
      <c r="M217" s="15" t="inlineStr">
        <is>
          <t>Балумед</t>
        </is>
      </c>
      <c r="N217" s="15" t="inlineStr">
        <is>
          <t>Здравоохранение-2025</t>
        </is>
      </c>
      <c r="O217" s="20" t="inlineStr">
        <is>
          <t>https://icatalog.expocentr.ru/ru/exhibitions/de590dc5-417d-11ee-80ce-a0d3c1fab97f</t>
        </is>
      </c>
    </row>
    <row r="218">
      <c r="A218" s="15" t="inlineStr">
        <is>
          <t>МЕДИЦИНСКИЕ ИЗДЕЛИЯ, ООО</t>
        </is>
      </c>
      <c r="B218" s="15" t="inlineStr">
        <is>
          <t>6C085</t>
        </is>
      </c>
      <c r="C218" s="15" t="inlineStr">
        <is>
          <t>Россия</t>
        </is>
      </c>
      <c r="D218" s="15" t="inlineStr">
        <is>
          <t>Казань</t>
        </is>
      </c>
      <c r="E218" s="15" t="inlineStr">
        <is>
          <t>Россия, 420061, Республика Татарстан, г. Казань, ул. Космонавтов, д. 39, оф. 102</t>
        </is>
      </c>
      <c r="F218" s="20" t="inlineStr">
        <is>
          <t>http://www.medizdelie.ru</t>
        </is>
      </c>
      <c r="G218" s="15" t="inlineStr">
        <is>
          <t>sale@medizdelie.ru</t>
        </is>
      </c>
      <c r="H218" s="15" t="inlineStr">
        <is>
          <t>ООО «Медицинские изделия» — компания-производитель расходных инструментов в области гинекологии, оториноларингологии, лабораторий.</t>
        </is>
      </c>
      <c r="I218" s="15" t="inlineStr">
        <is>
          <t>Инструменты гинекологические; Производство медицинских изделий; Расходные материалы для службы крови</t>
        </is>
      </c>
      <c r="J218" s="15" t="inlineStr">
        <is>
          <t>Производитель</t>
        </is>
      </c>
      <c r="K218" s="15" t="inlineStr">
        <is>
          <t>OK</t>
        </is>
      </c>
      <c r="L218" s="15" t="inlineStr">
        <is>
          <t>инструменты, расходные материалы</t>
        </is>
      </c>
      <c r="M218" s="15" t="inlineStr">
        <is>
          <t>Медицинские Изделия</t>
        </is>
      </c>
      <c r="N218" s="15" t="inlineStr">
        <is>
          <t>Здравоохранение-2025</t>
        </is>
      </c>
      <c r="O218" s="20" t="inlineStr">
        <is>
          <t>https://icatalog.expocentr.ru/ru/exhibitions/de590dc5-417d-11ee-80ce-a0d3c1fab97f</t>
        </is>
      </c>
    </row>
    <row r="219">
      <c r="A219" s="15" t="inlineStr">
        <is>
          <t>ТОПМЕД, ООО</t>
        </is>
      </c>
      <c r="B219" s="15" t="inlineStr">
        <is>
          <t>6B050</t>
        </is>
      </c>
      <c r="C219" s="15" t="inlineStr">
        <is>
          <t>Россия</t>
        </is>
      </c>
      <c r="D219" s="15" t="inlineStr">
        <is>
          <t>Москва</t>
        </is>
      </c>
      <c r="E219" s="15" t="inlineStr">
        <is>
          <t>Россия, 129301, г. Москва, ул. Космонавтов, д. 18, корп. 2, пом. II, оф. 12</t>
        </is>
      </c>
      <c r="F219" s="20" t="inlineStr">
        <is>
          <t>http://medikom.ru</t>
        </is>
      </c>
      <c r="G219" s="15" t="inlineStr">
        <is>
          <t>info@topmed.com.ru</t>
        </is>
      </c>
      <c r="H219" s="15" t="inlineStr">
        <is>
          <t>Компания «ТОПМЕД» — производитель и дистрибьютор широкого ассортимента медицинских изделий. Продуктовый портфель — более 3000 современных медицинских изделий, среди которых есть уникальные товары.</t>
        </is>
      </c>
      <c r="I219" s="15" t="inlineStr">
        <is>
          <t>Диагностическое оборудование для гинекологии; Инструменты и принадлежности для инъекций  и взятия крови; Одноразовые медицинские изделия прочие; Термометры; Расходные материалы для службы крови; Принадлежности и расходные материалы для реанимации и экстренной помощи</t>
        </is>
      </c>
      <c r="J219" s="15" t="inlineStr">
        <is>
          <t>Производитель</t>
        </is>
      </c>
      <c r="K219" s="15" t="inlineStr">
        <is>
          <t>OK</t>
        </is>
      </c>
      <c r="L219" s="15" t="inlineStr">
        <is>
          <t>медицинские изделия, диагностическое оборудование, термометры, расходные материалы и принадлежности</t>
        </is>
      </c>
      <c r="M219" s="15" t="inlineStr">
        <is>
          <t>Топмед</t>
        </is>
      </c>
      <c r="N219" s="15" t="inlineStr">
        <is>
          <t>Здравоохранение-2025</t>
        </is>
      </c>
      <c r="O219" s="20" t="inlineStr">
        <is>
          <t>https://icatalog.expocentr.ru/ru/exhibitions/de590dc5-417d-11ee-80ce-a0d3c1fab97f</t>
        </is>
      </c>
    </row>
    <row r="220">
      <c r="A220" s="15" t="inlineStr">
        <is>
          <t>НЕФРОН, НПО, ООО</t>
        </is>
      </c>
      <c r="B220" s="15" t="inlineStr">
        <is>
          <t>6C115</t>
        </is>
      </c>
      <c r="C220" s="15" t="inlineStr">
        <is>
          <t>Россия</t>
        </is>
      </c>
      <c r="D220" s="15" t="inlineStr">
        <is>
          <t>Санкт-Петербург</t>
        </is>
      </c>
      <c r="E220" s="15" t="inlineStr">
        <is>
          <t>Россия, 198095, г. Санкт-Петербург, ул. Маршала Говорова, д. 52, литера А, пом. 36-Н, БЦ «Алкотел-Инвест»</t>
        </is>
      </c>
      <c r="F220" s="20" t="inlineStr">
        <is>
          <t>http://www.nephron.ru</t>
        </is>
      </c>
      <c r="G220" s="15" t="inlineStr">
        <is>
          <t>orishack@nephron.ru</t>
        </is>
      </c>
      <c r="H220" s="15" t="inlineStr">
        <is>
          <t>Старейший отечественный производитель расходных материалов для гемодиализа. Собственное производство. Полный спектр расходных материалов для гемодиализа. Официальный дистрибьютор SWS Medical group.</t>
        </is>
      </c>
      <c r="I220" s="15" t="inlineStr">
        <is>
          <t>Средства химической дезинфекции и стерилизации; Дезинфицирующие средства и материалы; Одноразовые медицинские изделия прочие; Расходные материалы для медицинского оборудования; Оборудование и расходные материалы для проведения гемосорбции, гемодиализа и плазмофереза</t>
        </is>
      </c>
      <c r="J220" s="15" t="inlineStr">
        <is>
          <t>Производитель</t>
        </is>
      </c>
      <c r="K220" s="15" t="inlineStr">
        <is>
          <t>OK</t>
        </is>
      </c>
      <c r="L220" s="15" t="inlineStr">
        <is>
          <t>расходные материалы, дезинфицирующие средства и медицинские изделия</t>
        </is>
      </c>
      <c r="M220" s="15" t="inlineStr">
        <is>
          <t>НЕФРОН, НПО</t>
        </is>
      </c>
      <c r="N220" s="15" t="inlineStr">
        <is>
          <t>Здравоохранение-2025</t>
        </is>
      </c>
      <c r="O220" s="20" t="inlineStr">
        <is>
          <t>https://icatalog.expocentr.ru/ru/exhibitions/de590dc5-417d-11ee-80ce-a0d3c1fab97f</t>
        </is>
      </c>
    </row>
    <row r="221">
      <c r="A221" s="15" t="inlineStr">
        <is>
          <t>АРМАЛАЙН, ООО</t>
        </is>
      </c>
      <c r="B221" s="21" t="n">
        <v>6e+70</v>
      </c>
      <c r="C221" s="15" t="inlineStr">
        <is>
          <t>Россия</t>
        </is>
      </c>
      <c r="D221" s="15" t="inlineStr">
        <is>
          <t>Краснодар</t>
        </is>
      </c>
      <c r="E221" s="15" t="inlineStr">
        <is>
          <t>Россия, 350910, г. Краснодар, Пашковский жилой массив, пр-д им. Крупской, д. 11, оф. 1</t>
        </is>
      </c>
      <c r="F221" s="20" t="inlineStr">
        <is>
          <t>http://www.armaline.ru</t>
        </is>
      </c>
      <c r="G221" s="15" t="inlineStr">
        <is>
          <t>info@armaline.ru</t>
        </is>
      </c>
      <c r="H221" s="15" t="inlineStr">
        <is>
          <t>«Армалайн» — российское предприятие по производству хирургического шовного материала для любых отраслей медицины от общей хирургии до офтальмологии.</t>
        </is>
      </c>
      <c r="I221" s="15" t="inlineStr">
        <is>
          <t>Материалы и инструменты для костной пластики и челюстно-лицевой хирургии; Производство медицинских изделий; Шовный материал</t>
        </is>
      </c>
      <c r="J221" s="15" t="inlineStr">
        <is>
          <t>Производитель</t>
        </is>
      </c>
      <c r="K221" s="15" t="inlineStr">
        <is>
          <t>OK</t>
        </is>
      </c>
      <c r="L221" s="15" t="inlineStr">
        <is>
          <t>шовный материал, материалы и инструменты</t>
        </is>
      </c>
      <c r="M221" s="15" t="inlineStr">
        <is>
          <t>Армалайн</t>
        </is>
      </c>
      <c r="N221" s="15" t="inlineStr">
        <is>
          <t>Здравоохранение-2025</t>
        </is>
      </c>
      <c r="O221" s="20" t="inlineStr">
        <is>
          <t>https://icatalog.expocentr.ru/ru/exhibitions/de590dc5-417d-11ee-80ce-a0d3c1fab97f</t>
        </is>
      </c>
    </row>
    <row r="222">
      <c r="A222" s="15" t="inlineStr">
        <is>
          <t>ВИТ МЕДИКАЛ, ООО</t>
        </is>
      </c>
      <c r="B222" s="15" t="inlineStr">
        <is>
          <t>6A025</t>
        </is>
      </c>
      <c r="C222" s="15" t="inlineStr">
        <is>
          <t>Россия</t>
        </is>
      </c>
      <c r="D222" s="15" t="inlineStr">
        <is>
          <t>Москва</t>
        </is>
      </c>
      <c r="E222" s="15" t="inlineStr">
        <is>
          <t>Россия, 123458, г. Москва, ул. Твардовского, д. 8, стр. 1, пом. 1, комн. 3, этаж 3</t>
        </is>
      </c>
      <c r="F222" s="20" t="inlineStr">
        <is>
          <t>http://vit-medical.com</t>
        </is>
      </c>
      <c r="G222" s="15" t="inlineStr">
        <is>
          <t>info@vit-medical.com</t>
        </is>
      </c>
      <c r="H222" s="15" t="inlineStr">
        <is>
          <t>Компания ООО «ВИТ Медикал» занимается разработкой и производством отечественных аппаратов для вакуумной и вакуум-инстилляционной терапии ран с широким спектром расходных материалов.</t>
        </is>
      </c>
      <c r="I222" s="15" t="inlineStr">
        <is>
          <t>Хирургическое оборудование; Вакуумные экстракторы, аспираторы</t>
        </is>
      </c>
      <c r="J222" s="15" t="inlineStr">
        <is>
          <t>Производитель</t>
        </is>
      </c>
      <c r="K222" s="15" t="inlineStr">
        <is>
          <t>OK</t>
        </is>
      </c>
      <c r="L222" s="15" t="inlineStr">
        <is>
          <t>аппараты, расходные материалы, экстракторы и аспираторы</t>
        </is>
      </c>
      <c r="M222" s="15" t="inlineStr">
        <is>
          <t>Вит Медикал</t>
        </is>
      </c>
      <c r="N222" s="15" t="inlineStr">
        <is>
          <t>Здравоохранение-2025</t>
        </is>
      </c>
      <c r="O222" s="20" t="inlineStr">
        <is>
          <t>https://icatalog.expocentr.ru/ru/exhibitions/de590dc5-417d-11ee-80ce-a0d3c1fab97f</t>
        </is>
      </c>
    </row>
    <row r="223">
      <c r="A223" s="15" t="inlineStr">
        <is>
          <t>МОСРЕГИСТРАТОР</t>
        </is>
      </c>
      <c r="B223" s="15" t="inlineStr">
        <is>
          <t>6D005</t>
        </is>
      </c>
      <c r="C223" s="15" t="inlineStr">
        <is>
          <t>Россия</t>
        </is>
      </c>
      <c r="D223" s="15" t="inlineStr">
        <is>
          <t>Москва</t>
        </is>
      </c>
      <c r="E223" s="15" t="inlineStr">
        <is>
          <t>Россия, 115432, г. Москва, 4062-й Проектируемый пр-д, д. 6, стр. 16, этаж 3, оф. 26</t>
        </is>
      </c>
      <c r="F223" s="20" t="inlineStr">
        <is>
          <t>https://bigpravo.ru</t>
        </is>
      </c>
      <c r="G223" s="15" t="inlineStr">
        <is>
          <t>info@mos-registrator.com</t>
        </is>
      </c>
      <c r="H223" s="15" t="inlineStr">
        <is>
          <t>Лицензирование медицинских клиник, регистрация медицинских изделий по национальной системе и ЕАЭС, регистрация и защита интеллектуальной собственности, юридическое сопровождение деятельности клиник.</t>
        </is>
      </c>
      <c r="I223" s="15" t="inlineStr">
        <is>
          <t>Инструменты гинекологические; Приборы и аппараты для офтальмодиагностики; Системы и инструменты для дентальной имплантации; Производство медицинских изделий; Лабораторное оборудование; Хирургические инструменты</t>
        </is>
      </c>
      <c r="J223" s="15" t="inlineStr">
        <is>
          <t>Производитель</t>
        </is>
      </c>
      <c r="K223" s="15" t="inlineStr">
        <is>
          <t>OK</t>
        </is>
      </c>
      <c r="L223" s="15" t="inlineStr">
        <is>
          <t>инструменты гинекологические, приборы и аппараты, системы и инструменты, оборудование лабораторное</t>
        </is>
      </c>
      <c r="M223" s="15" t="inlineStr">
        <is>
          <t>Мосрегистратор</t>
        </is>
      </c>
      <c r="N223" s="15" t="inlineStr">
        <is>
          <t>Здравоохранение-2025</t>
        </is>
      </c>
      <c r="O223" s="20" t="inlineStr">
        <is>
          <t>https://icatalog.expocentr.ru/ru/exhibitions/de590dc5-417d-11ee-80ce-a0d3c1fab97f</t>
        </is>
      </c>
    </row>
    <row r="224">
      <c r="A224" s="15" t="inlineStr">
        <is>
          <t>АПЕКС ГРУППА, ООО</t>
        </is>
      </c>
      <c r="B224" s="15" t="inlineStr">
        <is>
          <t>6F065</t>
        </is>
      </c>
      <c r="C224" s="15" t="inlineStr">
        <is>
          <t>Россия</t>
        </is>
      </c>
      <c r="D224" s="15" t="inlineStr">
        <is>
          <t>Москва</t>
        </is>
      </c>
      <c r="E224" s="15" t="inlineStr">
        <is>
          <t>Россия, 109518, г. Москва, ул. Грайвороновская, д. 13, стр. 1</t>
        </is>
      </c>
      <c r="F224" s="20" t="inlineStr">
        <is>
          <t>http://www.apexlab.ru</t>
        </is>
      </c>
      <c r="G224" s="15" t="inlineStr">
        <is>
          <t>ydm@apexlab.ru</t>
        </is>
      </c>
      <c r="H224" s="15" t="inlineStr">
        <is>
          <t>С 1998 года предлагаем решения под любые потребности клинико-диагностических, бактериологических, иммунобиологических и промышленных лабораторий и предоставляем выгодные условия сотрудничества от прямого поставщика лабораторного оборудования, посуды и расходных материалов.</t>
        </is>
      </c>
      <c r="I224" s="15" t="inlineStr">
        <is>
          <t>Центрифуги; Пипетки и пипеточные устройства; Генетика и молекулярная генетика; Гематология; Биохимия; Клиническая химия; ПЦР-диагностика; Расходные материалы для службы крови</t>
        </is>
      </c>
      <c r="J224" s="15" t="inlineStr">
        <is>
          <t>Дилер</t>
        </is>
      </c>
      <c r="K224" s="15" t="inlineStr">
        <is>
          <t>OK</t>
        </is>
      </c>
      <c r="L224" s="15" t="inlineStr">
        <is>
          <t>лабораторное оборудование, посуда и расходные материалы</t>
        </is>
      </c>
      <c r="M224" s="15" t="inlineStr">
        <is>
          <t>Апекс Группа</t>
        </is>
      </c>
      <c r="N224" s="15" t="inlineStr">
        <is>
          <t>Здравоохранение-2025</t>
        </is>
      </c>
      <c r="O224" s="20" t="inlineStr">
        <is>
          <t>https://icatalog.expocentr.ru/ru/exhibitions/de590dc5-417d-11ee-80ce-a0d3c1fab97f</t>
        </is>
      </c>
    </row>
    <row r="225">
      <c r="A225" s="15" t="inlineStr">
        <is>
          <t>ТДЛ ТЕКСТИЛЬ, ООО</t>
        </is>
      </c>
      <c r="B225" s="15" t="inlineStr">
        <is>
          <t>6C070</t>
        </is>
      </c>
      <c r="C225" s="15" t="inlineStr">
        <is>
          <t>Россия</t>
        </is>
      </c>
      <c r="D225" s="15" t="inlineStr">
        <is>
          <t>Иваново</t>
        </is>
      </c>
      <c r="E225" s="15" t="inlineStr">
        <is>
          <t>Россия, 153027, г. Иваново, ул. Павла Большевикова, д. 27, стр. 9</t>
        </is>
      </c>
      <c r="F225" s="20" t="inlineStr">
        <is>
          <t>http://www.tdl-textile.ru</t>
        </is>
      </c>
      <c r="G225" s="15" t="inlineStr">
        <is>
          <t>vladimir_pot@atdl.ru</t>
        </is>
      </c>
      <c r="H225" s="15" t="inlineStr">
        <is>
          <t>Производственная компания «ТДЛ Текстиль», основанная в 1995 году, является крупнейшим производителем медицинских изделий и абсолютным лидером на российском рынке марли и перевязочных материалов.</t>
        </is>
      </c>
      <c r="I225" s="15" t="inlineStr">
        <is>
          <t>Перевязочные средства</t>
        </is>
      </c>
      <c r="J225" s="15" t="inlineStr">
        <is>
          <t>Производитель</t>
        </is>
      </c>
      <c r="K225" s="15" t="inlineStr">
        <is>
          <t>OK</t>
        </is>
      </c>
      <c r="L225" s="15" t="inlineStr">
        <is>
          <t>медицинские изделия, марля и перевязочные материалы</t>
        </is>
      </c>
      <c r="M225" s="15" t="inlineStr">
        <is>
          <t>Тдл Текстиль</t>
        </is>
      </c>
      <c r="N225" s="15" t="inlineStr">
        <is>
          <t>Здравоохранение-2025</t>
        </is>
      </c>
      <c r="O225" s="20" t="inlineStr">
        <is>
          <t>https://icatalog.expocentr.ru/ru/exhibitions/de590dc5-417d-11ee-80ce-a0d3c1fab97f</t>
        </is>
      </c>
    </row>
    <row r="226">
      <c r="A226" s="15" t="inlineStr">
        <is>
          <t>ЗДРАВМЕДТЕХ-Н, ООО</t>
        </is>
      </c>
      <c r="B226" s="15" t="inlineStr">
        <is>
          <t>6D080</t>
        </is>
      </c>
      <c r="C226" s="15" t="inlineStr">
        <is>
          <t>Россия</t>
        </is>
      </c>
      <c r="D226" s="15" t="inlineStr">
        <is>
          <t>Новосибирск</t>
        </is>
      </c>
      <c r="E226" s="15" t="inlineStr">
        <is>
          <t>Россия, 630091, г. Новосибирск, ул. Советская, д. 64/1-603</t>
        </is>
      </c>
      <c r="F226" s="20" t="inlineStr">
        <is>
          <t>http://www.zmtn.ru</t>
        </is>
      </c>
      <c r="G226" s="15" t="inlineStr">
        <is>
          <t>marketing@zmt-nsk.ru</t>
        </is>
      </c>
      <c r="H226" s="15" t="inlineStr">
        <is>
          <t>Предприятие «Здравмедтех-Новосибирск» специализируется на производстве одноразовой медицинской одежды и хирургических комплектов, используемых при оказании различных видов медицинской помощи.</t>
        </is>
      </c>
      <c r="I226" s="15" t="inlineStr">
        <is>
          <t>Одноразовые медицинские изделия прочие</t>
        </is>
      </c>
      <c r="J226" s="15" t="inlineStr">
        <is>
          <t>Производитель</t>
        </is>
      </c>
      <c r="K226" s="15" t="inlineStr">
        <is>
          <t>OK</t>
        </is>
      </c>
      <c r="L226" s="15" t="inlineStr">
        <is>
          <t>медицинская одежда и хирургические комплекты</t>
        </is>
      </c>
      <c r="M226" s="15" t="inlineStr">
        <is>
          <t>Здравмедтех-Н</t>
        </is>
      </c>
      <c r="N226" s="15" t="inlineStr">
        <is>
          <t>Здравоохранение-2025</t>
        </is>
      </c>
      <c r="O226" s="20" t="inlineStr">
        <is>
          <t>https://icatalog.expocentr.ru/ru/exhibitions/de590dc5-417d-11ee-80ce-a0d3c1fab97f</t>
        </is>
      </c>
    </row>
    <row r="227">
      <c r="A227" s="15" t="inlineStr">
        <is>
          <t>ПЕРВЫЙ ТЕРМОМЕТРОВЫЙ ЗАВОД, ООО</t>
        </is>
      </c>
      <c r="B227" s="21" t="n">
        <v>6e+116</v>
      </c>
      <c r="C227" s="15" t="inlineStr">
        <is>
          <t>Россия</t>
        </is>
      </c>
      <c r="D227" s="15" t="inlineStr">
        <is>
          <t>Москва</t>
        </is>
      </c>
      <c r="E227" s="15" t="inlineStr">
        <is>
          <t>Россия, 121471, г. Москва, ул. Рябиновая, д. 69, стр. 1</t>
        </is>
      </c>
      <c r="F227" s="20" t="inlineStr">
        <is>
          <t>http://www.1thermometer.ru</t>
        </is>
      </c>
      <c r="G227" s="15" t="inlineStr">
        <is>
          <t>optmanager@1thermometer.ru</t>
        </is>
      </c>
      <c r="H227" s="15" t="inlineStr">
        <is>
          <t>ООО «Первый термометровый завод» является производителем средств измерения и термометров бытового назначения на территории Российской Федерации.</t>
        </is>
      </c>
      <c r="I227" s="15" t="inlineStr">
        <is>
          <t>Производство медицинских изделий</t>
        </is>
      </c>
      <c r="J227" s="15" t="inlineStr">
        <is>
          <t>Производитель</t>
        </is>
      </c>
      <c r="K227" s="15" t="inlineStr">
        <is>
          <t>OK</t>
        </is>
      </c>
      <c r="L227" s="15" t="inlineStr">
        <is>
          <t>средства измерения и термометры</t>
        </is>
      </c>
      <c r="M227" s="15" t="inlineStr">
        <is>
          <t>Первый Термометровый Завод</t>
        </is>
      </c>
      <c r="N227" s="15" t="inlineStr">
        <is>
          <t>Здравоохранение-2025</t>
        </is>
      </c>
      <c r="O227" s="20" t="inlineStr">
        <is>
          <t>https://icatalog.expocentr.ru/ru/exhibitions/de590dc5-417d-11ee-80ce-a0d3c1fab97f</t>
        </is>
      </c>
    </row>
    <row r="228">
      <c r="A228" s="15" t="inlineStr">
        <is>
          <t>МЕДАППАРАТУРА КПО, ООО</t>
        </is>
      </c>
      <c r="B228" s="21" t="n">
        <v>6e+112</v>
      </c>
      <c r="C228" s="15" t="inlineStr">
        <is>
          <t>Россия</t>
        </is>
      </c>
      <c r="D228" s="15" t="inlineStr">
        <is>
          <t>Москва</t>
        </is>
      </c>
      <c r="E228" s="15" t="inlineStr">
        <is>
          <t>Россия, г. Москва, вн. тер. г. м. о. Измайлово, Измайловское ш., д. 71, корп. 3В, стр. 1</t>
        </is>
      </c>
      <c r="F228" s="20" t="inlineStr">
        <is>
          <t>http://www.medapparatura.ru</t>
        </is>
      </c>
      <c r="G228" s="15" t="inlineStr">
        <is>
          <t>medapparatura@mail.ru</t>
        </is>
      </c>
      <c r="H228" s="15" t="inlineStr">
        <is>
          <t>Поставки инструментов и расходных материалов для проведения процедур ЭКО и ИКСИ. Официальный представитель MINVITRO. Сотрудничество с клиниками в области репродуктивных технологий.</t>
        </is>
      </c>
      <c r="I228" s="15" t="inlineStr">
        <is>
          <t>Инструменты гинекологические; Диагностическое оборудование для гинекологии; Одноразовые медицинские изделия прочие; Расходные материалы для медицинского оборудования; Пипетки и пипеточные устройства</t>
        </is>
      </c>
      <c r="J228" s="15" t="inlineStr">
        <is>
          <t>Дилер</t>
        </is>
      </c>
      <c r="K228" s="15" t="inlineStr">
        <is>
          <t>OK</t>
        </is>
      </c>
      <c r="L228" s="15" t="inlineStr">
        <is>
          <t>инструменты, расходные материалы, пипетки и оборудование</t>
        </is>
      </c>
      <c r="M228" s="15" t="inlineStr">
        <is>
          <t>Медаппаратура КПО</t>
        </is>
      </c>
      <c r="N228" s="15" t="inlineStr">
        <is>
          <t>Здравоохранение-2025</t>
        </is>
      </c>
      <c r="O228" s="20" t="inlineStr">
        <is>
          <t>https://icatalog.expocentr.ru/ru/exhibitions/de590dc5-417d-11ee-80ce-a0d3c1fab97f</t>
        </is>
      </c>
    </row>
    <row r="229">
      <c r="A229" s="15" t="inlineStr">
        <is>
          <t>МЕДПРОЕКТ, ООО</t>
        </is>
      </c>
      <c r="B229" s="15" t="inlineStr">
        <is>
          <t>6F040</t>
        </is>
      </c>
      <c r="C229" s="15" t="inlineStr">
        <is>
          <t>Россия</t>
        </is>
      </c>
      <c r="D229" s="15" t="inlineStr">
        <is>
          <t>Москва</t>
        </is>
      </c>
      <c r="E229" s="15" t="inlineStr">
        <is>
          <t>Россия, 129626, г. Москва, просп. Мира, д. 102, стр. 34, комн. 14</t>
        </is>
      </c>
      <c r="F229" s="20" t="inlineStr">
        <is>
          <t>https://medproekt.msk.ru</t>
        </is>
      </c>
      <c r="G229" s="15" t="inlineStr">
        <is>
          <t>info@medproekt.msk.ru</t>
        </is>
      </c>
      <c r="H229" s="15" t="inlineStr">
        <is>
          <t>ООО «Медпроект» — официальный поставщик Kernel в РФ. Более 25 лет поставляем высокотехнологичное медоборудование (видеокольпоскопы, УФ-лампы, ФДТ) для репродуктивного здоровья.</t>
        </is>
      </c>
      <c r="I229" s="15" t="inlineStr">
        <is>
          <t>Оборудование для мониторинга функций сердечно-сосудистой системы; Диагностическое оборудование для гинекологии; Дерматология; Оборудование для фототерапии; Оборудование для лазерной терапии</t>
        </is>
      </c>
      <c r="J229" s="15" t="inlineStr">
        <is>
          <t>Дилер</t>
        </is>
      </c>
      <c r="K229" s="15" t="inlineStr">
        <is>
          <t>OK</t>
        </is>
      </c>
      <c r="L229" s="15" t="inlineStr">
        <is>
          <t>медоборудование, кольпоскопы и лампы</t>
        </is>
      </c>
      <c r="M229" s="15" t="inlineStr">
        <is>
          <t>Медпроект</t>
        </is>
      </c>
      <c r="N229" s="15" t="inlineStr">
        <is>
          <t>Здравоохранение-2025</t>
        </is>
      </c>
      <c r="O229" s="20" t="inlineStr">
        <is>
          <t>https://icatalog.expocentr.ru/ru/exhibitions/de590dc5-417d-11ee-80ce-a0d3c1fab97f</t>
        </is>
      </c>
    </row>
    <row r="230">
      <c r="A230" s="15" t="inlineStr">
        <is>
          <t>БАЗИС МЕДИКАЛ, ООО</t>
        </is>
      </c>
      <c r="B230" s="15" t="inlineStr">
        <is>
          <t>6B010</t>
        </is>
      </c>
      <c r="C230" s="15" t="inlineStr">
        <is>
          <t>Россия</t>
        </is>
      </c>
      <c r="D230" s="15" t="inlineStr">
        <is>
          <t>Санкт-Петербург</t>
        </is>
      </c>
      <c r="E230" s="15" t="inlineStr">
        <is>
          <t>Россия, 198216, г. Санкт-Петербург, просп. Народного Ополчения, д. 22, стр. 4, пом. 18-Н</t>
        </is>
      </c>
      <c r="F230" s="20" t="inlineStr">
        <is>
          <t>http://www.basismed.ru</t>
        </is>
      </c>
      <c r="G230" s="15" t="inlineStr">
        <is>
          <t>basis@basismed.ru</t>
        </is>
      </c>
      <c r="H230" s="15" t="inlineStr">
        <is>
          <t>Оптовые поставки оборудования и одноразовых расходных материалов для анестезиологии, реанимации, онкологии, хирургии, урологии. Эксклюзивный представитель компании MEDAX (Италия), VIGEO (Италия), CURATIA (Китай), WESTMED (США). Официальный представитель компании BALTON (Польша), KAWE (Германия).</t>
        </is>
      </c>
      <c r="I230" s="15" t="inlineStr">
        <is>
          <t>Инструменты урологические; Одноразовые медицинские изделия прочие; Отоскопы и лор-инструменты; Принадлежности и расходные материалы для реанимации и экстренной помощи</t>
        </is>
      </c>
      <c r="J230" s="15" t="inlineStr">
        <is>
          <t>Дилер</t>
        </is>
      </c>
      <c r="K230" s="15" t="inlineStr">
        <is>
          <t>OK</t>
        </is>
      </c>
      <c r="L230" s="15" t="inlineStr">
        <is>
          <t>оборудование, одноразовые изделия и инструменты</t>
        </is>
      </c>
      <c r="M230" s="15" t="inlineStr">
        <is>
          <t>Базис Медикал</t>
        </is>
      </c>
      <c r="N230" s="15" t="inlineStr">
        <is>
          <t>Здравоохранение-2025</t>
        </is>
      </c>
      <c r="O230" s="20" t="inlineStr">
        <is>
          <t>https://icatalog.expocentr.ru/ru/exhibitions/de590dc5-417d-11ee-80ce-a0d3c1fab97f</t>
        </is>
      </c>
    </row>
    <row r="231">
      <c r="A231" s="15" t="inlineStr">
        <is>
          <t>НЕВСКИЕ ТЕХНОЛОГИИ, ООО</t>
        </is>
      </c>
      <c r="B231" s="15" t="inlineStr">
        <is>
          <t>6G040</t>
        </is>
      </c>
      <c r="C231" s="15" t="inlineStr">
        <is>
          <t>Россия</t>
        </is>
      </c>
      <c r="D231" s="15" t="inlineStr">
        <is>
          <t>Санкт-Петербург</t>
        </is>
      </c>
      <c r="E231" s="15" t="inlineStr">
        <is>
          <t>Россия, 194156, г. Санкт-Петербург, просп. Энгельса, д. 16, корп. 2, пом. 15Н</t>
        </is>
      </c>
      <c r="F231" s="20" t="inlineStr">
        <is>
          <t>http://www.endo-nt.ru</t>
        </is>
      </c>
      <c r="G231" s="15" t="inlineStr">
        <is>
          <t>sales@endo-nt.ru</t>
        </is>
      </c>
      <c r="H231" s="15" t="inlineStr">
        <is>
          <t>Компания «Невские Технологии» с 1998 года поставляет эндоскопы, МРТ, КТ, рентгены и другое медицинское оборудование клиникам, в т. ч. ветеринарным, ремонтирует и обслуживает его, гарантируя качество и сервис.</t>
        </is>
      </c>
      <c r="I231" s="15" t="inlineStr">
        <is>
          <t>Эндоскопы жесткие; Эндоскопы гибкие; Эндоскопические комплексы и системы; Аппараты для искусственной вентиляции легких; Мониторы пациента; Наркозно-дыхательные аппараты</t>
        </is>
      </c>
      <c r="J231" s="15" t="inlineStr">
        <is>
          <t>Дилер</t>
        </is>
      </c>
      <c r="K231" s="15" t="inlineStr">
        <is>
          <t>OK</t>
        </is>
      </c>
      <c r="L231" s="15" t="inlineStr">
        <is>
          <t>эндоскопы, МРТ, КТ, рентгены и мониторы пациента</t>
        </is>
      </c>
      <c r="M231" s="15" t="inlineStr">
        <is>
          <t>Невские Технологии</t>
        </is>
      </c>
      <c r="N231" s="15" t="inlineStr">
        <is>
          <t>Здравоохранение-2025</t>
        </is>
      </c>
      <c r="O231" s="20" t="inlineStr">
        <is>
          <t>https://icatalog.expocentr.ru/ru/exhibitions/de590dc5-417d-11ee-80ce-a0d3c1fab97f</t>
        </is>
      </c>
    </row>
    <row r="232">
      <c r="A232" s="15" t="inlineStr">
        <is>
          <t>УНИКХЕЛЗ, ООО</t>
        </is>
      </c>
      <c r="B232" s="15" t="inlineStr">
        <is>
          <t>6G075</t>
        </is>
      </c>
      <c r="C232" s="15" t="inlineStr">
        <is>
          <t>Россия</t>
        </is>
      </c>
      <c r="D232" s="15" t="inlineStr">
        <is>
          <t>Москва</t>
        </is>
      </c>
      <c r="E232" s="15" t="inlineStr">
        <is>
          <t>Россия, 115419, г. Москва, 2-й Рощинский пр-д, д. 8, пом. XIII, комн. 52</t>
        </is>
      </c>
      <c r="F232" s="20" t="inlineStr">
        <is>
          <t>https://unikhelz.su</t>
        </is>
      </c>
      <c r="G232" s="15" t="inlineStr">
        <is>
          <t>info@unikhelz.su</t>
        </is>
      </c>
      <c r="H232" s="15" t="inlineStr">
        <is>
          <t>ООО «УникХелз» является производителем медицинского оборудования, а также занимается розничной и оптовой продажей медицинского оборудования, инструментов и расходных материалов c 2012 года.</t>
        </is>
      </c>
      <c r="I232" s="15" t="inlineStr">
        <is>
          <t>Диагностическое оборудование для гинекологии; Фетальные мониторы; Медицинская мебель; Производство медицинских изделий; Анализаторы; ПЦР-диагностика</t>
        </is>
      </c>
      <c r="J232" s="15" t="inlineStr">
        <is>
          <t>Производитель</t>
        </is>
      </c>
      <c r="K232" s="15" t="inlineStr">
        <is>
          <t>OK</t>
        </is>
      </c>
      <c r="L232" s="15" t="inlineStr">
        <is>
          <t>медицинское оборудование, инструменты, расходные материалы, медицинская мебель и анализаторы</t>
        </is>
      </c>
      <c r="M232" s="15" t="inlineStr">
        <is>
          <t>Уникхелз</t>
        </is>
      </c>
      <c r="N232" s="15" t="inlineStr">
        <is>
          <t>Здравоохранение-2025</t>
        </is>
      </c>
      <c r="O232" s="20" t="inlineStr">
        <is>
          <t>https://icatalog.expocentr.ru/ru/exhibitions/de590dc5-417d-11ee-80ce-a0d3c1fab97f</t>
        </is>
      </c>
    </row>
    <row r="233">
      <c r="A233" s="15" t="inlineStr">
        <is>
          <t>ПАРАМЕД ДИСТРИБЬЮШН, ООО</t>
        </is>
      </c>
      <c r="B233" s="21" t="n">
        <v>6e+75</v>
      </c>
      <c r="C233" s="15" t="inlineStr">
        <is>
          <t>Россия</t>
        </is>
      </c>
      <c r="D233" s="15" t="inlineStr">
        <is>
          <t>Екатеринбург</t>
        </is>
      </c>
      <c r="E233" s="15" t="inlineStr">
        <is>
          <t>Россия, 620144, г. Екатеринбург, ул. Московская, д. 249</t>
        </is>
      </c>
      <c r="F233" s="20" t="inlineStr">
        <is>
          <t>https://parmd.ru</t>
        </is>
      </c>
      <c r="G233" s="15" t="inlineStr">
        <is>
          <t>info@parmd.ru</t>
        </is>
      </c>
      <c r="H233" s="15" t="inlineStr">
        <is>
          <t>Официальное представительство заводов-изготовителей товаров повседневного спроса медицинского назначения. Работа со складов в России и КНР. Сопровождение сделок. Уникальные изделия и стандартные спецификации.</t>
        </is>
      </c>
      <c r="I233" s="15" t="inlineStr">
        <is>
          <t>Инструменты гинекологические; Средства химической дезинфекции и стерилизации; Инструменты и принадлежности для инъекций  и взятия крови; Одноразовые медицинские изделия прочие; Расходные материалы для службы крови; Оборудование для длительных вливаний крови и растворов</t>
        </is>
      </c>
      <c r="J233" s="15" t="inlineStr">
        <is>
          <t>Дилер</t>
        </is>
      </c>
      <c r="K233" s="15" t="inlineStr">
        <is>
          <t>OK</t>
        </is>
      </c>
      <c r="L233" s="15" t="inlineStr">
        <is>
          <t>инструменты, средства дезинфекции, медицинские изделия, расходные материалы и оборудование</t>
        </is>
      </c>
      <c r="M233" s="15" t="inlineStr">
        <is>
          <t>Парамед Дистрибьюшн</t>
        </is>
      </c>
      <c r="N233" s="15" t="inlineStr">
        <is>
          <t>Здравоохранение-2025</t>
        </is>
      </c>
      <c r="O233" s="20" t="inlineStr">
        <is>
          <t>https://icatalog.expocentr.ru/ru/exhibitions/de590dc5-417d-11ee-80ce-a0d3c1fab97f</t>
        </is>
      </c>
    </row>
    <row r="234">
      <c r="A234" s="15" t="inlineStr">
        <is>
          <t>МедЛайн, OOO</t>
        </is>
      </c>
      <c r="B234" s="21" t="n">
        <v>6e+125</v>
      </c>
      <c r="C234" s="15" t="inlineStr">
        <is>
          <t>Россия</t>
        </is>
      </c>
      <c r="D234" s="15" t="inlineStr">
        <is>
          <t>Омск</t>
        </is>
      </c>
      <c r="E234" s="15" t="inlineStr">
        <is>
          <t>Россия, 644018, г. Омск, ул. 1-я Индустриальная, д. 4, корп. 3, оф. 305</t>
        </is>
      </c>
      <c r="F234" s="20" t="inlineStr">
        <is>
          <t>http://www.medx-ray.ru</t>
        </is>
      </c>
      <c r="G234" s="15" t="inlineStr">
        <is>
          <t>info@medline-rus.ru</t>
        </is>
      </c>
      <c r="H234" s="15" t="inlineStr">
        <is>
          <t>Основной поставщик расходных материалов для рентгенологии и УЗИ. Под собственным брендом ТМ LINESTA мы производим медицинскую одежду и антибактериальные шторы с регистрационным удостоверением.</t>
        </is>
      </c>
      <c r="I234" s="15" t="inlineStr">
        <is>
          <t>Одежда и белье для пациентов и медицинского персонала; Оборудование и средства борьбы с внутрибольничной инфекцией; Ультразвуковые сканеры и диагностические системы</t>
        </is>
      </c>
      <c r="J234" s="15" t="inlineStr">
        <is>
          <t>Производитель</t>
        </is>
      </c>
      <c r="K234" s="15" t="inlineStr">
        <is>
          <t>OK</t>
        </is>
      </c>
      <c r="L234" s="15" t="inlineStr">
        <is>
          <t>расходные материалы, медицинская одежда, антибактериальные шторы и ультразвуковые сканеры</t>
        </is>
      </c>
      <c r="M234" s="15" t="inlineStr">
        <is>
          <t>МедЛайн</t>
        </is>
      </c>
      <c r="N234" s="15" t="inlineStr">
        <is>
          <t>Здравоохранение-2025</t>
        </is>
      </c>
      <c r="O234" s="20" t="inlineStr">
        <is>
          <t>https://icatalog.expocentr.ru/ru/exhibitions/de590dc5-417d-11ee-80ce-a0d3c1fab97f</t>
        </is>
      </c>
    </row>
    <row r="235">
      <c r="A235" s="15" t="inlineStr">
        <is>
          <t>МАРИЯ, МЕДИЦИНСКАЯ КОМПАНИЯ, ООО</t>
        </is>
      </c>
      <c r="B235" s="15" t="inlineStr">
        <is>
          <t>6D095</t>
        </is>
      </c>
      <c r="C235" s="15" t="inlineStr">
        <is>
          <t>Россия</t>
        </is>
      </c>
      <c r="D235" s="15" t="inlineStr">
        <is>
          <t>Нижний Новгород</t>
        </is>
      </c>
      <c r="E235" s="15" t="inlineStr">
        <is>
          <t>Россия, 603032, г. Нижний Новгород, ул. Усиевича, д. 4a</t>
        </is>
      </c>
      <c r="F235" s="15" t="inlineStr">
        <is>
          <t>http://www.мкмария.рф</t>
        </is>
      </c>
      <c r="G235" s="15" t="inlineStr">
        <is>
          <t>mknika@yandex.ru</t>
        </is>
      </c>
      <c r="H235" s="15" t="inlineStr">
        <is>
          <t>Комплексное обеспечение медицинских организаций медицинским инструментом, мебелью и оборудованием.</t>
        </is>
      </c>
      <c r="I235" s="15" t="inlineStr">
        <is>
          <t>Инструменты гинекологические; Стоматологическое оборудование и инструменты; Медицинская мебель; Кушетки медицинские; Оборудование для стерилизации; Инструменты общехирургические</t>
        </is>
      </c>
      <c r="J235" s="15" t="inlineStr">
        <is>
          <t>Дилер</t>
        </is>
      </c>
      <c r="K235" s="15" t="inlineStr">
        <is>
          <t>OK</t>
        </is>
      </c>
      <c r="L235" s="15" t="inlineStr">
        <is>
          <t>инструменты, мебель и оборудование</t>
        </is>
      </c>
      <c r="M235" s="15" t="inlineStr">
        <is>
          <t>Мария</t>
        </is>
      </c>
      <c r="N235" s="15" t="inlineStr">
        <is>
          <t>Здравоохранение-2025</t>
        </is>
      </c>
      <c r="O235" s="20" t="inlineStr">
        <is>
          <t>https://icatalog.expocentr.ru/ru/exhibitions/de590dc5-417d-11ee-80ce-a0d3c1fab97f</t>
        </is>
      </c>
    </row>
    <row r="236">
      <c r="A236" s="15" t="inlineStr">
        <is>
          <t>БИОТЕКФАРМ, ООО</t>
        </is>
      </c>
      <c r="B236" s="15" t="inlineStr">
        <is>
          <t>6A020</t>
        </is>
      </c>
      <c r="C236" s="15" t="inlineStr">
        <is>
          <t>Россия</t>
        </is>
      </c>
      <c r="D236" s="15" t="inlineStr">
        <is>
          <t>Москва</t>
        </is>
      </c>
      <c r="E236" s="15" t="inlineStr">
        <is>
          <t>Россия, 123458, г. Москва, ул. Твардовского, д. 8</t>
        </is>
      </c>
      <c r="F236" s="20" t="inlineStr">
        <is>
          <t>http://www.voscopran.ru</t>
        </is>
      </c>
      <c r="G236" s="15" t="inlineStr">
        <is>
          <t>Info@voscopran.ru</t>
        </is>
      </c>
      <c r="H236" s="15" t="inlineStr">
        <is>
          <t>Разработчик и производитель современных лечебных перевязочных средств «Всё заживёт». Выпускаются серии повязок «Воскопран», «Парапран», «Гелепран», «Полипран», «Гемосорб», лейкопластыри «Докапласт» и «Ролепласт».</t>
        </is>
      </c>
      <c r="I236" s="15" t="inlineStr">
        <is>
          <t>Перевязочные средства; Производство медицинских изделий; Одноразовые медицинские изделия; Средства для оказания экстренной медицинской помощи</t>
        </is>
      </c>
      <c r="J236" s="15" t="inlineStr">
        <is>
          <t>Производитель</t>
        </is>
      </c>
      <c r="K236" s="15" t="inlineStr">
        <is>
          <t>OK</t>
        </is>
      </c>
      <c r="L236" s="15" t="inlineStr">
        <is>
          <t>перевязочные средства и лейкопластыри</t>
        </is>
      </c>
      <c r="M236" s="15" t="inlineStr">
        <is>
          <t>Биотекфарм</t>
        </is>
      </c>
      <c r="N236" s="15" t="inlineStr">
        <is>
          <t>Здравоохранение-2025</t>
        </is>
      </c>
      <c r="O236" s="20" t="inlineStr">
        <is>
          <t>https://icatalog.expocentr.ru/ru/exhibitions/de590dc5-417d-11ee-80ce-a0d3c1fab97f</t>
        </is>
      </c>
    </row>
    <row r="237">
      <c r="A237" s="15" t="inlineStr">
        <is>
          <t>АРХИМЕД, ООО</t>
        </is>
      </c>
      <c r="B237" s="15" t="inlineStr">
        <is>
          <t>6B095</t>
        </is>
      </c>
      <c r="C237" s="15" t="inlineStr">
        <is>
          <t>Россия</t>
        </is>
      </c>
      <c r="D237" s="15" t="inlineStr">
        <is>
          <t>Лобня</t>
        </is>
      </c>
      <c r="E237" s="15" t="inlineStr">
        <is>
          <t>Россия, 141730, Московская обл., г. Лобня, ул. Окружная, д. 13, пом. 0027</t>
        </is>
      </c>
      <c r="F237" s="20" t="inlineStr">
        <is>
          <t>http://www.arxmed.ru</t>
        </is>
      </c>
      <c r="G237" s="15" t="inlineStr">
        <is>
          <t>zakaz@arxmed.ru</t>
        </is>
      </c>
      <c r="H237" s="15" t="inlineStr">
        <is>
          <t>Компания «АРХИМЕД» — эксклюзивный представитель Katsan Surgical Sutures, ведущего разработчика и производителя хирургических шовных материалов. Зарегистрирован в РФ, РУ № РЗН 2023/20082 от 14.04.2023.</t>
        </is>
      </c>
      <c r="I237" s="15" t="inlineStr">
        <is>
          <t>Шовный материал</t>
        </is>
      </c>
      <c r="J237" s="15" t="inlineStr">
        <is>
          <t>Дилер</t>
        </is>
      </c>
      <c r="K237" s="15" t="inlineStr">
        <is>
          <t>OK</t>
        </is>
      </c>
      <c r="L237" s="15" t="inlineStr">
        <is>
          <t>шовные материалы</t>
        </is>
      </c>
      <c r="M237" s="15" t="inlineStr">
        <is>
          <t>Архимед</t>
        </is>
      </c>
      <c r="N237" s="15" t="inlineStr">
        <is>
          <t>Здравоохранение-2025</t>
        </is>
      </c>
      <c r="O237" s="20" t="inlineStr">
        <is>
          <t>https://icatalog.expocentr.ru/ru/exhibitions/de590dc5-417d-11ee-80ce-a0d3c1fab97f</t>
        </is>
      </c>
    </row>
    <row r="238">
      <c r="A238" s="15" t="inlineStr">
        <is>
          <t>СТК, ГРУППА, ООО</t>
        </is>
      </c>
      <c r="B238" s="15" t="inlineStr">
        <is>
          <t>6C080</t>
        </is>
      </c>
      <c r="C238" s="15" t="inlineStr">
        <is>
          <t>Россия</t>
        </is>
      </c>
      <c r="D238" s="15" t="inlineStr">
        <is>
          <t>Самара</t>
        </is>
      </c>
      <c r="E238" s="15" t="inlineStr">
        <is>
          <t>Россия, 443022, г. Самара, Гаражный пр-д, д. 3</t>
        </is>
      </c>
      <c r="F238" s="20" t="inlineStr">
        <is>
          <t>https://gruppastk.ru</t>
        </is>
      </c>
      <c r="G238" s="15" t="inlineStr">
        <is>
          <t>saikova-e@mail.ru</t>
        </is>
      </c>
      <c r="H238" s="15" t="inlineStr">
        <is>
          <t>Производство медицинских одноразовых шприцов.</t>
        </is>
      </c>
      <c r="I238" s="15" t="inlineStr">
        <is>
          <t>Оборудование для стерилизации; Одноразовые медицинские изделия прочие; Производство медицинских изделий; Хирургические инструменты; Инструменты общехирургические; Специализированные медицинские инструменты</t>
        </is>
      </c>
      <c r="J238" s="15" t="inlineStr">
        <is>
          <t>Производитель</t>
        </is>
      </c>
      <c r="K238" s="15" t="inlineStr">
        <is>
          <t>OK</t>
        </is>
      </c>
      <c r="L238" s="15" t="inlineStr">
        <is>
          <t>шприцы, медицинские изделия и хирургические инструменты</t>
        </is>
      </c>
      <c r="M238" s="15" t="inlineStr">
        <is>
          <t>СТК, Группа</t>
        </is>
      </c>
      <c r="N238" s="15" t="inlineStr">
        <is>
          <t>Здравоохранение-2025</t>
        </is>
      </c>
      <c r="O238" s="20" t="inlineStr">
        <is>
          <t>https://icatalog.expocentr.ru/ru/exhibitions/de590dc5-417d-11ee-80ce-a0d3c1fab97f</t>
        </is>
      </c>
    </row>
    <row r="239">
      <c r="A239" s="15" t="inlineStr">
        <is>
          <t>МЕДФАРМСЕРВИС, ИВФ, ООО</t>
        </is>
      </c>
      <c r="B239" s="15" t="inlineStr">
        <is>
          <t>6G020</t>
        </is>
      </c>
      <c r="C239" s="15" t="inlineStr">
        <is>
          <t>Россия</t>
        </is>
      </c>
      <c r="D239" s="15" t="inlineStr">
        <is>
          <t>Казань</t>
        </is>
      </c>
      <c r="E239" s="15" t="inlineStr">
        <is>
          <t>Россия, 420127, Республика Татарстан, г. Казань, ул. Побежимова, д. 36, пом. 1012</t>
        </is>
      </c>
      <c r="F239" s="20" t="inlineStr">
        <is>
          <t>http://www.mfsendo.com</t>
        </is>
      </c>
      <c r="G239" s="15" t="inlineStr">
        <is>
          <t>mfservice@mail.ru</t>
        </is>
      </c>
      <c r="H239" s="15" t="inlineStr">
        <is>
          <t>Разработка, производство и поставка медицинского оборудования и инструментов, предназначенных для специализированных отраслей медицины, включая артроскопию, гибкую эндоскопию, гинекологию, лапароскопию, риноскопию, урологию, электрохирургию.</t>
        </is>
      </c>
      <c r="I239" s="15" t="inlineStr">
        <is>
          <t>Инструменты гинекологические; Инструменты урологические; Производство медицинских изделий; Эндоскопы жесткие; Оборудование и средства для лапароскопии; Инструменты и принадлежности для эндоскопии</t>
        </is>
      </c>
      <c r="J239" s="15" t="inlineStr">
        <is>
          <t>Производитель</t>
        </is>
      </c>
      <c r="K239" s="15" t="inlineStr">
        <is>
          <t>OK</t>
        </is>
      </c>
      <c r="L239" s="15" t="inlineStr">
        <is>
          <t>медицинское оборудование, инструменты, эндоскопы</t>
        </is>
      </c>
      <c r="M239" s="15" t="inlineStr">
        <is>
          <t>Медфармсервис, ИВФ</t>
        </is>
      </c>
      <c r="N239" s="15" t="inlineStr">
        <is>
          <t>Здравоохранение-2025</t>
        </is>
      </c>
      <c r="O239" s="20" t="inlineStr">
        <is>
          <t>https://icatalog.expocentr.ru/ru/exhibitions/de590dc5-417d-11ee-80ce-a0d3c1fab97f</t>
        </is>
      </c>
    </row>
    <row r="240">
      <c r="A240" s="15" t="inlineStr">
        <is>
          <t>АЛЬФАХИМ, ООО</t>
        </is>
      </c>
      <c r="B240" s="15" t="inlineStr">
        <is>
          <t>6G060</t>
        </is>
      </c>
      <c r="C240" s="15" t="inlineStr">
        <is>
          <t>Россия</t>
        </is>
      </c>
      <c r="D240" s="15" t="inlineStr">
        <is>
          <t>Красноярск</t>
        </is>
      </c>
      <c r="E240" s="15" t="inlineStr">
        <is>
          <t>Россия, 660135, г. Красноярск, ул. Молокова, д. 68, кв. 263</t>
        </is>
      </c>
      <c r="F240" s="20" t="inlineStr">
        <is>
          <t>http://www.alfachem.su</t>
        </is>
      </c>
      <c r="G240" s="15" t="inlineStr">
        <is>
          <t>info@alfachem.su</t>
        </is>
      </c>
      <c r="H240" s="15" t="inlineStr">
        <is>
          <t>Производство медицинских изделий для травматологии и хирургии, в том числе бинтов ортопедических полимерных ALFACAST, ALFACAST SOFT, полимерных лонгет ALFASPLINT и инцизной пленки ALFAINCISE.</t>
        </is>
      </c>
      <c r="I240" s="15" t="inlineStr">
        <is>
          <t>Перевязочные средства; Производство медицинских изделий; Средства для оказания экстренной медицинской помощи; Инструменты общехирургические; Ортезы</t>
        </is>
      </c>
      <c r="J240" s="15" t="inlineStr">
        <is>
          <t>Производитель</t>
        </is>
      </c>
      <c r="K240" s="15" t="inlineStr">
        <is>
          <t>OK</t>
        </is>
      </c>
      <c r="L240" s="15" t="inlineStr">
        <is>
          <t>перевязочные средства, ортезы, медицинские изделия и хирургические инструменты</t>
        </is>
      </c>
      <c r="M240" s="15" t="inlineStr">
        <is>
          <t>Альфахим</t>
        </is>
      </c>
      <c r="N240" s="15" t="inlineStr">
        <is>
          <t>Здравоохранение-2025</t>
        </is>
      </c>
      <c r="O240" s="20" t="inlineStr">
        <is>
          <t>https://icatalog.expocentr.ru/ru/exhibitions/de590dc5-417d-11ee-80ce-a0d3c1fab97f</t>
        </is>
      </c>
    </row>
    <row r="241">
      <c r="A241" s="15" t="inlineStr">
        <is>
          <t>ПЕРСПЕКТИВА-М, ООО</t>
        </is>
      </c>
      <c r="B241" s="15" t="inlineStr">
        <is>
          <t>6F100</t>
        </is>
      </c>
      <c r="C241" s="15" t="inlineStr">
        <is>
          <t>Россия</t>
        </is>
      </c>
      <c r="D241" s="15" t="inlineStr">
        <is>
          <t>Нижний Новгород</t>
        </is>
      </c>
      <c r="E241" s="15" t="inlineStr">
        <is>
          <t>Россия, 603106, г. Нижний Новгород, ул. Бориса Корнилова, д. 3, корп. 2, кв. 50</t>
        </is>
      </c>
      <c r="F241" s="20" t="inlineStr">
        <is>
          <t>https://perspectiva-m.ru</t>
        </is>
      </c>
      <c r="G241" s="15" t="inlineStr">
        <is>
          <t>pers-med2.0@yandex.ru</t>
        </is>
      </c>
      <c r="H241" s="15" t="inlineStr">
        <is>
          <t>Поставка аппаратов искусственной почки, расходных материалов для гемодиализа, запасных частей к аппаратам.</t>
        </is>
      </c>
      <c r="I241" s="15" t="inlineStr">
        <is>
          <t>Оборудование и расходные материалы для проведения гемосорбции, гемодиализа и плазмофереза</t>
        </is>
      </c>
      <c r="J241" s="15" t="inlineStr">
        <is>
          <t>Дилер</t>
        </is>
      </c>
      <c r="K241" s="15" t="inlineStr">
        <is>
          <t>OK</t>
        </is>
      </c>
      <c r="L241" s="15" t="inlineStr">
        <is>
          <t>аппараты, расходные материалы и запасные части</t>
        </is>
      </c>
      <c r="M241" s="15" t="inlineStr">
        <is>
          <t>Перспектива-М</t>
        </is>
      </c>
      <c r="N241" s="15" t="inlineStr">
        <is>
          <t>Здравоохранение-2025</t>
        </is>
      </c>
      <c r="O241" s="20" t="inlineStr">
        <is>
          <t>https://icatalog.expocentr.ru/ru/exhibitions/de590dc5-417d-11ee-80ce-a0d3c1fab97f</t>
        </is>
      </c>
    </row>
    <row r="242">
      <c r="A242" s="15" t="inlineStr">
        <is>
          <t>ЭКОЛАТ</t>
        </is>
      </c>
      <c r="B242" s="15" t="inlineStr">
        <is>
          <t>6D085</t>
        </is>
      </c>
      <c r="C242" s="15" t="inlineStr">
        <is>
          <t>Россия</t>
        </is>
      </c>
      <c r="D242" s="15" t="inlineStr">
        <is>
          <t>Обнинск</t>
        </is>
      </c>
      <c r="E242" s="15" t="inlineStr">
        <is>
          <t>Россия, 249039, Калужская обл., г. Обнинск, ул. Калужская, д. 4, оф. 3/1-70</t>
        </is>
      </c>
      <c r="F242" s="20" t="inlineStr">
        <is>
          <t>http://ecolat.shop</t>
        </is>
      </c>
      <c r="G242" s="15" t="inlineStr">
        <is>
          <t>info@ecolat.ru</t>
        </is>
      </c>
      <c r="H242" s="15" t="inlineStr">
        <is>
          <t>Компания «Оптические Диски» более 12 лет занимается импортом и производством латексных нитриловых перчаток. Качество материалов и надежность являются основополагающим в работе компании.</t>
        </is>
      </c>
      <c r="I242" s="15" t="inlineStr">
        <is>
          <t>Одноразовые медицинские изделия прочие; Производство медицинских изделий</t>
        </is>
      </c>
      <c r="J242" s="15" t="inlineStr">
        <is>
          <t>Производитель</t>
        </is>
      </c>
      <c r="K242" s="15" t="inlineStr">
        <is>
          <t>OK</t>
        </is>
      </c>
      <c r="L242" s="15" t="inlineStr">
        <is>
          <t>перчатки</t>
        </is>
      </c>
      <c r="M242" s="15" t="inlineStr">
        <is>
          <t>Эколат</t>
        </is>
      </c>
      <c r="N242" s="15" t="inlineStr">
        <is>
          <t>Здравоохранение-2025</t>
        </is>
      </c>
      <c r="O242" s="20" t="inlineStr">
        <is>
          <t>https://icatalog.expocentr.ru/ru/exhibitions/de590dc5-417d-11ee-80ce-a0d3c1fab97f</t>
        </is>
      </c>
    </row>
    <row r="243">
      <c r="A243" s="15" t="inlineStr">
        <is>
          <t>МИМ, ООО</t>
        </is>
      </c>
      <c r="B243" s="21" t="n">
        <v>6e+64</v>
      </c>
      <c r="C243" s="15" t="inlineStr">
        <is>
          <t>Россия</t>
        </is>
      </c>
      <c r="D243" s="15" t="n"/>
      <c r="E243" s="15" t="inlineStr">
        <is>
          <t>Россия, 625517, Тюменская обл., Тюменский р-н, с. Мальково, Мирный пр-д, д. 30, стр. 1</t>
        </is>
      </c>
      <c r="F243" s="20" t="inlineStr">
        <is>
          <t>http://www.ooo-mim.ru</t>
        </is>
      </c>
      <c r="G243" s="15" t="inlineStr">
        <is>
          <t>komm@ooo-mim.ru</t>
        </is>
      </c>
      <c r="H243" s="15" t="inlineStr">
        <is>
          <t>Производство одноразовых медицинских изделий: индефляторов, шприцев для шприцевых насосов, инфузионных линий, наборов для дренирования плевральной полости, устройств для активного дренирования ран, аспирационных наконечников Янкауэра, кружек Эсмарха и наконечников для кружек Эсмарха, наборов ректальных, устройств для ирригоскопии, зеркал и наборов гинекологических, шпателей языковых и олив для промывания носа.</t>
        </is>
      </c>
      <c r="I243" s="15" t="inlineStr">
        <is>
          <t>Инструменты гинекологические; Инструменты и принадлежности для инъекций  и взятия крови; Одноразовые медицинские изделия прочие; Производство медицинских изделий; Инструменты общехирургические; Аппараты и материалы для сердечно-сосудистой хирургии</t>
        </is>
      </c>
      <c r="J243" s="15" t="inlineStr">
        <is>
          <t>Производитель</t>
        </is>
      </c>
      <c r="K243" s="15" t="inlineStr">
        <is>
          <t>OK</t>
        </is>
      </c>
      <c r="L243" s="15" t="inlineStr">
        <is>
          <t>медицинские изделия, гинекологические инструменты и принадлежности для инъекций</t>
        </is>
      </c>
      <c r="M243" s="15" t="inlineStr">
        <is>
          <t>МИМ</t>
        </is>
      </c>
      <c r="N243" s="15" t="inlineStr">
        <is>
          <t>Здравоохранение-2025</t>
        </is>
      </c>
      <c r="O243" s="20" t="inlineStr">
        <is>
          <t>https://icatalog.expocentr.ru/ru/exhibitions/de590dc5-417d-11ee-80ce-a0d3c1fab97f</t>
        </is>
      </c>
    </row>
    <row r="244">
      <c r="A244" s="15" t="inlineStr">
        <is>
          <t>ЗДРАВМЕДТЕХ-М, ООО</t>
        </is>
      </c>
      <c r="B244" s="15" t="inlineStr">
        <is>
          <t>6B040</t>
        </is>
      </c>
      <c r="C244" s="15" t="inlineStr">
        <is>
          <t>Россия</t>
        </is>
      </c>
      <c r="D244" s="15" t="inlineStr">
        <is>
          <t>Москва</t>
        </is>
      </c>
      <c r="E244" s="15" t="inlineStr">
        <is>
          <t>Россия, 111024, г. Москва, ул. 2-я Кабельная, д. 2, стр. 5</t>
        </is>
      </c>
      <c r="F244" s="20" t="inlineStr">
        <is>
          <t>http://zmt-moscow.ru</t>
        </is>
      </c>
      <c r="G244" s="15" t="inlineStr">
        <is>
          <t>info@zmt-m.ru</t>
        </is>
      </c>
      <c r="H244" s="15" t="inlineStr">
        <is>
          <t>Производитель одноразовой одежды и белья.</t>
        </is>
      </c>
      <c r="I244" s="15" t="inlineStr">
        <is>
          <t>Одежда и белье для пациентов и медицинского персонала; Гигиенические изделия для больниц; Одноразовые медицинские изделия прочие; Расходные материалы для медицинского оборудования</t>
        </is>
      </c>
      <c r="J244" s="15" t="inlineStr">
        <is>
          <t>Производитель</t>
        </is>
      </c>
      <c r="K244" s="15" t="inlineStr">
        <is>
          <t>OK</t>
        </is>
      </c>
      <c r="L244" s="15" t="inlineStr">
        <is>
          <t>одежда, белье, гигиенические изделия и расходные материалы</t>
        </is>
      </c>
      <c r="M244" s="15" t="inlineStr">
        <is>
          <t>Здравмедтех-М</t>
        </is>
      </c>
      <c r="N244" s="15" t="inlineStr">
        <is>
          <t>Здравоохранение-2025</t>
        </is>
      </c>
      <c r="O244" s="20" t="inlineStr">
        <is>
          <t>https://icatalog.expocentr.ru/ru/exhibitions/de590dc5-417d-11ee-80ce-a0d3c1fab97f</t>
        </is>
      </c>
    </row>
    <row r="245">
      <c r="A245" s="15" t="inlineStr">
        <is>
          <t>АЛЬФАТОРИЯ, ООО</t>
        </is>
      </c>
      <c r="B245" s="15" t="inlineStr">
        <is>
          <t>6G036</t>
        </is>
      </c>
      <c r="C245" s="15" t="inlineStr">
        <is>
          <t>Россия</t>
        </is>
      </c>
      <c r="D245" s="15" t="inlineStr">
        <is>
          <t>Воронеж</t>
        </is>
      </c>
      <c r="E245" s="15" t="inlineStr">
        <is>
          <t>Россия, 394028, г. Воронеж, ул. Димитрова, д. 124И, оф. 1</t>
        </is>
      </c>
      <c r="F245" s="20" t="inlineStr">
        <is>
          <t>http://www.alfatory.ru</t>
        </is>
      </c>
      <c r="G245" s="15" t="inlineStr">
        <is>
          <t>mail@alfatory.ru</t>
        </is>
      </c>
      <c r="H245" s="15" t="inlineStr">
        <is>
          <t>ООО «Альфатория» — партнер ведущих мировых производителей медицинских расходных материалов. Мы представляем широкий ассортимент медицинских товаров импортного и отечественного производства.</t>
        </is>
      </c>
      <c r="I245" s="15" t="inlineStr">
        <is>
          <t>Перевязочные средства; Расходные материалы для медицинских приборов; Инструменты и принадлежности для инъекций  и взятия крови; Гигиенические изделия для больниц; Одноразовые медицинские изделия прочие; Расходные материалы для медицинского оборудования</t>
        </is>
      </c>
      <c r="J245" s="15" t="inlineStr">
        <is>
          <t>Дилер</t>
        </is>
      </c>
      <c r="K245" s="15" t="inlineStr">
        <is>
          <t>OK</t>
        </is>
      </c>
      <c r="L245" s="15" t="inlineStr">
        <is>
          <t>расходные материалы, перевязочные средства и гигиенические изделия</t>
        </is>
      </c>
      <c r="M245" s="15" t="inlineStr">
        <is>
          <t>Альфатория</t>
        </is>
      </c>
      <c r="N245" s="15" t="inlineStr">
        <is>
          <t>Здравоохранение-2025</t>
        </is>
      </c>
      <c r="O245" s="20" t="inlineStr">
        <is>
          <t>https://icatalog.expocentr.ru/ru/exhibitions/de590dc5-417d-11ee-80ce-a0d3c1fab97f</t>
        </is>
      </c>
    </row>
    <row r="246">
      <c r="A246" s="15" t="inlineStr">
        <is>
          <t>ЮНИКОРНМЕД, ООО</t>
        </is>
      </c>
      <c r="B246" s="15" t="inlineStr">
        <is>
          <t>6D050</t>
        </is>
      </c>
      <c r="C246" s="15" t="inlineStr">
        <is>
          <t>Россия</t>
        </is>
      </c>
      <c r="D246" s="15" t="inlineStr">
        <is>
          <t>Санкт-Петербург</t>
        </is>
      </c>
      <c r="E246" s="15" t="inlineStr">
        <is>
          <t>Россия, 192019, г. Санкт-Петербург, ул. Мельничная, д. 18, литера А</t>
        </is>
      </c>
      <c r="F246" s="20" t="inlineStr">
        <is>
          <t>http://www.unicmed.ru</t>
        </is>
      </c>
      <c r="G246" s="15" t="inlineStr">
        <is>
          <t>info@unicmed.ru</t>
        </is>
      </c>
      <c r="H246" s="15" t="inlineStr">
        <is>
          <t>Поставка одноразовых медицинских расходных материалов от производителя: зондов, зеркал и наборов гинекологических, спиртовых салфеток, катетеров, мочеприемников, лор-инструментов.</t>
        </is>
      </c>
      <c r="I246" s="15" t="inlineStr">
        <is>
          <t>Инструменты гинекологические; Расходные материалы для медицинских приборов; Инструменты и принадлежности для инъекций  и взятия крови; Одноразовые медицинские изделия прочие; Расходные материалы для медицинского оборудования; Производство медицинских изделий; Отоскопы и лор-инструменты; Прочие изделия для лабораторий; Реагенты и расходные материалы для лабораторной диагностики</t>
        </is>
      </c>
      <c r="J246" s="15" t="inlineStr">
        <is>
          <t>Производитель</t>
        </is>
      </c>
      <c r="K246" s="15" t="inlineStr">
        <is>
          <t>OK</t>
        </is>
      </c>
      <c r="L246" s="15" t="inlineStr">
        <is>
          <t>медицинские изделия, зонды, катетеры и салфетки</t>
        </is>
      </c>
      <c r="M246" s="15" t="inlineStr">
        <is>
          <t>Юникорнмед</t>
        </is>
      </c>
      <c r="N246" s="15" t="inlineStr">
        <is>
          <t>Здравоохранение-2025</t>
        </is>
      </c>
      <c r="O246" s="20" t="inlineStr">
        <is>
          <t>https://icatalog.expocentr.ru/ru/exhibitions/de590dc5-417d-11ee-80ce-a0d3c1fab97f</t>
        </is>
      </c>
    </row>
    <row r="247">
      <c r="A247" s="15" t="inlineStr">
        <is>
          <t>НАТАНА ГРУПП, ООО</t>
        </is>
      </c>
      <c r="B247" s="15" t="inlineStr">
        <is>
          <t>6F090</t>
        </is>
      </c>
      <c r="C247" s="15" t="inlineStr">
        <is>
          <t>Россия</t>
        </is>
      </c>
      <c r="D247" s="15" t="inlineStr">
        <is>
          <t>Москва</t>
        </is>
      </c>
      <c r="E247" s="15" t="inlineStr">
        <is>
          <t>Россия, 107031, г. Москва, ул. Кузнецкий Мост, д. 21/5, этаж 4, пом. II, комн. 21</t>
        </is>
      </c>
      <c r="F247" s="20" t="inlineStr">
        <is>
          <t>http://www.natana-group.ru</t>
        </is>
      </c>
      <c r="G247" s="15" t="inlineStr">
        <is>
          <t>info@natana-group.ru</t>
        </is>
      </c>
      <c r="H247" s="15" t="inlineStr">
        <is>
          <t>С 2007 года осуществляем поставку на медицинский рынок России расходных материалов для онкологии, анестезиологии и реанимации.</t>
        </is>
      </c>
      <c r="I247" s="15" t="inlineStr">
        <is>
          <t>Одноразовые медицинские изделия прочие; Оборудование для длительных вливаний крови и растворов</t>
        </is>
      </c>
      <c r="J247" s="15" t="inlineStr">
        <is>
          <t>Дилер</t>
        </is>
      </c>
      <c r="K247" s="15" t="inlineStr">
        <is>
          <t>OK</t>
        </is>
      </c>
      <c r="L247" s="15" t="inlineStr">
        <is>
          <t>расходные материалы, одноразовые медицинские изделия и оборудование</t>
        </is>
      </c>
      <c r="M247" s="15" t="inlineStr">
        <is>
          <t>Натана Групп</t>
        </is>
      </c>
      <c r="N247" s="15" t="inlineStr">
        <is>
          <t>Здравоохранение-2025</t>
        </is>
      </c>
      <c r="O247" s="20" t="inlineStr">
        <is>
          <t>https://icatalog.expocentr.ru/ru/exhibitions/de590dc5-417d-11ee-80ce-a0d3c1fab97f</t>
        </is>
      </c>
    </row>
    <row r="248">
      <c r="A248" s="15" t="inlineStr">
        <is>
          <t>МЕДИНТОРГ</t>
        </is>
      </c>
      <c r="B248" s="15" t="inlineStr">
        <is>
          <t>6F055</t>
        </is>
      </c>
      <c r="C248" s="15" t="inlineStr">
        <is>
          <t>Россия</t>
        </is>
      </c>
      <c r="D248" s="15" t="inlineStr">
        <is>
          <t>Москва</t>
        </is>
      </c>
      <c r="E248" s="15" t="inlineStr">
        <is>
          <t>Россия, 123103, г. Москва, просп. Маршала Жукова, д. 74, корп. 2</t>
        </is>
      </c>
      <c r="F248" s="20" t="inlineStr">
        <is>
          <t>http://www.medintorg.ru</t>
        </is>
      </c>
      <c r="G248" s="15" t="inlineStr">
        <is>
          <t>pr@medintorg.ru</t>
        </is>
      </c>
      <c r="H248" s="15" t="inlineStr">
        <is>
          <t>АО «Мединторг» с 1994 года осуществляет полный комплекс услуг по регистрации и дистрибьюции фармацевтической продукции, иммунобиологических препаратов, медицинского оборудования и расходных материалов.</t>
        </is>
      </c>
      <c r="I248" s="15" t="inlineStr">
        <is>
          <t>Перевязочные средства; Одноразовые медицинские изделия прочие; Анализаторы; Иммунология; Оборудование и расходные материалы для проведения гемосорбции, гемодиализа и плазмофереза</t>
        </is>
      </c>
      <c r="J248" s="15" t="inlineStr">
        <is>
          <t>Дилер</t>
        </is>
      </c>
      <c r="K248" s="15" t="inlineStr">
        <is>
          <t>OK</t>
        </is>
      </c>
      <c r="L248" s="15" t="inlineStr">
        <is>
          <t>фармацевтическая продукция, препараты, медицинское оборудование и расходные материалы</t>
        </is>
      </c>
      <c r="M248" s="15" t="inlineStr">
        <is>
          <t>Мединторг</t>
        </is>
      </c>
      <c r="N248" s="15" t="inlineStr">
        <is>
          <t>Здравоохранение-2025</t>
        </is>
      </c>
      <c r="O248" s="20" t="inlineStr">
        <is>
          <t>https://icatalog.expocentr.ru/ru/exhibitions/de590dc5-417d-11ee-80ce-a0d3c1fab97f</t>
        </is>
      </c>
    </row>
    <row r="249">
      <c r="A249" s="15" t="inlineStr">
        <is>
          <t>ЯРВАРД ЭЛЕКТРОНИКС, ООО</t>
        </is>
      </c>
      <c r="B249" s="21" t="n">
        <v>60</v>
      </c>
      <c r="C249" s="15" t="inlineStr">
        <is>
          <t>Россия</t>
        </is>
      </c>
      <c r="D249" s="15" t="inlineStr">
        <is>
          <t>Одинцово</t>
        </is>
      </c>
      <c r="E249" s="15" t="inlineStr">
        <is>
          <t>Россия, 143007, Московская обл., г. Одинцово, ул. Молодежная, д. 46, этаж 3, оф. 331</t>
        </is>
      </c>
      <c r="F249" s="20" t="inlineStr">
        <is>
          <t>http://www.yarward.com.ru</t>
        </is>
      </c>
      <c r="G249" s="15" t="inlineStr">
        <is>
          <t>Info@yarward.com.ru</t>
        </is>
      </c>
      <c r="H249" s="15" t="inlineStr">
        <is>
          <t>Yarward Electronics — разработчик систем связи для медучреждений. Решаем задачи мониторинга, автоматизации и снижения нагрузки на медперсонал. Цифровые решения повышают эффективность ухода.</t>
        </is>
      </c>
      <c r="I249" s="15" t="inlineStr">
        <is>
          <t>Прочее общебольничное оборудование; Проектирование, производство, монтаж, валидация чистых операционных и реанимационных; Информационные системы администрирования / программное обеспечение; Медицинские информационные системы / программные решения; Коммуникационные системы</t>
        </is>
      </c>
      <c r="J249" s="15" t="inlineStr">
        <is>
          <t>Производитель</t>
        </is>
      </c>
      <c r="K249" s="15" t="inlineStr">
        <is>
          <t>OK</t>
        </is>
      </c>
      <c r="L249" s="15" t="inlineStr">
        <is>
          <t>системы связи и оборудование</t>
        </is>
      </c>
      <c r="M249" s="15" t="inlineStr">
        <is>
          <t>Ярвард Электроникс</t>
        </is>
      </c>
      <c r="N249" s="15" t="inlineStr">
        <is>
          <t>Здравоохранение-2025</t>
        </is>
      </c>
      <c r="O249" s="20" t="inlineStr">
        <is>
          <t>https://icatalog.expocentr.ru/ru/exhibitions/de590dc5-417d-11ee-80ce-a0d3c1fab97f</t>
        </is>
      </c>
    </row>
    <row r="250">
      <c r="A250" s="15" t="inlineStr">
        <is>
          <t>ГРУППА СИЭЙЧЭМ, ООО</t>
        </is>
      </c>
      <c r="B250" s="21" t="n">
        <v>6e+120</v>
      </c>
      <c r="C250" s="15" t="inlineStr">
        <is>
          <t>Россия</t>
        </is>
      </c>
      <c r="D250" s="15" t="inlineStr">
        <is>
          <t>Пенза</t>
        </is>
      </c>
      <c r="E250" s="15" t="inlineStr">
        <is>
          <t>Россия, 440052, г. Пенза, ул. Чкалова, стр. 32а, оф. 212</t>
        </is>
      </c>
      <c r="F250" s="20" t="inlineStr">
        <is>
          <t>https://wegorus.ru</t>
        </is>
      </c>
      <c r="G250" s="15" t="inlineStr">
        <is>
          <t>chmgroup@yandex.ru</t>
        </is>
      </c>
      <c r="H250" s="15" t="inlineStr">
        <is>
          <t>Поставка на территории России шовного материала WEGO премиум-класса.</t>
        </is>
      </c>
      <c r="I250" s="15" t="inlineStr">
        <is>
          <t>Шовный материал</t>
        </is>
      </c>
      <c r="J250" s="15" t="inlineStr">
        <is>
          <t>Дилер</t>
        </is>
      </c>
      <c r="K250" s="15" t="inlineStr">
        <is>
          <t>OK</t>
        </is>
      </c>
      <c r="L250" s="15" t="inlineStr">
        <is>
          <t>шовный материал</t>
        </is>
      </c>
      <c r="M250" s="15" t="inlineStr">
        <is>
          <t>Группа СИЭЙЧЭМ</t>
        </is>
      </c>
      <c r="N250" s="15" t="inlineStr">
        <is>
          <t>Здравоохранение-2025</t>
        </is>
      </c>
      <c r="O250" s="20" t="inlineStr">
        <is>
          <t>https://icatalog.expocentr.ru/ru/exhibitions/de590dc5-417d-11ee-80ce-a0d3c1fab97f</t>
        </is>
      </c>
    </row>
    <row r="251">
      <c r="A251" s="15" t="inlineStr">
        <is>
          <t>БУРР ИФМ, ФИЛИАЛ</t>
        </is>
      </c>
      <c r="B251" s="21" t="n">
        <v>6e+82</v>
      </c>
      <c r="C251" s="15" t="inlineStr">
        <is>
          <t>Россия</t>
        </is>
      </c>
      <c r="D251" s="15" t="inlineStr">
        <is>
          <t>Химки</t>
        </is>
      </c>
      <c r="E251" s="15" t="inlineStr">
        <is>
          <t>Россия, 141401, Московская обл., г. Химки, ул. Юннатов, д. 10, кв. 119</t>
        </is>
      </c>
      <c r="F251" s="15" t="n"/>
      <c r="G251" s="15" t="inlineStr">
        <is>
          <t>jason_xia@intelfacility.com</t>
        </is>
      </c>
      <c r="H251" s="15" t="inlineStr">
        <is>
          <t>«Бурр ИФМ» поставляет полный спектр оборудования для производства и обработки шовных рассасывающихся нитей: линии экструзии, нанесения покрытия, запрессовки нити, сушения гранул, оборудования для намотки шпули и упаковки.</t>
        </is>
      </c>
      <c r="I251" s="15" t="inlineStr">
        <is>
          <t>Поставка медицинского оборудования и расходных материалов; Производство медицинских изделий; Эстетическая медицина и косметология; Хирургическое оборудование; Хирургические инструменты; Шовный материал</t>
        </is>
      </c>
      <c r="J251" s="15" t="inlineStr">
        <is>
          <t>Производитель</t>
        </is>
      </c>
      <c r="K251" s="15" t="inlineStr">
        <is>
          <t>OK</t>
        </is>
      </c>
      <c r="L251" s="15" t="inlineStr">
        <is>
          <t>медицинское оборудование, расходные материалы, хирургические инструменты и шовный материал</t>
        </is>
      </c>
      <c r="M251" s="15" t="inlineStr">
        <is>
          <t>БуРР ИФМ</t>
        </is>
      </c>
      <c r="N251" s="15" t="inlineStr">
        <is>
          <t>Здравоохранение-2025</t>
        </is>
      </c>
      <c r="O251" s="20" t="inlineStr">
        <is>
          <t>https://icatalog.expocentr.ru/ru/exhibitions/de590dc5-417d-11ee-80ce-a0d3c1fab97f</t>
        </is>
      </c>
    </row>
    <row r="252">
      <c r="A252" s="15" t="inlineStr">
        <is>
          <t>ЦТМТ ГИПЕРМЕД, ООО</t>
        </is>
      </c>
      <c r="B252" s="15" t="inlineStr">
        <is>
          <t>6C010</t>
        </is>
      </c>
      <c r="C252" s="15" t="inlineStr">
        <is>
          <t>Россия</t>
        </is>
      </c>
      <c r="D252" s="15" t="inlineStr">
        <is>
          <t>Москва</t>
        </is>
      </c>
      <c r="E252" s="15" t="inlineStr">
        <is>
          <t>Россия, 107113, г. Москва, ул. Лобачика, д. 17</t>
        </is>
      </c>
      <c r="F252" s="20" t="inlineStr">
        <is>
          <t>http://ctmt.ru</t>
        </is>
      </c>
      <c r="G252" s="15" t="inlineStr">
        <is>
          <t>ctmt@ctmt.ru</t>
        </is>
      </c>
      <c r="H252" s="15" t="inlineStr">
        <is>
          <t>Центр Торговли Медицинскими Товарами (ООО «ЦТМТ Гипермед») — ведущий российский поставщик федерального масштаба, специализирующийся на оптовой реализации продукции медицинского назначения.</t>
        </is>
      </c>
      <c r="I252" s="15" t="inlineStr">
        <is>
          <t>Инструменты урологические; Одноразовые медицинские изделия прочие; Расходные материалы для медицинского оборудования; Ларингоскопы; Принадлежности и расходные материалы для реанимации и экстренной помощи; Принадлежности для хирургических аппаратов</t>
        </is>
      </c>
      <c r="J252" s="15" t="inlineStr">
        <is>
          <t>Дилер</t>
        </is>
      </c>
      <c r="K252" s="15" t="inlineStr">
        <is>
          <t>OK</t>
        </is>
      </c>
      <c r="L252" s="15" t="inlineStr">
        <is>
          <t>медицинские изделия, ларингоскопы и инструменты</t>
        </is>
      </c>
      <c r="M252" s="15" t="inlineStr">
        <is>
          <t>Цтмт Гипермед</t>
        </is>
      </c>
      <c r="N252" s="15" t="inlineStr">
        <is>
          <t>Здравоохранение-2025</t>
        </is>
      </c>
      <c r="O252" s="20" t="inlineStr">
        <is>
          <t>https://icatalog.expocentr.ru/ru/exhibitions/de590dc5-417d-11ee-80ce-a0d3c1fab97f</t>
        </is>
      </c>
    </row>
    <row r="253">
      <c r="A253" s="15" t="inlineStr">
        <is>
          <t>ГЕОМЕД ПЛЮС, ООО</t>
        </is>
      </c>
      <c r="B253" s="21" t="n">
        <v>6000000000000000</v>
      </c>
      <c r="C253" s="15" t="inlineStr">
        <is>
          <t>Россия</t>
        </is>
      </c>
      <c r="D253" s="15" t="inlineStr">
        <is>
          <t>Нальчик</t>
        </is>
      </c>
      <c r="E253" s="15" t="inlineStr">
        <is>
          <t>Россия, 360000, Кабардино-Балкарская Республика, г. Нальчик, просп. Ленина, д. 57, оф. 24</t>
        </is>
      </c>
      <c r="F253" s="20" t="inlineStr">
        <is>
          <t>http://www.geomedplus.ru</t>
        </is>
      </c>
      <c r="G253" s="15" t="inlineStr">
        <is>
          <t>geomedplus@mail.ru</t>
        </is>
      </c>
      <c r="H253" s="15" t="inlineStr">
        <is>
          <t>Специализация в области оборудования для дыхания. Увлажнители воздуха, дыхательные контуры, фильтры, принадлежности кислородной терапии и продукция для оказания неотложной помощи производства VADI Medical Technology Co. Ltd. Продукция сертифицирована на соответствие стандартам GMP, FDA, ISO 13485 и СЕ, EAC (РУ № ФСЗ 2010/08292 от 11.03.2020).</t>
        </is>
      </c>
      <c r="I253" s="15" t="inlineStr">
        <is>
          <t>Одноразовые медицинские изделия прочие; Расходные материалы для медицинского оборудования; Аппараты для искусственной вентиляции легких; Наркозно-дыхательные аппараты; Комплекты реанимационного оборудования; Принадлежности и расходные материалы для реанимации и экстренной помощи</t>
        </is>
      </c>
      <c r="J253" s="15" t="inlineStr">
        <is>
          <t>Производитель</t>
        </is>
      </c>
      <c r="K253" s="15" t="inlineStr">
        <is>
          <t>OK</t>
        </is>
      </c>
      <c r="L253" s="15" t="inlineStr">
        <is>
          <t>увлажнители воздуха, дыхательные контуры, фильтры, принадлежности и расходные материалы</t>
        </is>
      </c>
      <c r="M253" s="15" t="inlineStr">
        <is>
          <t>Геомед Плюс</t>
        </is>
      </c>
      <c r="N253" s="15" t="inlineStr">
        <is>
          <t>Здравоохранение-2025</t>
        </is>
      </c>
      <c r="O253" s="20" t="inlineStr">
        <is>
          <t>https://icatalog.expocentr.ru/ru/exhibitions/de590dc5-417d-11ee-80ce-a0d3c1fab97f</t>
        </is>
      </c>
    </row>
    <row r="254">
      <c r="A254" s="15" t="inlineStr">
        <is>
          <t>СИБИРСКИЙ ЦЕНТР ИНВЕСТИЦИОННЫХ ТЕХНОЛОГИЙ, АО</t>
        </is>
      </c>
      <c r="B254" s="21" t="n">
        <v>6e+80</v>
      </c>
      <c r="C254" s="15" t="inlineStr">
        <is>
          <t>Россия</t>
        </is>
      </c>
      <c r="D254" s="15" t="inlineStr">
        <is>
          <t>Новосибирск</t>
        </is>
      </c>
      <c r="E254" s="15" t="inlineStr">
        <is>
          <t>Россия, 630001, г. Новосибирск, ул. Гипсовая, зд. 3, корп. 1, оф. 9</t>
        </is>
      </c>
      <c r="F254" s="20" t="inlineStr">
        <is>
          <t>https://optimelle.org</t>
        </is>
      </c>
      <c r="G254" s="15" t="inlineStr">
        <is>
          <t>info@optimelle.org</t>
        </is>
      </c>
      <c r="H254" s="15" t="inlineStr">
        <is>
          <t>АО «СЦИТ» — это разработчик, производитель и дистрибьютор современных перевязочных средств Optimelle, применяющихся для лечения острых и хронических ран в стадиях воспаления, регенерации и эпителизации.</t>
        </is>
      </c>
      <c r="I254" s="15" t="inlineStr">
        <is>
          <t>Перевязочные средства</t>
        </is>
      </c>
      <c r="J254" s="15" t="inlineStr">
        <is>
          <t>Производитель</t>
        </is>
      </c>
      <c r="K254" s="15" t="inlineStr">
        <is>
          <t>OK</t>
        </is>
      </c>
      <c r="L254" s="15" t="inlineStr">
        <is>
          <t>перевязочные средства</t>
        </is>
      </c>
      <c r="M254" s="15" t="inlineStr">
        <is>
          <t>Сибирский Центр Инвестиционных Технологий</t>
        </is>
      </c>
      <c r="N254" s="15" t="inlineStr">
        <is>
          <t>Здравоохранение-2025</t>
        </is>
      </c>
      <c r="O254" s="20" t="inlineStr">
        <is>
          <t>https://icatalog.expocentr.ru/ru/exhibitions/de590dc5-417d-11ee-80ce-a0d3c1fab97f</t>
        </is>
      </c>
    </row>
    <row r="255">
      <c r="A255" s="15" t="inlineStr">
        <is>
          <t>ВАЙТ МЕДИКАЛ, ООО</t>
        </is>
      </c>
      <c r="B255" s="15" t="inlineStr">
        <is>
          <t>6C060</t>
        </is>
      </c>
      <c r="C255" s="15" t="inlineStr">
        <is>
          <t>Россия</t>
        </is>
      </c>
      <c r="D255" s="15" t="inlineStr">
        <is>
          <t>Москва</t>
        </is>
      </c>
      <c r="E255" s="15" t="inlineStr">
        <is>
          <t>Россия, 119048, г. Москва, ул. Усачёва, д. 29, корп. 1, пом. III, комн. 1, оф. 7, этаж подвал</t>
        </is>
      </c>
      <c r="F255" s="20" t="inlineStr">
        <is>
          <t>http://www.vait-medical.ru</t>
        </is>
      </c>
      <c r="G255" s="15" t="inlineStr">
        <is>
          <t>info@vait-medical.ru</t>
        </is>
      </c>
      <c r="H255" s="15" t="inlineStr">
        <is>
          <t>«ВАЙТ Медикал» – официальный российский производитель медицинских изделий под собственной торговой маркой для реанимации и интенсивной терапии. VAIT®, RUBY®, Double Diamond®; все права защищены.</t>
        </is>
      </c>
      <c r="I255" s="15" t="inlineStr">
        <is>
          <t>Принадлежности и расходные материалы для реанимации и экстренной помощи</t>
        </is>
      </c>
      <c r="J255" s="15" t="inlineStr">
        <is>
          <t>Производитель</t>
        </is>
      </c>
      <c r="K255" s="15" t="inlineStr">
        <is>
          <t>OK</t>
        </is>
      </c>
      <c r="L255" s="15" t="inlineStr">
        <is>
          <t>медицинские изделия, принадлежности и расходные материалы</t>
        </is>
      </c>
      <c r="M255" s="15" t="inlineStr">
        <is>
          <t>Вайт Медикал</t>
        </is>
      </c>
      <c r="N255" s="15" t="inlineStr">
        <is>
          <t>Здравоохранение-2025</t>
        </is>
      </c>
      <c r="O255" s="20" t="inlineStr">
        <is>
          <t>https://icatalog.expocentr.ru/ru/exhibitions/de590dc5-417d-11ee-80ce-a0d3c1fab97f</t>
        </is>
      </c>
    </row>
    <row r="256">
      <c r="A256" s="15" t="inlineStr">
        <is>
          <t>МЕДСИЛ, АО</t>
        </is>
      </c>
      <c r="B256" s="15" t="inlineStr">
        <is>
          <t>6A010</t>
        </is>
      </c>
      <c r="C256" s="15" t="inlineStr">
        <is>
          <t>Россия</t>
        </is>
      </c>
      <c r="D256" s="15" t="inlineStr">
        <is>
          <t>Мытищи</t>
        </is>
      </c>
      <c r="E256" s="15" t="inlineStr">
        <is>
          <t>Россия, 141018, Московская обл., г. Мытищи, Новомытищинский просп., д. 41а, пом. II/I</t>
        </is>
      </c>
      <c r="F256" s="20" t="inlineStr">
        <is>
          <t>http://www.medsil.ru</t>
        </is>
      </c>
      <c r="G256" s="15" t="inlineStr">
        <is>
          <t>info@medsil.ru</t>
        </is>
      </c>
      <c r="H256" s="15" t="inlineStr">
        <is>
          <t>Разработка и производство высококачественных медицинских изделий из силиконовой резины и других полимерных материалов.</t>
        </is>
      </c>
      <c r="I256" s="15" t="inlineStr">
        <is>
          <t>Одноразовые медицинские изделия прочие; Расходные материалы для медицинского оборудования; Производство медицинских изделий; Комплектующие для производства медицинских изделий; Средства для оказания экстренной медицинской помощи; Принадлежности и расходные материалы для реанимации и экстренной помощи</t>
        </is>
      </c>
      <c r="J256" s="15" t="inlineStr">
        <is>
          <t>Производитель</t>
        </is>
      </c>
      <c r="K256" s="15" t="inlineStr">
        <is>
          <t>OK</t>
        </is>
      </c>
      <c r="L256" s="15" t="inlineStr">
        <is>
          <t>медицинские изделия, комплектующие и расходные материалы</t>
        </is>
      </c>
      <c r="M256" s="15" t="inlineStr">
        <is>
          <t>Медсил</t>
        </is>
      </c>
      <c r="N256" s="15" t="inlineStr">
        <is>
          <t>Здравоохранение-2025</t>
        </is>
      </c>
      <c r="O256" s="20" t="inlineStr">
        <is>
          <t>https://icatalog.expocentr.ru/ru/exhibitions/de590dc5-417d-11ee-80ce-a0d3c1fab97f</t>
        </is>
      </c>
    </row>
    <row r="257">
      <c r="A257" s="15" t="inlineStr">
        <is>
          <t>ЕЛЕЦ, МЕДИКО-ПРОИЗВОДСТВЕННАЯ КОМПАНИЯ, ООО</t>
        </is>
      </c>
      <c r="B257" s="15" t="inlineStr">
        <is>
          <t>6C045</t>
        </is>
      </c>
      <c r="C257" s="15" t="inlineStr">
        <is>
          <t>Россия</t>
        </is>
      </c>
      <c r="D257" s="15" t="inlineStr">
        <is>
          <t>Елец</t>
        </is>
      </c>
      <c r="E257" s="15" t="inlineStr">
        <is>
          <t>Россия, 399774, Липецкая обл., г. Елец, Кирпичный пер., зд. 27</t>
        </is>
      </c>
      <c r="F257" s="20" t="inlineStr">
        <is>
          <t>http://mpk-elec.ru</t>
        </is>
      </c>
      <c r="G257" s="15" t="inlineStr">
        <is>
          <t>mpk-marketing@mail.ru</t>
        </is>
      </c>
      <c r="H257" s="15" t="inlineStr">
        <is>
          <t>Ведущий производитель шприцев однократного применения с иглами, устройств для вливания инфузионных растворов и устройств для переливания крови, а также игл стерильных и нестерильных.</t>
        </is>
      </c>
      <c r="I257" s="15" t="inlineStr">
        <is>
          <t>Инструменты и принадлежности для инъекций  и взятия крови; Одноразовые медицинские изделия прочие; Производство медицинских изделий</t>
        </is>
      </c>
      <c r="J257" s="15" t="inlineStr">
        <is>
          <t>Производитель</t>
        </is>
      </c>
      <c r="K257" s="15" t="inlineStr">
        <is>
          <t>OK</t>
        </is>
      </c>
      <c r="L257" s="15" t="inlineStr">
        <is>
          <t>шприцы, иглы, устройства для вливания и переливания крови</t>
        </is>
      </c>
      <c r="M257" s="15" t="inlineStr">
        <is>
          <t>Елец</t>
        </is>
      </c>
      <c r="N257" s="15" t="inlineStr">
        <is>
          <t>Здравоохранение-2025</t>
        </is>
      </c>
      <c r="O257" s="20" t="inlineStr">
        <is>
          <t>https://icatalog.expocentr.ru/ru/exhibitions/de590dc5-417d-11ee-80ce-a0d3c1fab97f</t>
        </is>
      </c>
    </row>
    <row r="258">
      <c r="A258" s="15" t="inlineStr">
        <is>
          <t>ЗДОРОВЬЕ</t>
        </is>
      </c>
      <c r="B258" s="15" t="inlineStr">
        <is>
          <t>6D001</t>
        </is>
      </c>
      <c r="C258" s="15" t="inlineStr">
        <is>
          <t>Россия</t>
        </is>
      </c>
      <c r="D258" s="15" t="inlineStr">
        <is>
          <t>Москва</t>
        </is>
      </c>
      <c r="E258" s="15" t="inlineStr">
        <is>
          <t>Россия, 115054, г. Москва, ул. Дубининская, д. 57, стр. 2, комн. 10</t>
        </is>
      </c>
      <c r="F258" s="20" t="inlineStr">
        <is>
          <t>http://www.gkzdorovie.ru</t>
        </is>
      </c>
      <c r="G258" s="15" t="inlineStr">
        <is>
          <t>sales@trauma-msk.ru</t>
        </is>
      </c>
      <c r="H258" s="15" t="inlineStr">
        <is>
          <t>Производитель и дистрибьютор. Поставки оборудования, инструментов, расходныхматериалов для таких направлений медицины, кактравматология, эндопротезирование, артроскопия,спинальная и общая хирургия, урология, онкология.</t>
        </is>
      </c>
      <c r="I258" s="15" t="inlineStr">
        <is>
          <t>Инструменты урологические; Электрохирургические аппараты</t>
        </is>
      </c>
      <c r="J258" s="15" t="inlineStr">
        <is>
          <t>Производитель</t>
        </is>
      </c>
      <c r="K258" s="15" t="inlineStr">
        <is>
          <t>OK</t>
        </is>
      </c>
      <c r="L258" s="15" t="inlineStr">
        <is>
          <t>оборудование, инструменты, расходные материалы и аппараты</t>
        </is>
      </c>
      <c r="M258" s="15" t="inlineStr">
        <is>
          <t>Здоровье</t>
        </is>
      </c>
      <c r="N258" s="15" t="inlineStr">
        <is>
          <t>Здравоохранение-2025</t>
        </is>
      </c>
      <c r="O258" s="20" t="inlineStr">
        <is>
          <t>https://icatalog.expocentr.ru/ru/exhibitions/de590dc5-417d-11ee-80ce-a0d3c1fab97f</t>
        </is>
      </c>
    </row>
    <row r="259">
      <c r="A259" s="15" t="inlineStr">
        <is>
          <t>ФАРМЛИК, ООО</t>
        </is>
      </c>
      <c r="B259" s="15" t="inlineStr">
        <is>
          <t>6G080</t>
        </is>
      </c>
      <c r="C259" s="15" t="inlineStr">
        <is>
          <t>Россия</t>
        </is>
      </c>
      <c r="D259" s="15" t="inlineStr">
        <is>
          <t>Москва</t>
        </is>
      </c>
      <c r="E259" s="15" t="inlineStr">
        <is>
          <t>Россия, 117218, г. Москва, ул. Кедрова, д. 14, корп. 1, пом. 1</t>
        </is>
      </c>
      <c r="F259" s="20" t="inlineStr">
        <is>
          <t>https://farmlik.ru</t>
        </is>
      </c>
      <c r="G259" s="15" t="inlineStr">
        <is>
          <t>info@farmlik.ru</t>
        </is>
      </c>
      <c r="H259" s="15" t="inlineStr">
        <is>
          <t>Эксклюзивный дистрибьютор FRANKENMAN в РФ, производителя сшивающих аппаратов и высокотехнологичного хирургического оборудования FRANKENMAN. Прямой дистрибьютор KLS Martin, KARL STORZ и других производителей.</t>
        </is>
      </c>
      <c r="I259" s="15" t="inlineStr">
        <is>
          <t>Проктология; Хирургическое оборудование; Принадлежности для хирургических аппаратов; Электрохирургические аппараты; Ультразвуковые хирургические аппараты; Хирургические инструменты</t>
        </is>
      </c>
      <c r="J259" s="15" t="inlineStr">
        <is>
          <t>Дилер</t>
        </is>
      </c>
      <c r="K259" s="15" t="inlineStr">
        <is>
          <t>OK</t>
        </is>
      </c>
      <c r="L259" s="15" t="inlineStr">
        <is>
          <t>сшивающие аппараты, хирургическое оборудование и инструменты</t>
        </is>
      </c>
      <c r="M259" s="15" t="inlineStr">
        <is>
          <t>Фармлик</t>
        </is>
      </c>
      <c r="N259" s="15" t="inlineStr">
        <is>
          <t>Здравоохранение-2025</t>
        </is>
      </c>
      <c r="O259" s="20" t="inlineStr">
        <is>
          <t>https://icatalog.expocentr.ru/ru/exhibitions/de590dc5-417d-11ee-80ce-a0d3c1fab97f</t>
        </is>
      </c>
    </row>
    <row r="260">
      <c r="A260" s="15" t="inlineStr">
        <is>
          <t>МАРОМАКС</t>
        </is>
      </c>
      <c r="B260" s="21" t="n">
        <v>6e+128</v>
      </c>
      <c r="C260" s="15" t="inlineStr">
        <is>
          <t>Россия</t>
        </is>
      </c>
      <c r="D260" s="15" t="inlineStr">
        <is>
          <t>Санкт-Петербург</t>
        </is>
      </c>
      <c r="E260" s="15" t="inlineStr">
        <is>
          <t>Россия, 195213, г. Санкт-Петербург, ул. Латышских Стрелков, д. 31, оф. 129</t>
        </is>
      </c>
      <c r="F260" s="20" t="inlineStr">
        <is>
          <t>http://www.maromax.ru</t>
        </is>
      </c>
      <c r="G260" s="15" t="inlineStr">
        <is>
          <t>info@maromax.ru</t>
        </is>
      </c>
      <c r="H260" s="15" t="inlineStr">
        <is>
          <t>Производитель и поставщик медизделий. Уход за трахеостомой. Анестезиология. Урология. Гастроэнтерология. Гинекология. Медицинские сумки. Оптом и в розницу. 15 лет на рынке, качество и надежность.</t>
        </is>
      </c>
      <c r="I260" s="15" t="inlineStr">
        <is>
          <t>Одноразовые медицинские изделия; Средства для оказания экстренной медицинской помощи; Аппараты для искусственной вентиляции легких; Наркозно-дыхательные аппараты; Устройства для энтерального питания; Принадлежности и расходные материалы для реанимации и экстренной помощи</t>
        </is>
      </c>
      <c r="J260" s="15" t="inlineStr">
        <is>
          <t>Производитель</t>
        </is>
      </c>
      <c r="K260" s="15" t="inlineStr">
        <is>
          <t>OK</t>
        </is>
      </c>
      <c r="L260" s="15" t="inlineStr">
        <is>
          <t>медицинские изделия, аппараты ИВЛ и сумки</t>
        </is>
      </c>
      <c r="M260" s="15" t="inlineStr">
        <is>
          <t>Маромакс</t>
        </is>
      </c>
      <c r="N260" s="15" t="inlineStr">
        <is>
          <t>Здравоохранение-2025</t>
        </is>
      </c>
      <c r="O260" s="20" t="inlineStr">
        <is>
          <t>https://icatalog.expocentr.ru/ru/exhibitions/de590dc5-417d-11ee-80ce-a0d3c1fab97f</t>
        </is>
      </c>
    </row>
    <row r="261">
      <c r="A261" s="15" t="inlineStr">
        <is>
          <t>ФАБРИКА ДИАГРАММНЫХ БУМАГ, ЗАО</t>
        </is>
      </c>
      <c r="B261" s="15" t="inlineStr">
        <is>
          <t>6F077</t>
        </is>
      </c>
      <c r="C261" s="15" t="inlineStr">
        <is>
          <t>Россия</t>
        </is>
      </c>
      <c r="D261" s="15" t="inlineStr">
        <is>
          <t>Белгород</t>
        </is>
      </c>
      <c r="E261" s="15" t="inlineStr">
        <is>
          <t>Россия, 308017, г. Белгород, ул. Константина Заслонова, д. 161г</t>
        </is>
      </c>
      <c r="F261" s="20" t="inlineStr">
        <is>
          <t>http://www.chartpaperexpert.com</t>
        </is>
      </c>
      <c r="G261" s="15" t="inlineStr">
        <is>
          <t>info@bfdb.ru</t>
        </is>
      </c>
      <c r="H261" s="15" t="inlineStr">
        <is>
          <t>Производство лент диаграммных рулонных и складывающихся для медицинских регистрирующих приборов, термобумаги для УЗ-принтеров, а также одноразовых ЭКГ-электродов, универсальных гелей для ЭКГ и УЗИ.</t>
        </is>
      </c>
      <c r="I261" s="15" t="inlineStr">
        <is>
          <t>Приборы и принадлежности для кардиографических исследований; Расходные материалы для медицинских приборов; Одноразовые медицинские изделия прочие; Расходные материалы для медицинского оборудования; Производство медицинских изделий</t>
        </is>
      </c>
      <c r="J261" s="15" t="inlineStr">
        <is>
          <t>Производитель</t>
        </is>
      </c>
      <c r="K261" s="15" t="inlineStr">
        <is>
          <t>OK</t>
        </is>
      </c>
      <c r="L261" s="15" t="inlineStr">
        <is>
          <t>ленты, термобумага, электроды и гели</t>
        </is>
      </c>
      <c r="M261" s="15" t="inlineStr">
        <is>
          <t>Фабрика Диаграммных Бумаг</t>
        </is>
      </c>
      <c r="N261" s="15" t="inlineStr">
        <is>
          <t>Здравоохранение-2025</t>
        </is>
      </c>
      <c r="O261" s="20" t="inlineStr">
        <is>
          <t>https://icatalog.expocentr.ru/ru/exhibitions/de590dc5-417d-11ee-80ce-a0d3c1fab97f</t>
        </is>
      </c>
    </row>
    <row r="262">
      <c r="A262" s="15" t="inlineStr">
        <is>
          <t>МЕРКУРИЙ-ВОЛГА Интер-Лаб</t>
        </is>
      </c>
      <c r="B262" s="15" t="inlineStr">
        <is>
          <t>6F106</t>
        </is>
      </c>
      <c r="C262" s="15" t="inlineStr">
        <is>
          <t>Россия</t>
        </is>
      </c>
      <c r="D262" s="15" t="inlineStr">
        <is>
          <t>Нижний Новгород</t>
        </is>
      </c>
      <c r="E262" s="15" t="inlineStr">
        <is>
          <t>Россия, 603006, г. Нижний Новгород, пер. Могилевича, д. 5, оф. 1</t>
        </is>
      </c>
      <c r="F262" s="20" t="inlineStr">
        <is>
          <t>http://www.medfason.ru</t>
        </is>
      </c>
      <c r="G262" s="15" t="inlineStr">
        <is>
          <t>tkv@mil-nn.ru</t>
        </is>
      </c>
      <c r="H262" s="15" t="inlineStr">
        <is>
          <t>Производим медицинскую одежду — от эскиза до готового изделия — на протяжении 25 лет. Собственное вышивальное и DTF-оборудование. Заключение МПТ, РУ МЗ РФ на каждое изделие. Шьем всю линейку медицинской одежды для проекта «СЛУЖБА ЗДОРОВЬЯ».</t>
        </is>
      </c>
      <c r="I262" s="15" t="inlineStr">
        <is>
          <t>Медицинская мебель; Одежда и белье для пациентов и медицинского персонала; Производство медицинских изделий; Лабораторное оборудование; Реагенты и расходные материалы для лабораторной диагностики</t>
        </is>
      </c>
      <c r="J262" s="15" t="inlineStr">
        <is>
          <t>Производитель</t>
        </is>
      </c>
      <c r="K262" s="15" t="inlineStr">
        <is>
          <t>OK</t>
        </is>
      </c>
      <c r="L262" s="15" t="inlineStr">
        <is>
          <t>медицинская одежда, медицинская мебель, лабораторное оборудование и реагенты</t>
        </is>
      </c>
      <c r="M262" s="15" t="inlineStr">
        <is>
          <t>Меркурий-Волга Интер-Лаб</t>
        </is>
      </c>
      <c r="N262" s="15" t="inlineStr">
        <is>
          <t>Здравоохранение-2025</t>
        </is>
      </c>
      <c r="O262" s="20" t="inlineStr">
        <is>
          <t>https://icatalog.expocentr.ru/ru/exhibitions/de590dc5-417d-11ee-80ce-a0d3c1fab97f</t>
        </is>
      </c>
    </row>
    <row r="263">
      <c r="A263" s="15" t="inlineStr">
        <is>
          <t>МЕДИРАМА, ООО</t>
        </is>
      </c>
      <c r="B263" s="15" t="inlineStr">
        <is>
          <t>6B070</t>
        </is>
      </c>
      <c r="C263" s="15" t="inlineStr">
        <is>
          <t>Россия</t>
        </is>
      </c>
      <c r="D263" s="15" t="inlineStr">
        <is>
          <t>Санкт-Петербург</t>
        </is>
      </c>
      <c r="E263" s="15" t="inlineStr">
        <is>
          <t>Россия, 195248, г. Санкт-Петербург, ул. Дегтярёва, д. 4, литера А, пом. 107</t>
        </is>
      </c>
      <c r="F263" s="20" t="inlineStr">
        <is>
          <t>http://www.medirama.ru</t>
        </is>
      </c>
      <c r="G263" s="15" t="inlineStr">
        <is>
          <t>medirama@mail.ru</t>
        </is>
      </c>
      <c r="H263" s="15" t="inlineStr">
        <is>
          <t>Импортер одноразовых медицинских расходных материалов CERTUS: скальпелей, лезвий, урологических катетеров Фолея, Нелатона, перчаток.</t>
        </is>
      </c>
      <c r="I263" s="15" t="inlineStr">
        <is>
          <t>Инструменты урологические; Стоматологическое оборудование и инструменты; Одноразовые медицинские изделия прочие; Принадлежности и расходные материалы для реанимации и экстренной помощи; Хирургические инструменты</t>
        </is>
      </c>
      <c r="J263" s="15" t="inlineStr">
        <is>
          <t>Дилер</t>
        </is>
      </c>
      <c r="K263" s="15" t="inlineStr">
        <is>
          <t>OK</t>
        </is>
      </c>
      <c r="L263" s="15" t="inlineStr">
        <is>
          <t>медицинские расходные материалы, скальпели, катетеры, перчатки и хирургические инструменты</t>
        </is>
      </c>
      <c r="M263" s="15" t="inlineStr">
        <is>
          <t>Медирама</t>
        </is>
      </c>
      <c r="N263" s="15" t="inlineStr">
        <is>
          <t>Здравоохранение-2025</t>
        </is>
      </c>
      <c r="O263" s="20" t="inlineStr">
        <is>
          <t>https://icatalog.expocentr.ru/ru/exhibitions/de590dc5-417d-11ee-80ce-a0d3c1fab97f</t>
        </is>
      </c>
    </row>
    <row r="264">
      <c r="A264" s="15" t="inlineStr">
        <is>
          <t>НОВАЯ МЕДИЦИНСКАЯ КОМПАНИЯ, ООО</t>
        </is>
      </c>
      <c r="B264" s="15" t="inlineStr">
        <is>
          <t>6B030</t>
        </is>
      </c>
      <c r="C264" s="15" t="inlineStr">
        <is>
          <t>Россия</t>
        </is>
      </c>
      <c r="D264" s="15" t="inlineStr">
        <is>
          <t>Москва</t>
        </is>
      </c>
      <c r="E264" s="15" t="inlineStr">
        <is>
          <t>Россия, 121354, г. Москва, вн. тер. г. м. о. Можайский, ул. Дорогобужская, д. 14</t>
        </is>
      </c>
      <c r="F264" s="20" t="inlineStr">
        <is>
          <t>http://www.nmcport.com</t>
        </is>
      </c>
      <c r="G264" s="15" t="inlineStr">
        <is>
          <t>v.ivzan@nmedcom.ru</t>
        </is>
      </c>
      <c r="H264" s="15" t="inlineStr">
        <is>
          <t>«Новая Медицинская Компания» (НМК) — надежный партнер медицинского сообщества, поставщик современных высококачественных медицинских изделий и самых актуальных решений для здравоохранения.</t>
        </is>
      </c>
      <c r="I264" s="15" t="inlineStr">
        <is>
          <t>Перевязочные средства; Небулайзеры (ингаляторы); Принадлежности и расходные материалы для реанимации и экстренной помощи</t>
        </is>
      </c>
      <c r="J264" s="15" t="inlineStr">
        <is>
          <t>Дилер</t>
        </is>
      </c>
      <c r="K264" s="15" t="inlineStr">
        <is>
          <t>OK</t>
        </is>
      </c>
      <c r="L264" s="15" t="inlineStr">
        <is>
          <t>перевязочные средства, небулайзеры и расходные материалы</t>
        </is>
      </c>
      <c r="M264" s="15" t="inlineStr">
        <is>
          <t>Новая Медицинская Компания</t>
        </is>
      </c>
      <c r="N264" s="15" t="inlineStr">
        <is>
          <t>Здравоохранение-2025</t>
        </is>
      </c>
      <c r="O264" s="20" t="inlineStr">
        <is>
          <t>https://icatalog.expocentr.ru/ru/exhibitions/de590dc5-417d-11ee-80ce-a0d3c1fab97f</t>
        </is>
      </c>
    </row>
    <row r="265">
      <c r="A265" s="15" t="inlineStr">
        <is>
          <t>БЕРИМЕД, ООО</t>
        </is>
      </c>
      <c r="B265" s="15" t="inlineStr">
        <is>
          <t>6C075</t>
        </is>
      </c>
      <c r="C265" s="15" t="inlineStr">
        <is>
          <t>Россия</t>
        </is>
      </c>
      <c r="D265" s="15" t="inlineStr">
        <is>
          <t>Москва</t>
        </is>
      </c>
      <c r="E265" s="15" t="inlineStr">
        <is>
          <t>Россия, 129329, г. Москва, ул. Ивовая, д. 1, корп. 1, этаж 1, комн. 101/1</t>
        </is>
      </c>
      <c r="F265" s="20" t="inlineStr">
        <is>
          <t>http://berimed.ru</t>
        </is>
      </c>
      <c r="G265" s="15" t="inlineStr">
        <is>
          <t>info@berimed.ru</t>
        </is>
      </c>
      <c r="H265" s="15" t="inlineStr">
        <is>
          <t>Производство медицинских изделий: вакуумных пробирок, двухсторонних игл, держателей, многоразовых жгутов, контейнеров, гинекологических зеркал, зондов и др. Импорт одноразовых жгутов, луер-адаптеров.</t>
        </is>
      </c>
      <c r="I265" s="15" t="inlineStr">
        <is>
          <t>Производство медицинских изделий</t>
        </is>
      </c>
      <c r="J265" s="15" t="inlineStr">
        <is>
          <t>Производитель</t>
        </is>
      </c>
      <c r="K265" s="15" t="inlineStr">
        <is>
          <t>OK</t>
        </is>
      </c>
      <c r="L265" s="15" t="inlineStr">
        <is>
          <t>медицинские изделия, пробирки, иглы, жгуты и контейнеры</t>
        </is>
      </c>
      <c r="M265" s="15" t="inlineStr">
        <is>
          <t>Беримед</t>
        </is>
      </c>
      <c r="N265" s="15" t="inlineStr">
        <is>
          <t>Здравоохранение-2025</t>
        </is>
      </c>
      <c r="O265" s="20" t="inlineStr">
        <is>
          <t>https://icatalog.expocentr.ru/ru/exhibitions/de590dc5-417d-11ee-80ce-a0d3c1fab97f</t>
        </is>
      </c>
    </row>
    <row r="266">
      <c r="A266" s="15" t="inlineStr">
        <is>
          <t>МЕДИЦИНА-ПЛЮС, OOO</t>
        </is>
      </c>
      <c r="B266" s="15" t="inlineStr">
        <is>
          <t>6C020</t>
        </is>
      </c>
      <c r="C266" s="15" t="inlineStr">
        <is>
          <t>Россия</t>
        </is>
      </c>
      <c r="D266" s="15" t="inlineStr">
        <is>
          <t>Москва</t>
        </is>
      </c>
      <c r="E266" s="15" t="inlineStr">
        <is>
          <t>Россия, 117105, г. Москва, Варшавское ш., д. 28а, стр. 1, оф. 13</t>
        </is>
      </c>
      <c r="F266" s="15" t="n"/>
      <c r="G266" s="15" t="inlineStr">
        <is>
          <t>info@medicina-plus.com</t>
        </is>
      </c>
      <c r="H266" s="15" t="inlineStr">
        <is>
          <t>Официальный дистрибьютор ООО «ТД АгатМед» — отечественного производителя одноразовых медицинских изделий из нетканых материалов.</t>
        </is>
      </c>
      <c r="I266" s="15" t="inlineStr">
        <is>
          <t>Одежда и белье для пациентов и медицинского персонала; Оборудование и средства борьбы с внутрибольничной инфекцией; Одноразовые медицинские изделия прочие</t>
        </is>
      </c>
      <c r="J266" s="15" t="inlineStr">
        <is>
          <t>Дилер</t>
        </is>
      </c>
      <c r="K266" s="15" t="inlineStr">
        <is>
          <t>OK</t>
        </is>
      </c>
      <c r="L266" s="15" t="inlineStr">
        <is>
          <t>одноразовые изделия, одежда, белье и оборудование</t>
        </is>
      </c>
      <c r="M266" s="15" t="inlineStr">
        <is>
          <t>Медицина-Плюс</t>
        </is>
      </c>
      <c r="N266" s="15" t="inlineStr">
        <is>
          <t>Здравоохранение-2025</t>
        </is>
      </c>
      <c r="O266" s="20" t="inlineStr">
        <is>
          <t>https://icatalog.expocentr.ru/ru/exhibitions/de590dc5-417d-11ee-80ce-a0d3c1fab97f</t>
        </is>
      </c>
    </row>
    <row r="267">
      <c r="A267" s="15" t="inlineStr">
        <is>
          <t>ТВОЙ ОПТ, OOO</t>
        </is>
      </c>
      <c r="B267" s="15" t="inlineStr">
        <is>
          <t>6F094</t>
        </is>
      </c>
      <c r="C267" s="15" t="inlineStr">
        <is>
          <t>Россия</t>
        </is>
      </c>
      <c r="D267" s="15" t="inlineStr">
        <is>
          <t>Москва</t>
        </is>
      </c>
      <c r="E267" s="15" t="inlineStr">
        <is>
          <t>Россия, 125040, г. Москва, ул. Нижняя Масловка, д. 9, пом. 3/2</t>
        </is>
      </c>
      <c r="F267" s="20" t="inlineStr">
        <is>
          <t>http://www.medmedical.ru</t>
        </is>
      </c>
      <c r="G267" s="15" t="inlineStr">
        <is>
          <t>info@medmedical.ru</t>
        </is>
      </c>
      <c r="H267" s="15" t="inlineStr">
        <is>
          <t>ООО «Твой ОПТ» (ГК «ГлавМед») — оптовый медицинский склад, производитель и импортер общегоспитальных медицинских расходных материалов. Медицинские товары в наличии по лучшей цене.</t>
        </is>
      </c>
      <c r="I267" s="15" t="inlineStr">
        <is>
          <t>Прочие диагностические устройства; Перевязочные средства; Инструменты и принадлежности для инъекций  и взятия крови; Гигиенические изделия для больниц; Одноразовые медицинские изделия прочие</t>
        </is>
      </c>
      <c r="J267" s="15" t="inlineStr">
        <is>
          <t>Производитель</t>
        </is>
      </c>
      <c r="K267" s="15" t="inlineStr">
        <is>
          <t>OK</t>
        </is>
      </c>
      <c r="L267" s="15" t="inlineStr">
        <is>
          <t>расходные материалы, диагностические устройства, перевязочные средства и гигиенические изделия</t>
        </is>
      </c>
      <c r="M267" s="15" t="inlineStr">
        <is>
          <t>Твой Опт</t>
        </is>
      </c>
      <c r="N267" s="15" t="inlineStr">
        <is>
          <t>Здравоохранение-2025</t>
        </is>
      </c>
      <c r="O267" s="20" t="inlineStr">
        <is>
          <t>https://icatalog.expocentr.ru/ru/exhibitions/de590dc5-417d-11ee-80ce-a0d3c1fab97f</t>
        </is>
      </c>
    </row>
    <row r="268">
      <c r="A268" s="15" t="inlineStr">
        <is>
          <t>ИМЭКС, АО</t>
        </is>
      </c>
      <c r="B268" s="15" t="inlineStr">
        <is>
          <t>6D077</t>
        </is>
      </c>
      <c r="C268" s="15" t="inlineStr">
        <is>
          <t>Россия</t>
        </is>
      </c>
      <c r="D268" s="15" t="inlineStr">
        <is>
          <t>Санкт-Петербург</t>
        </is>
      </c>
      <c r="E268" s="15" t="inlineStr">
        <is>
          <t>Россия, 191119, г. Санкт-Петербург, ул. Звенигородская, д. 8-10, литера Б, пом. 22</t>
        </is>
      </c>
      <c r="F268" s="20" t="inlineStr">
        <is>
          <t>http://imex-company.ru</t>
        </is>
      </c>
      <c r="G268" s="15" t="inlineStr">
        <is>
          <t>leshchenko@exten.ru</t>
        </is>
      </c>
      <c r="H268" s="15" t="inlineStr">
        <is>
          <t>Компания «ИМЭКС» обладает собственным производством, поставляет медицинское оборудование, расходные материалы, изделия медицинского назначения, перевязочные материалы для оказания медицинской помощи.</t>
        </is>
      </c>
      <c r="I268" s="15" t="inlineStr">
        <is>
          <t>Перевязочные средства; Одноразовые медицинские изделия прочие</t>
        </is>
      </c>
      <c r="J268" s="15" t="inlineStr">
        <is>
          <t>Производитель</t>
        </is>
      </c>
      <c r="K268" s="15" t="inlineStr">
        <is>
          <t>OK</t>
        </is>
      </c>
      <c r="L268" s="15" t="inlineStr">
        <is>
          <t>медицинское оборудование, расходные материалы и перевязочные средства</t>
        </is>
      </c>
      <c r="M268" s="15" t="inlineStr">
        <is>
          <t>Имэкс</t>
        </is>
      </c>
      <c r="N268" s="15" t="inlineStr">
        <is>
          <t>Здравоохранение-2025</t>
        </is>
      </c>
      <c r="O268" s="20" t="inlineStr">
        <is>
          <t>https://icatalog.expocentr.ru/ru/exhibitions/de590dc5-417d-11ee-80ce-a0d3c1fab97f</t>
        </is>
      </c>
    </row>
    <row r="269">
      <c r="A269" s="15" t="inlineStr">
        <is>
          <t>ГАРАНТ, НПО, AO</t>
        </is>
      </c>
      <c r="B269" s="21" t="n">
        <v>6e+60</v>
      </c>
      <c r="C269" s="15" t="inlineStr">
        <is>
          <t>Россия</t>
        </is>
      </c>
      <c r="D269" s="15" t="inlineStr">
        <is>
          <t>Пушкино</t>
        </is>
      </c>
      <c r="E269" s="15" t="inlineStr">
        <is>
          <t>Россия, Московская обл., г. Пушкино, Ярославское ш., д. 228</t>
        </is>
      </c>
      <c r="F269" s="20" t="inlineStr">
        <is>
          <t>http://www.garant1.ru</t>
        </is>
      </c>
      <c r="G269" s="15" t="inlineStr">
        <is>
          <t>2@garant1.ru</t>
        </is>
      </c>
      <c r="H269" s="15" t="inlineStr">
        <is>
          <t>Крупнейший импортер медицинских расходных материалов. Наши партнеры — национальные дистрибьюторы, государственные учреждения, бьюти-центры, клиники, аптеки, лаборатории, пищевые производства, HoReCa, клининговые компании.</t>
        </is>
      </c>
      <c r="I269" s="15" t="inlineStr">
        <is>
          <t>Перевязочные средства; Инструменты и принадлежности для инъекций  и взятия крови; Гигиенические изделия для больниц; Одноразовые медицинские изделия прочие; Средства для спорта, отдыха, досуга</t>
        </is>
      </c>
      <c r="J269" s="15" t="inlineStr">
        <is>
          <t>Дилер</t>
        </is>
      </c>
      <c r="K269" s="15" t="inlineStr">
        <is>
          <t>OK</t>
        </is>
      </c>
      <c r="L269" s="15" t="inlineStr">
        <is>
          <t>перевязочные средства, инструменты для инъекций и гигиенические изделия</t>
        </is>
      </c>
      <c r="M269" s="15" t="inlineStr">
        <is>
          <t>ГАРАНТ, НПО</t>
        </is>
      </c>
      <c r="N269" s="15" t="inlineStr">
        <is>
          <t>Здравоохранение-2025</t>
        </is>
      </c>
      <c r="O269" s="20" t="inlineStr">
        <is>
          <t>https://icatalog.expocentr.ru/ru/exhibitions/de590dc5-417d-11ee-80ce-a0d3c1fab97f</t>
        </is>
      </c>
    </row>
    <row r="270">
      <c r="A270" s="15" t="inlineStr">
        <is>
          <t>СИМУРГ, МЕДИЦИНСКОЕ ПРЕДПРИЯТИЕ, ООО</t>
        </is>
      </c>
      <c r="B270" s="21" t="n">
        <v>6e+100</v>
      </c>
      <c r="C270" s="15" t="inlineStr">
        <is>
          <t>Россия</t>
        </is>
      </c>
      <c r="D270" s="15" t="inlineStr">
        <is>
          <t>Санкт-Петербург</t>
        </is>
      </c>
      <c r="E270" s="15" t="inlineStr">
        <is>
          <t>Россия, 199178, г. Санкт-Петербург, 18-я линия В. О., д. 29, литера 3, пом. 19-Н, этаж 2</t>
        </is>
      </c>
      <c r="F270" s="20" t="inlineStr">
        <is>
          <t>http://www.mp-simurg.ru</t>
        </is>
      </c>
      <c r="G270" s="15" t="inlineStr">
        <is>
          <t>office@mp-simurg.ru</t>
        </is>
      </c>
      <c r="H270" s="15" t="inlineStr">
        <is>
          <t>МП «Симург» — ведущий производитель изделий медицинского назначения для гинекологии иакушерства. Под ТМ «ЮНОНА» выпускаются внутриматочные контрацептивы, гинекологическиенаборы, одноразовые инструменты для взятия биологического материала. Новинки: зеркалогинекологическое по Радзинскому-Занько с рН-индикацией, пессарии доктора Журавлева.Разработка и российское производство силиконовых пессариев.</t>
        </is>
      </c>
      <c r="I270" s="15" t="inlineStr">
        <is>
          <t>Инструменты гинекологические</t>
        </is>
      </c>
      <c r="J270" s="15" t="inlineStr">
        <is>
          <t>Производитель</t>
        </is>
      </c>
      <c r="K270" s="15" t="inlineStr">
        <is>
          <t>OK</t>
        </is>
      </c>
      <c r="L270" s="15" t="inlineStr">
        <is>
          <t>контрацептивы, наборы, инструменты и пессарии</t>
        </is>
      </c>
      <c r="M270" s="15" t="inlineStr">
        <is>
          <t>Симург</t>
        </is>
      </c>
      <c r="N270" s="15" t="inlineStr">
        <is>
          <t>Здравоохранение-2025</t>
        </is>
      </c>
      <c r="O270" s="20" t="inlineStr">
        <is>
          <t>https://icatalog.expocentr.ru/ru/exhibitions/de590dc5-417d-11ee-80ce-a0d3c1fab97f</t>
        </is>
      </c>
    </row>
    <row r="271">
      <c r="A271" s="15" t="inlineStr">
        <is>
          <t>БИСАНС, ООО</t>
        </is>
      </c>
      <c r="B271" s="15" t="inlineStr">
        <is>
          <t>6D051</t>
        </is>
      </c>
      <c r="C271" s="15" t="inlineStr">
        <is>
          <t>Россия</t>
        </is>
      </c>
      <c r="D271" s="15" t="inlineStr">
        <is>
          <t>Санкт-Петербург</t>
        </is>
      </c>
      <c r="E271" s="15" t="inlineStr">
        <is>
          <t>Россия, 192012, г. Санкт-Петербург, просп. Обуховской Обороны, д. 271, литера А, оф. 401</t>
        </is>
      </c>
      <c r="F271" s="20" t="inlineStr">
        <is>
          <t>http://www.bisans.ru</t>
        </is>
      </c>
      <c r="G271" s="15" t="inlineStr">
        <is>
          <t>l.bisans@bk.ru</t>
        </is>
      </c>
      <c r="H271" s="15" t="inlineStr">
        <is>
          <t>Импорт и оптовая торговля одноразовыми изделиями медицинского назначения (латексными, нитриловыми перчатками). Производство одноразовыx медицинских наборов для амбулаторных и операционных процедур.</t>
        </is>
      </c>
      <c r="I271" s="15" t="inlineStr">
        <is>
          <t>Перевязочные средства; Одноразовые медицинские изделия прочие; Производство медицинских изделий</t>
        </is>
      </c>
      <c r="J271" s="15" t="inlineStr">
        <is>
          <t>Производитель</t>
        </is>
      </c>
      <c r="K271" s="15" t="inlineStr">
        <is>
          <t>OK</t>
        </is>
      </c>
      <c r="L271" s="15" t="inlineStr">
        <is>
          <t>перчатки, медицинские наборы и перевязочные средства</t>
        </is>
      </c>
      <c r="M271" s="15" t="inlineStr">
        <is>
          <t>Бисанс</t>
        </is>
      </c>
      <c r="N271" s="15" t="inlineStr">
        <is>
          <t>Здравоохранение-2025</t>
        </is>
      </c>
      <c r="O271" s="20" t="inlineStr">
        <is>
          <t>https://icatalog.expocentr.ru/ru/exhibitions/de590dc5-417d-11ee-80ce-a0d3c1fab97f</t>
        </is>
      </c>
    </row>
    <row r="272">
      <c r="A272" s="15" t="inlineStr">
        <is>
          <t>АКОНИТ, ООО</t>
        </is>
      </c>
      <c r="B272" s="15" t="inlineStr">
        <is>
          <t>6B020</t>
        </is>
      </c>
      <c r="C272" s="15" t="inlineStr">
        <is>
          <t>Россия</t>
        </is>
      </c>
      <c r="D272" s="15" t="inlineStr">
        <is>
          <t>Санкт-Петербург</t>
        </is>
      </c>
      <c r="E272" s="15" t="inlineStr">
        <is>
          <t>Россия, 196006, г. Санкт-Петербург, вн. тер. г. м. о. Московская Застава, ул. Емельянова, д. 10, литера А, пом. 1-Н</t>
        </is>
      </c>
      <c r="F272" s="20" t="inlineStr">
        <is>
          <t>http://www.akonit.ru</t>
        </is>
      </c>
      <c r="G272" s="15" t="inlineStr">
        <is>
          <t>bip@botvinik.ru</t>
        </is>
      </c>
      <c r="H272" s="15" t="inlineStr">
        <is>
          <t>Оптовая продажа медицинских изделий для АиР, хирургии, урологии, кардиологии известных мировых брендов: Medico, Suru, ZAVI, Ribbel, Sterimed. Медицинская мебель и операционные столы «МЕДИН».</t>
        </is>
      </c>
      <c r="I272" s="15" t="inlineStr">
        <is>
          <t>Приборы и принадлежности для кардиографических исследований; Медицинская мебель; Одноразовые медицинские изделия прочие; Принадлежности и расходные материалы для реанимации и экстренной помощи; Операционные столы</t>
        </is>
      </c>
      <c r="J272" s="15" t="inlineStr">
        <is>
          <t>Дилер</t>
        </is>
      </c>
      <c r="K272" s="15" t="inlineStr">
        <is>
          <t>OK</t>
        </is>
      </c>
      <c r="L272" s="15" t="inlineStr">
        <is>
          <t>медицинские изделия, медицинская мебель и операционные столы</t>
        </is>
      </c>
      <c r="M272" s="15" t="inlineStr">
        <is>
          <t>Аконит</t>
        </is>
      </c>
      <c r="N272" s="15" t="inlineStr">
        <is>
          <t>Здравоохранение-2025</t>
        </is>
      </c>
      <c r="O272" s="20" t="inlineStr">
        <is>
          <t>https://icatalog.expocentr.ru/ru/exhibitions/de590dc5-417d-11ee-80ce-a0d3c1fab97f</t>
        </is>
      </c>
    </row>
    <row r="273">
      <c r="A273" s="15" t="inlineStr">
        <is>
          <t>АКТИМЕД ПЛЮС, ООО</t>
        </is>
      </c>
      <c r="B273" s="15" t="inlineStr">
        <is>
          <t>6D090</t>
        </is>
      </c>
      <c r="C273" s="15" t="inlineStr">
        <is>
          <t>Россия</t>
        </is>
      </c>
      <c r="D273" s="15" t="inlineStr">
        <is>
          <t>Санкт-Петербург</t>
        </is>
      </c>
      <c r="E273" s="15" t="inlineStr">
        <is>
          <t>Россия, 194064, г. Санкт-Петербург, просп. Раевского, д. 14, корп. 2, литера А, пом. 8-Н</t>
        </is>
      </c>
      <c r="F273" s="20" t="inlineStr">
        <is>
          <t>http://www.aktimed.ru</t>
        </is>
      </c>
      <c r="G273" s="15" t="inlineStr">
        <is>
          <t>sales@aktimed.ru</t>
        </is>
      </c>
      <c r="H273" s="15" t="inlineStr">
        <is>
          <t>Официальный импортер и дистрибьютор расходных материалов для онкологии, реанимации, неонатологии и хирургии более чем двадцати брендов из Европы, Северной Америки и Азии. Мы придерживаемся гибкой ценовой политики и предлагаем привлекательные условия сотрудничества.</t>
        </is>
      </c>
      <c r="I273" s="15" t="inlineStr">
        <is>
          <t>Расходные материалы для медицинских приборов; Одноразовые медицинские изделия прочие; Расходные материалы для медицинского оборудования; Поставка медицинского оборудования и расходных материалов; Комплекты реанимационного оборудования; Принадлежности и расходные материалы для реанимации и экстренной помощи</t>
        </is>
      </c>
      <c r="J273" s="15" t="inlineStr">
        <is>
          <t>Дилер</t>
        </is>
      </c>
      <c r="K273" s="15" t="inlineStr">
        <is>
          <t>OK</t>
        </is>
      </c>
      <c r="L273" s="15" t="inlineStr">
        <is>
          <t>расходные материалы, медицинские изделия и оборудование</t>
        </is>
      </c>
      <c r="M273" s="15" t="inlineStr">
        <is>
          <t>Актимед Плюс</t>
        </is>
      </c>
      <c r="N273" s="15" t="inlineStr">
        <is>
          <t>Здравоохранение-2025</t>
        </is>
      </c>
      <c r="O273" s="20" t="inlineStr">
        <is>
          <t>https://icatalog.expocentr.ru/ru/exhibitions/de590dc5-417d-11ee-80ce-a0d3c1fab97f</t>
        </is>
      </c>
    </row>
    <row r="274">
      <c r="A274" s="15" t="inlineStr">
        <is>
          <t>ЦЕРЕБРУМ-М, ООО</t>
        </is>
      </c>
      <c r="B274" s="15" t="inlineStr">
        <is>
          <t>6C030</t>
        </is>
      </c>
      <c r="C274" s="15" t="inlineStr">
        <is>
          <t>Россия</t>
        </is>
      </c>
      <c r="D274" s="15" t="inlineStr">
        <is>
          <t>Владивосток</t>
        </is>
      </c>
      <c r="E274" s="15" t="inlineStr">
        <is>
          <t>Россия, 690078, Приморский край, г. Владивосток, ул. Комсомольская, д. 3, этаж 10</t>
        </is>
      </c>
      <c r="F274" s="20" t="inlineStr">
        <is>
          <t>http://www.cereb.su</t>
        </is>
      </c>
      <c r="G274" s="15" t="inlineStr">
        <is>
          <t>info@cereb.su</t>
        </is>
      </c>
      <c r="H274" s="15" t="inlineStr">
        <is>
          <t>Расходные материалы для анестезиологии, реанимации, гемодиализа, гинекологии, урологии, одноразовая медицинская одежда, перчатки, шприцы, системы взятия крови. Приборы, реагенты для лабораторий.</t>
        </is>
      </c>
      <c r="I274" s="15" t="inlineStr">
        <is>
          <t>Инструменты гинекологические; Перевязочные средства; Инструменты и принадлежности для инъекций  и взятия крови; Одноразовые медицинские изделия прочие; Лабораторное оборудование; Реагенты и расходные материалы для лабораторной диагностики; Оборудование и расходные материалы для проведения гемосорбции, гемодиализа и плазмофереза; Расходные материалы для службы крови; Принадлежности и расходные материалы для реанимации и экстренной помощи</t>
        </is>
      </c>
      <c r="J274" s="15" t="inlineStr">
        <is>
          <t>Дилер</t>
        </is>
      </c>
      <c r="K274" s="15" t="inlineStr">
        <is>
          <t>OK</t>
        </is>
      </c>
      <c r="L274" s="15" t="inlineStr">
        <is>
          <t>расходные материалы, приборы, реагенты и инструменты</t>
        </is>
      </c>
      <c r="M274" s="15" t="inlineStr">
        <is>
          <t>Церебрум-М</t>
        </is>
      </c>
      <c r="N274" s="15" t="inlineStr">
        <is>
          <t>Здравоохранение-2025</t>
        </is>
      </c>
      <c r="O274" s="20" t="inlineStr">
        <is>
          <t>https://icatalog.expocentr.ru/ru/exhibitions/de590dc5-417d-11ee-80ce-a0d3c1fab97f</t>
        </is>
      </c>
    </row>
    <row r="275">
      <c r="A275" s="15" t="inlineStr">
        <is>
          <t>ПИЛОТ ГРУПП, ООО</t>
        </is>
      </c>
      <c r="B275" s="15" t="inlineStr">
        <is>
          <t>6D030</t>
        </is>
      </c>
      <c r="C275" s="15" t="inlineStr">
        <is>
          <t>Россия</t>
        </is>
      </c>
      <c r="D275" s="15" t="inlineStr">
        <is>
          <t>Москва</t>
        </is>
      </c>
      <c r="E275" s="15" t="inlineStr">
        <is>
          <t>Россия, г. Москва</t>
        </is>
      </c>
      <c r="F275" s="20" t="inlineStr">
        <is>
          <t>http://www.pgmed.ru</t>
        </is>
      </c>
      <c r="G275" s="15" t="inlineStr">
        <is>
          <t>info@pgmed.ru</t>
        </is>
      </c>
      <c r="H275" s="15" t="inlineStr">
        <is>
          <t>Дистрибьютор оборудования и расходных материалов для гемодиализа, малоинвазивной хирургии и реанимации. Тесное сотрудничество с лидерами отрасли в Китае — гарантия качества и бесперебойности поставок.</t>
        </is>
      </c>
      <c r="I275" s="15" t="inlineStr">
        <is>
          <t>Оборудование и средства для лапароскопии; Оборудование и расходные материалы для проведения гемосорбции, гемодиализа и плазмофереза; Принадлежности и расходные материалы для реанимации и экстренной помощи; Ультразвуковые хирургические аппараты; Хирургические инструменты</t>
        </is>
      </c>
      <c r="J275" s="15" t="inlineStr">
        <is>
          <t>Дилер</t>
        </is>
      </c>
      <c r="K275" s="15" t="inlineStr">
        <is>
          <t>OK</t>
        </is>
      </c>
      <c r="L275" s="15" t="inlineStr">
        <is>
          <t>оборудование, расходные материалы и хирургические инструменты</t>
        </is>
      </c>
      <c r="M275" s="15" t="inlineStr">
        <is>
          <t>Пилот Групп</t>
        </is>
      </c>
      <c r="N275" s="15" t="inlineStr">
        <is>
          <t>Здравоохранение-2025</t>
        </is>
      </c>
      <c r="O275" s="20" t="inlineStr">
        <is>
          <t>https://icatalog.expocentr.ru/ru/exhibitions/de590dc5-417d-11ee-80ce-a0d3c1fab97f</t>
        </is>
      </c>
    </row>
    <row r="276">
      <c r="A276" s="15" t="inlineStr">
        <is>
          <t>ЭЛЕМААР, ООО</t>
        </is>
      </c>
      <c r="B276" s="15" t="inlineStr">
        <is>
          <t>6D010</t>
        </is>
      </c>
      <c r="C276" s="15" t="inlineStr">
        <is>
          <t>Россия</t>
        </is>
      </c>
      <c r="D276" s="15" t="inlineStr">
        <is>
          <t>Москва</t>
        </is>
      </c>
      <c r="E276" s="15" t="inlineStr">
        <is>
          <t>Россия, 117342, г. Москва, ул. Введенского, д. 3, корп. 1, стр. 1, этаж антресоль, пом. I, комн. 50</t>
        </is>
      </c>
      <c r="F276" s="20" t="inlineStr">
        <is>
          <t>http://www.elemaar.ru</t>
        </is>
      </c>
      <c r="G276" s="15" t="inlineStr">
        <is>
          <t>info@elemaar.ru</t>
        </is>
      </c>
      <c r="H276" s="15" t="inlineStr">
        <is>
          <t>ООО «Элемаар» — российский производитель хирургических шовных материалов. С 2019 года выпускаем в Москве продукцию под собственным брендом ELEMAAR. Мы строго соблюдаем европейские стандарты качества и безопасности, используем современные технологии и тщательно выверенные производственные процессы. Мы обеспечиваем бесперебойные поставки полного спектра шовного материала — более 14 000 вариантов комплектации — для всех направлений хирургии.</t>
        </is>
      </c>
      <c r="I276" s="15" t="inlineStr">
        <is>
          <t>Шовный материал</t>
        </is>
      </c>
      <c r="J276" s="15" t="inlineStr">
        <is>
          <t>Производитель</t>
        </is>
      </c>
      <c r="K276" s="15" t="inlineStr">
        <is>
          <t>OK</t>
        </is>
      </c>
      <c r="L276" s="15" t="inlineStr">
        <is>
          <t>шовный материал</t>
        </is>
      </c>
      <c r="M276" s="15" t="inlineStr">
        <is>
          <t>Элемаар</t>
        </is>
      </c>
      <c r="N276" s="15" t="inlineStr">
        <is>
          <t>Здравоохранение-2025</t>
        </is>
      </c>
      <c r="O276" s="20" t="inlineStr">
        <is>
          <t>https://icatalog.expocentr.ru/ru/exhibitions/de590dc5-417d-11ee-80ce-a0d3c1fab97f</t>
        </is>
      </c>
    </row>
    <row r="277">
      <c r="A277" s="15" t="inlineStr">
        <is>
          <t>СКОЛКОВО ФАРМА, ООО</t>
        </is>
      </c>
      <c r="B277" s="21" t="n">
        <v>6e+95</v>
      </c>
      <c r="C277" s="15" t="inlineStr">
        <is>
          <t>Россия</t>
        </is>
      </c>
      <c r="D277" s="15" t="inlineStr">
        <is>
          <t>Москва</t>
        </is>
      </c>
      <c r="E277" s="15" t="inlineStr">
        <is>
          <t>Россия, 121205, г. Москва, территория Инновационного центра «Сколково», ул. Нобеля, д. 7, этаж 3, пом. IV, комн. 24</t>
        </is>
      </c>
      <c r="F277" s="20" t="inlineStr">
        <is>
          <t>https://www.skolfarma.ru</t>
        </is>
      </c>
      <c r="G277" s="15" t="inlineStr">
        <is>
          <t>info@skolfarma.ru</t>
        </is>
      </c>
      <c r="H277" s="15" t="inlineStr">
        <is>
          <t>«Сколково Фарма» – новый игрок на рынке медицинских изделий. Компания специализируется на поставке и производстве высококачественных медицинских расходных материалов под брендом ORJECT.</t>
        </is>
      </c>
      <c r="I277" s="15" t="inlineStr">
        <is>
          <t>Инструменты и принадлежности для инъекций  и взятия крови; Одноразовые медицинские изделия прочие; Расходные материалы для медицинского оборудования; Производство медицинских изделий</t>
        </is>
      </c>
      <c r="J277" s="15" t="inlineStr">
        <is>
          <t>Производитель</t>
        </is>
      </c>
      <c r="K277" s="15" t="inlineStr">
        <is>
          <t>OK</t>
        </is>
      </c>
      <c r="L277" s="15" t="inlineStr">
        <is>
          <t>инструменты для инъекций, расходные материалы и медицинские изделия</t>
        </is>
      </c>
      <c r="M277" s="15" t="inlineStr">
        <is>
          <t>Сколково Фарма</t>
        </is>
      </c>
      <c r="N277" s="15" t="inlineStr">
        <is>
          <t>Здравоохранение-2025</t>
        </is>
      </c>
      <c r="O277" s="20" t="inlineStr">
        <is>
          <t>https://icatalog.expocentr.ru/ru/exhibitions/de590dc5-417d-11ee-80ce-a0d3c1fab97f</t>
        </is>
      </c>
    </row>
    <row r="278">
      <c r="A278" s="15" t="inlineStr">
        <is>
          <t>ДАРПИКС, ООО</t>
        </is>
      </c>
      <c r="B278" s="21" t="n">
        <v>6e+85</v>
      </c>
      <c r="C278" s="15" t="inlineStr">
        <is>
          <t>Россия</t>
        </is>
      </c>
      <c r="D278" s="15" t="inlineStr">
        <is>
          <t>Зеленодольск</t>
        </is>
      </c>
      <c r="E278" s="15" t="inlineStr">
        <is>
          <t>Россия, 422527, Республика Татарстан, г. Зеленодольск, промышленная площадка Зеленодольск, стр. 4</t>
        </is>
      </c>
      <c r="F278" s="20" t="inlineStr">
        <is>
          <t>https://darpix.ru</t>
        </is>
      </c>
      <c r="G278" s="15" t="inlineStr">
        <is>
          <t>info@darpix.ru</t>
        </is>
      </c>
      <c r="H278" s="15" t="inlineStr">
        <is>
          <t>Производство одноразовой хирургической одежды и белья.</t>
        </is>
      </c>
      <c r="I278" s="15" t="inlineStr">
        <is>
          <t>Одежда и белье для пациентов и медицинского персонала; Одноразовые медицинские изделия прочие; Расходные материалы для медицинского оборудования; Инструменты и принадлежности для эндоскопии; Оборудование и расходные материалы для проведения гемосорбции, гемодиализа и плазмофереза</t>
        </is>
      </c>
      <c r="J278" s="15" t="inlineStr">
        <is>
          <t>Производитель</t>
        </is>
      </c>
      <c r="K278" s="15" t="inlineStr">
        <is>
          <t>OK</t>
        </is>
      </c>
      <c r="L278" s="15" t="inlineStr">
        <is>
          <t>одежда, белье, изделия, расходные материалы и инструменты</t>
        </is>
      </c>
      <c r="M278" s="15" t="inlineStr">
        <is>
          <t>Дарпикс</t>
        </is>
      </c>
      <c r="N278" s="15" t="inlineStr">
        <is>
          <t>Здравоохранение-2025</t>
        </is>
      </c>
      <c r="O278" s="20" t="inlineStr">
        <is>
          <t>https://icatalog.expocentr.ru/ru/exhibitions/de590dc5-417d-11ee-80ce-a0d3c1fab97f</t>
        </is>
      </c>
    </row>
    <row r="279">
      <c r="A279" s="15" t="inlineStr">
        <is>
          <t>MedAim LLC</t>
        </is>
      </c>
      <c r="B279" s="15" t="inlineStr">
        <is>
          <t>6B100</t>
        </is>
      </c>
      <c r="C279" s="15" t="inlineStr">
        <is>
          <t>Россия</t>
        </is>
      </c>
      <c r="D279" s="15" t="inlineStr">
        <is>
          <t>Санкт-Петербург</t>
        </is>
      </c>
      <c r="E279" s="15" t="inlineStr">
        <is>
          <t>Россия, 196240, г. Санкт-Петербург, ул. Предпортовая, д. 10, литера Ж</t>
        </is>
      </c>
      <c r="F279" s="20" t="inlineStr">
        <is>
          <t>http://medaim.ru</t>
        </is>
      </c>
      <c r="G279" s="15" t="inlineStr">
        <is>
          <t>it@medaim.ru</t>
        </is>
      </c>
      <c r="H279" s="15" t="inlineStr">
        <is>
          <t>MedAim — надежный производитель медицинских расходных материалов: шприцев, инфузионных систем, игл-бабочек, бинтов. 14 лет качества и стабильных поставок. Наша цель — взаимовыгодное партнерство.</t>
        </is>
      </c>
      <c r="I279" s="15" t="inlineStr">
        <is>
          <t>Одноразовые стоматологические материалы; Перевязочные средства; Одноразовые медицинские изделия прочие; Расходные материалы для медицинского оборудования; Расходные материалы для службы крови; Принадлежности и расходные материалы для реанимации и экстренной помощи</t>
        </is>
      </c>
      <c r="J279" s="15" t="inlineStr">
        <is>
          <t>Производитель</t>
        </is>
      </c>
      <c r="K279" s="15" t="inlineStr">
        <is>
          <t>OK</t>
        </is>
      </c>
      <c r="L279" s="15" t="inlineStr">
        <is>
          <t>шприцы, инфузионные системы, иглы и бинты</t>
        </is>
      </c>
      <c r="M279" s="15" t="inlineStr">
        <is>
          <t>Medaim</t>
        </is>
      </c>
      <c r="N279" s="15" t="inlineStr">
        <is>
          <t>Здравоохранение-2025</t>
        </is>
      </c>
      <c r="O279" s="20" t="inlineStr">
        <is>
          <t>https://icatalog.expocentr.ru/ru/exhibitions/de590dc5-417d-11ee-80ce-a0d3c1fab97f</t>
        </is>
      </c>
    </row>
    <row r="280">
      <c r="A280" s="15" t="inlineStr">
        <is>
          <t>ШАКЛИН, ООО</t>
        </is>
      </c>
      <c r="B280" s="15" t="inlineStr">
        <is>
          <t>6D075</t>
        </is>
      </c>
      <c r="C280" s="15" t="inlineStr">
        <is>
          <t>Россия</t>
        </is>
      </c>
      <c r="D280" s="15" t="inlineStr">
        <is>
          <t>Новосибирск</t>
        </is>
      </c>
      <c r="E280" s="15" t="inlineStr">
        <is>
          <t>Россия, 630090, г. Новосибирск, ул. Демакова, д. 30, оф. 901</t>
        </is>
      </c>
      <c r="F280" s="20" t="inlineStr">
        <is>
          <t>http://www.shaklin.ru</t>
        </is>
      </c>
      <c r="G280" s="15" t="inlineStr">
        <is>
          <t>zakaz@shaklin.ru</t>
        </is>
      </c>
      <c r="H280" s="15" t="inlineStr">
        <is>
          <t>Компания «Шаклин» поставляет изделия медицинского назначения по всей России под собственным брендом INEKTA: перчатки, шприцы, катетеры, мочеприемники, инфузионные системы, спинальные иглы и прочее.</t>
        </is>
      </c>
      <c r="I280" s="15" t="inlineStr">
        <is>
          <t>Системы мониторирования ЭКГ и АД; Инструменты гинекологические; Оборудование для урологической диагностики; Инструменты и принадлежности для инъекций  и взятия крови; Одноразовые медицинские изделия прочие; Принадлежности и расходные материалы для реанимации и экстренной помощи</t>
        </is>
      </c>
      <c r="J280" s="15" t="inlineStr">
        <is>
          <t>Производитель</t>
        </is>
      </c>
      <c r="K280" s="15" t="inlineStr">
        <is>
          <t>OK</t>
        </is>
      </c>
      <c r="L280" s="15" t="inlineStr">
        <is>
          <t>медицинские изделия, перчатки, шприцы и катетеры</t>
        </is>
      </c>
      <c r="M280" s="15" t="inlineStr">
        <is>
          <t>Шаклин</t>
        </is>
      </c>
      <c r="N280" s="15" t="inlineStr">
        <is>
          <t>Здравоохранение-2025</t>
        </is>
      </c>
      <c r="O280" s="20" t="inlineStr">
        <is>
          <t>https://icatalog.expocentr.ru/ru/exhibitions/de590dc5-417d-11ee-80ce-a0d3c1fab97f</t>
        </is>
      </c>
    </row>
    <row r="281">
      <c r="A281" s="15" t="inlineStr">
        <is>
          <t>АРМЕДИКА, ООО</t>
        </is>
      </c>
      <c r="B281" s="15" t="inlineStr">
        <is>
          <t>6D070</t>
        </is>
      </c>
      <c r="C281" s="15" t="inlineStr">
        <is>
          <t>Россия</t>
        </is>
      </c>
      <c r="D281" s="15" t="inlineStr">
        <is>
          <t>Екатеринбург</t>
        </is>
      </c>
      <c r="E281" s="15" t="inlineStr">
        <is>
          <t>Россия, 620133, г. Екатеринбург, ул. Шевченко, д. 20</t>
        </is>
      </c>
      <c r="F281" s="20" t="inlineStr">
        <is>
          <t>https://yukigroup.ru</t>
        </is>
      </c>
      <c r="G281" s="15" t="inlineStr">
        <is>
          <t>info@yukigroup.ru</t>
        </is>
      </c>
      <c r="H281" s="15" t="inlineStr">
        <is>
          <t>ООО «Армедика» — надежный поставщик и производитель медицинского оборудования, мебели, расходных материалов и технических средств реабилитации под ТЗ «ЮКИ». Доставка по всей России и в страны СНГ.</t>
        </is>
      </c>
      <c r="I281" s="15" t="inlineStr">
        <is>
          <t>Медицинская мебель; Расходные материалы для медицинского оборудования; Реабилитационное оборудование; Эндоскопические комплексы и системы; Аппараты для искусственной вентиляции легких; Оборудование для длительных вливаний крови и растворов</t>
        </is>
      </c>
      <c r="J281" s="15" t="inlineStr">
        <is>
          <t>Производитель</t>
        </is>
      </c>
      <c r="K281" s="15" t="inlineStr">
        <is>
          <t>OK</t>
        </is>
      </c>
      <c r="L281" s="15" t="inlineStr">
        <is>
          <t>медицинское оборудование, мебель, расходные материалы и средства реабилитации</t>
        </is>
      </c>
      <c r="M281" s="15" t="inlineStr">
        <is>
          <t>Армедика</t>
        </is>
      </c>
      <c r="N281" s="15" t="inlineStr">
        <is>
          <t>Здравоохранение-2025</t>
        </is>
      </c>
      <c r="O281" s="20" t="inlineStr">
        <is>
          <t>https://icatalog.expocentr.ru/ru/exhibitions/de590dc5-417d-11ee-80ce-a0d3c1fab97f</t>
        </is>
      </c>
    </row>
    <row r="282">
      <c r="A282" s="15" t="inlineStr">
        <is>
          <t>ПАЛЬМА ГК, ООО</t>
        </is>
      </c>
      <c r="B282" s="15" t="inlineStr">
        <is>
          <t>6B090</t>
        </is>
      </c>
      <c r="C282" s="15" t="inlineStr">
        <is>
          <t>Россия</t>
        </is>
      </c>
      <c r="D282" s="15" t="inlineStr">
        <is>
          <t>Москва</t>
        </is>
      </c>
      <c r="E282" s="15" t="inlineStr">
        <is>
          <t>Россия, 108809, г. Москва, вн. тер. г. м. о. Внуково, д. Толстопальцево, ул. Советская, д. 4, стр. 1</t>
        </is>
      </c>
      <c r="F282" s="20" t="inlineStr">
        <is>
          <t>http://www.palma-med.ru</t>
        </is>
      </c>
      <c r="G282" s="15" t="inlineStr">
        <is>
          <t>palma@palma-med.ru</t>
        </is>
      </c>
      <c r="H282" s="15" t="inlineStr">
        <is>
          <t>Производитель медицинских изделий: кало- и уроприемников, средств ухода за стомой, липких бинтов, липких операционных пленок, салфеток для офтальмологических операций, ранозаживляющих средств.</t>
        </is>
      </c>
      <c r="I282" s="15" t="inlineStr">
        <is>
          <t>Дополнительное оборудование и принадлежности для офтальмодиагностики; Перевязочные средства; Средства ухода за стомой; Одноразовые медицинские изделия прочие; Средства для оказания экстренной медицинской помощи; Аппараты и материалы для сердечно-сосудистой хирургии</t>
        </is>
      </c>
      <c r="J282" s="15" t="inlineStr">
        <is>
          <t>Производитель</t>
        </is>
      </c>
      <c r="K282" s="15" t="inlineStr">
        <is>
          <t>OK</t>
        </is>
      </c>
      <c r="L282" s="15" t="inlineStr">
        <is>
          <t>средства ухода за стомой, перевязочные средства, и медицинские изделия</t>
        </is>
      </c>
      <c r="M282" s="15" t="inlineStr">
        <is>
          <t>Пальма</t>
        </is>
      </c>
      <c r="N282" s="15" t="inlineStr">
        <is>
          <t>Здравоохранение-2025</t>
        </is>
      </c>
      <c r="O282" s="20" t="inlineStr">
        <is>
          <t>https://icatalog.expocentr.ru/ru/exhibitions/de590dc5-417d-11ee-80ce-a0d3c1fab97f</t>
        </is>
      </c>
    </row>
    <row r="283">
      <c r="A283" s="15" t="inlineStr">
        <is>
          <t>ВИЛЛМЕД ПРОИЗВОДСТВЕННАЯ КОМПАНИЯ, ООО</t>
        </is>
      </c>
      <c r="B283" s="15" t="inlineStr">
        <is>
          <t>6C050</t>
        </is>
      </c>
      <c r="C283" s="15" t="inlineStr">
        <is>
          <t>Россия</t>
        </is>
      </c>
      <c r="D283" s="15" t="inlineStr">
        <is>
          <t>Краснодар</t>
        </is>
      </c>
      <c r="E283" s="15" t="inlineStr">
        <is>
          <t>Россия, г. Краснодар, ул. Морская, д. 15</t>
        </is>
      </c>
      <c r="F283" s="20" t="inlineStr">
        <is>
          <t>http://www.willmed.ru</t>
        </is>
      </c>
      <c r="G283" s="15" t="inlineStr">
        <is>
          <t>zakaz@willmed.ru</t>
        </is>
      </c>
      <c r="H283" s="15" t="inlineStr">
        <is>
          <t>«ВиллМед» — производство медизделий полного цикла в г. Краснодаре: урологических изделий (мочеприемников и катетеров), изделий для стомированных (калоприемников), абсорбирующего белья. Проект импортозамещения.</t>
        </is>
      </c>
      <c r="I283" s="15" t="inlineStr">
        <is>
          <t>Инструменты урологические; Средства ухода за стомой; Одноразовые медицинские изделия прочие; Производство медицинских изделий</t>
        </is>
      </c>
      <c r="J283" s="15" t="inlineStr">
        <is>
          <t>Производитель</t>
        </is>
      </c>
      <c r="K283" s="15" t="inlineStr">
        <is>
          <t>OK</t>
        </is>
      </c>
      <c r="L283" s="15" t="inlineStr">
        <is>
          <t>урологические изделия, средства для стомы и абсорбирующее белье</t>
        </is>
      </c>
      <c r="M283" s="15" t="inlineStr">
        <is>
          <t>Виллмед Производственная Компания</t>
        </is>
      </c>
      <c r="N283" s="15" t="inlineStr">
        <is>
          <t>Здравоохранение-2025</t>
        </is>
      </c>
      <c r="O283" s="20" t="inlineStr">
        <is>
          <t>https://icatalog.expocentr.ru/ru/exhibitions/de590dc5-417d-11ee-80ce-a0d3c1fab97f</t>
        </is>
      </c>
    </row>
    <row r="284">
      <c r="A284" s="15" t="inlineStr">
        <is>
          <t>МЕДТЕХНИКА-СТОЛИЦА, ООО</t>
        </is>
      </c>
      <c r="B284" s="21" t="n">
        <v>60000000000</v>
      </c>
      <c r="C284" s="15" t="inlineStr">
        <is>
          <t>Россия</t>
        </is>
      </c>
      <c r="D284" s="15" t="inlineStr">
        <is>
          <t>Москва</t>
        </is>
      </c>
      <c r="E284" s="15" t="inlineStr">
        <is>
          <t>Россия, 125504, г. Москва, Дмитровское ш., д. 89, пом. XXVI, комн. 23, 24</t>
        </is>
      </c>
      <c r="F284" s="20" t="inlineStr">
        <is>
          <t>http://heine.com.ru</t>
        </is>
      </c>
      <c r="G284" s="15" t="inlineStr">
        <is>
          <t>shopheine@yandex.ru</t>
        </is>
      </c>
      <c r="H284" s="15" t="inlineStr">
        <is>
          <t>Уполномоченный импортер, дистрибьютор и авторизованный сервисный центр HEINE в России.Прямые поставки из Германии. Доступно на складе прямо сейчас. Шоурум HEINE.17 лет партнер HEINE.Апробация бесплатно в ЛПУ: — дерматоскопы DELTA 30, DELTA ONE, DELTA 20 T— ларингоскопы Video visionPRO, Classic+ Macintosh, Miller, Paed, Standard F.O. — офтальмоскопы непрямые OMEGA 600, SIGMA 250 — осветители налобные ML4 LED, MicroLight, LoupeLight— лупы бинокулярные HR 2.5х340/420/520 и HRP 3.5х420, 4х340, 6х340.</t>
        </is>
      </c>
      <c r="I284" s="15" t="inlineStr">
        <is>
          <t>Офтальмоскопы; Дерматоскопы; Отоскопы и лор-инструменты; Одноразовые проктоскопы; Ларингоскопы; Осветители налобные с бинокулярными лупами</t>
        </is>
      </c>
      <c r="J284" s="15" t="inlineStr">
        <is>
          <t>Дилер</t>
        </is>
      </c>
      <c r="K284" s="15" t="inlineStr">
        <is>
          <t>OK</t>
        </is>
      </c>
      <c r="L284" s="15" t="inlineStr">
        <is>
          <t>офтальмоскопы, дерматоскопы, отоскопы и лор-инструменты, проктоскопы, ларингоскопы, осветители и лупы</t>
        </is>
      </c>
      <c r="M284" s="15" t="inlineStr">
        <is>
          <t>Медтехника Столица</t>
        </is>
      </c>
      <c r="N284" s="15" t="inlineStr">
        <is>
          <t>Здравоохранение-2025</t>
        </is>
      </c>
      <c r="O284" s="20" t="inlineStr">
        <is>
          <t>https://icatalog.expocentr.ru/ru/exhibitions/de590dc5-417d-11ee-80ce-a0d3c1fab97f</t>
        </is>
      </c>
    </row>
    <row r="285">
      <c r="A285" s="15" t="inlineStr">
        <is>
          <t>ЕРЕМЕЕВ А.М., ИП</t>
        </is>
      </c>
      <c r="B285" s="15" t="inlineStr">
        <is>
          <t>6G084</t>
        </is>
      </c>
      <c r="C285" s="15" t="inlineStr">
        <is>
          <t>Россия</t>
        </is>
      </c>
      <c r="D285" s="15" t="inlineStr">
        <is>
          <t>Казань</t>
        </is>
      </c>
      <c r="E285" s="15" t="inlineStr">
        <is>
          <t>Россия, Республика Татарстан, г. Казань</t>
        </is>
      </c>
      <c r="F285" s="20" t="inlineStr">
        <is>
          <t>https://meshkipaketi.ru</t>
        </is>
      </c>
      <c r="G285" s="15" t="inlineStr">
        <is>
          <t>medelplus@mail.ru</t>
        </is>
      </c>
      <c r="H285" s="15" t="inlineStr">
        <is>
          <t>Наша компания производит упаковку для медицинских отходов с 2013 года. Наши товары имеют все сертификаты качества и РУ. У нас широкий ассортимент: пакеты для сбора отходов, пакеты для термической обработки, емкости, баки, баки с педалью, мешки патолого-анатомические, тележки, дезинфекторы.</t>
        </is>
      </c>
      <c r="I285" s="15" t="inlineStr">
        <is>
          <t>Расходные материалы для медицинских приборов; Одноразовые медицинские изделия прочие; Расходные материалы для медицинского оборудования</t>
        </is>
      </c>
      <c r="J285" s="15" t="inlineStr">
        <is>
          <t>Производитель</t>
        </is>
      </c>
      <c r="K285" s="15" t="inlineStr">
        <is>
          <t>OK</t>
        </is>
      </c>
      <c r="L285" s="15" t="inlineStr">
        <is>
          <t>пакеты, емкости, баки и дезинфекторы</t>
        </is>
      </c>
      <c r="M285" s="15" t="inlineStr">
        <is>
          <t>ИП Еремеев</t>
        </is>
      </c>
      <c r="N285" s="15" t="inlineStr">
        <is>
          <t>Здравоохранение-2025</t>
        </is>
      </c>
      <c r="O285" s="20" t="inlineStr">
        <is>
          <t>https://icatalog.expocentr.ru/ru/exhibitions/de590dc5-417d-11ee-80ce-a0d3c1fab97f</t>
        </is>
      </c>
    </row>
    <row r="286">
      <c r="A286" s="15" t="inlineStr">
        <is>
          <t>БОЛЮСМЕД</t>
        </is>
      </c>
      <c r="B286" s="15" t="inlineStr">
        <is>
          <t>6D020</t>
        </is>
      </c>
      <c r="C286" s="15" t="inlineStr">
        <is>
          <t>Россия</t>
        </is>
      </c>
      <c r="D286" s="15" t="inlineStr">
        <is>
          <t>Санкт-Петербург</t>
        </is>
      </c>
      <c r="E286" s="15" t="inlineStr">
        <is>
          <t>Россия, 194295, г. Санкт-Петербург, ул. Ивана Фомина, д. 7, корп. 3, кв. 37</t>
        </is>
      </c>
      <c r="F286" s="20" t="inlineStr">
        <is>
          <t>https://bolusmed.ru</t>
        </is>
      </c>
      <c r="G286" s="15" t="inlineStr">
        <is>
          <t>office@bolusmed.ru</t>
        </is>
      </c>
      <c r="H286" s="15" t="inlineStr">
        <is>
          <t>Компания ООО «Болюсмед» специализируется на поставках медицинских изделий в сфере диагностики с контрастным усилением. Основные направления деятельности нашей компании включают в себя:— наборы для контрастирования (шприцы и линии);— болюсные инжекторы;— сервисное обслуживание оборудования.</t>
        </is>
      </c>
      <c r="I286" s="15" t="inlineStr">
        <is>
          <t>Расходные материалы для медицинского оборудования; Поставка медицинского оборудования и расходных материалов; Вспомогательное оборудование; Компьютерные томографы; Магнитно-резонансные томографы</t>
        </is>
      </c>
      <c r="J286" s="15" t="inlineStr">
        <is>
          <t>Дилер</t>
        </is>
      </c>
      <c r="K286" s="15" t="inlineStr">
        <is>
          <t>OK</t>
        </is>
      </c>
      <c r="L286" s="15" t="inlineStr">
        <is>
          <t>расходные материалы, инжекторы и томографы</t>
        </is>
      </c>
      <c r="M286" s="15" t="inlineStr">
        <is>
          <t>Болюсмед</t>
        </is>
      </c>
      <c r="N286" s="15" t="inlineStr">
        <is>
          <t>Здравоохранение-2025</t>
        </is>
      </c>
      <c r="O286" s="20" t="inlineStr">
        <is>
          <t>https://icatalog.expocentr.ru/ru/exhibitions/de590dc5-417d-11ee-80ce-a0d3c1fab97f</t>
        </is>
      </c>
    </row>
    <row r="287">
      <c r="A287" s="15" t="inlineStr">
        <is>
          <t>АДВАМЕДИКС</t>
        </is>
      </c>
      <c r="B287" s="15" t="inlineStr">
        <is>
          <t>6F032</t>
        </is>
      </c>
      <c r="C287" s="15" t="inlineStr">
        <is>
          <t>Россия</t>
        </is>
      </c>
      <c r="D287" s="15" t="inlineStr">
        <is>
          <t>Москва</t>
        </is>
      </c>
      <c r="E287" s="15" t="inlineStr">
        <is>
          <t>Россия, 127486, г. Москва, Коровинское ш., д. 10, стр. 2, оф. 15</t>
        </is>
      </c>
      <c r="F287" s="20" t="inlineStr">
        <is>
          <t>http://www.advamedics.ru</t>
        </is>
      </c>
      <c r="G287" s="15" t="inlineStr">
        <is>
          <t>info@advamedics.ru</t>
        </is>
      </c>
      <c r="H287" s="15" t="inlineStr">
        <is>
          <t>Компания «Адвамедикс» — эксклюзивный дистрибьютор Poly Medicure Limited, поставщик медицинских расходных материалов для анестезиологии и реанимации.</t>
        </is>
      </c>
      <c r="I287" s="15" t="inlineStr">
        <is>
          <t>Расходные материалы для медицинских приборов; Инструменты и принадлежности для инъекций  и взятия крови; Одноразовые медицинские изделия прочие; Расходные материалы для медицинского оборудования; Принадлежности и расходные материалы для реанимации и экстренной помощи</t>
        </is>
      </c>
      <c r="J287" s="15" t="inlineStr">
        <is>
          <t>Дилер</t>
        </is>
      </c>
      <c r="K287" s="15" t="inlineStr">
        <is>
          <t>OK</t>
        </is>
      </c>
      <c r="L287" s="15" t="inlineStr">
        <is>
          <t>расходные материалы, инструменты и принадлежности</t>
        </is>
      </c>
      <c r="M287" s="15" t="inlineStr">
        <is>
          <t>Адвамедикс</t>
        </is>
      </c>
      <c r="N287" s="15" t="inlineStr">
        <is>
          <t>Здравоохранение-2025</t>
        </is>
      </c>
      <c r="O287" s="20" t="inlineStr">
        <is>
          <t>https://icatalog.expocentr.ru/ru/exhibitions/de590dc5-417d-11ee-80ce-a0d3c1fab97f</t>
        </is>
      </c>
    </row>
    <row r="288">
      <c r="A288" s="15" t="inlineStr">
        <is>
          <t>АВИС ЛАЙФ САЙНС, МНПК, ООО</t>
        </is>
      </c>
      <c r="B288" s="15" t="inlineStr">
        <is>
          <t>6F060</t>
        </is>
      </c>
      <c r="C288" s="15" t="inlineStr">
        <is>
          <t>Россия</t>
        </is>
      </c>
      <c r="D288" s="15" t="inlineStr">
        <is>
          <t>Химки</t>
        </is>
      </c>
      <c r="E288" s="15" t="inlineStr">
        <is>
          <t>Россия, 141402, Московская обл., г. Химки, ул. Ленинградская, д. 1, корп. Д, оф. 315</t>
        </is>
      </c>
      <c r="F288" s="20" t="inlineStr">
        <is>
          <t>http://www.mnpkavis.ru</t>
        </is>
      </c>
      <c r="G288" s="15" t="inlineStr">
        <is>
          <t>mnpkavis@bk.ru</t>
        </is>
      </c>
      <c r="H288" s="15" t="inlineStr">
        <is>
          <t>ООО «МНПК АВИС ЛАЙФ САЙНС» — эксклюзивный поставщик гемостатических средств на основе окисленной регенерированной целлюлозы Surgi-ORC, гемостатических средств на основе желатина SURGISPON, а также сшивающих аппаратов и кассет BEIEN-SURG для лапароскопических и открытых операций.</t>
        </is>
      </c>
      <c r="I288" s="15" t="inlineStr">
        <is>
          <t>Одноразовые медицинские изделия прочие; Инструменты общехирургические; Специализированные медицинские инструменты</t>
        </is>
      </c>
      <c r="J288" s="15" t="inlineStr">
        <is>
          <t>Дилер</t>
        </is>
      </c>
      <c r="K288" s="15" t="inlineStr">
        <is>
          <t>OK</t>
        </is>
      </c>
      <c r="L288" s="15" t="inlineStr">
        <is>
          <t>гемостатические средства, сшивающие аппараты и кассеты</t>
        </is>
      </c>
      <c r="M288" s="15" t="inlineStr">
        <is>
          <t>Авис Лайф Сайенс, МНПК</t>
        </is>
      </c>
      <c r="N288" s="15" t="inlineStr">
        <is>
          <t>Здравоохранение-2025</t>
        </is>
      </c>
      <c r="O288" s="20" t="inlineStr">
        <is>
          <t>https://icatalog.expocentr.ru/ru/exhibitions/de590dc5-417d-11ee-80ce-a0d3c1fab97f</t>
        </is>
      </c>
    </row>
    <row r="289">
      <c r="A289" s="15" t="inlineStr">
        <is>
          <t>ЕМ-ГРУПП, ООО</t>
        </is>
      </c>
      <c r="B289" s="21" t="n">
        <v>6e+78</v>
      </c>
      <c r="C289" s="15" t="inlineStr">
        <is>
          <t>Россия</t>
        </is>
      </c>
      <c r="D289" s="15" t="inlineStr">
        <is>
          <t>Санкт-Петербург</t>
        </is>
      </c>
      <c r="E289" s="15" t="inlineStr">
        <is>
          <t>Россия, 197343, г. Санкт-Петербург, ул. Студенческая, д. 10</t>
        </is>
      </c>
      <c r="F289" s="20" t="inlineStr">
        <is>
          <t>http://www.emgr.ru</t>
        </is>
      </c>
      <c r="G289" s="15" t="inlineStr">
        <is>
          <t>em@evromedika.ru</t>
        </is>
      </c>
      <c r="H289" s="15" t="inlineStr">
        <is>
          <t>EM FIX — бренд медицинских расходных материалов: бинтов и кинезиотейпов. С нами работают стратегически мыслящие. Те, кто экономит на материалах, однажды платят репутацией.</t>
        </is>
      </c>
      <c r="I289" s="15" t="inlineStr">
        <is>
          <t>Производство медицинских изделий; Реабилитационное оборудование; Фитнес и спорт; Эстетическая медицина и косметология; Альтернативная медицина; Медицинские изделия для домашнего применения</t>
        </is>
      </c>
      <c r="J289" s="15" t="inlineStr">
        <is>
          <t>Производитель</t>
        </is>
      </c>
      <c r="K289" s="15" t="inlineStr">
        <is>
          <t>OK</t>
        </is>
      </c>
      <c r="L289" s="15" t="inlineStr">
        <is>
          <t>бинты и кинезиотейпы</t>
        </is>
      </c>
      <c r="M289" s="15" t="inlineStr">
        <is>
          <t>Ем-Групп</t>
        </is>
      </c>
      <c r="N289" s="15" t="inlineStr">
        <is>
          <t>Здравоохранение-2025</t>
        </is>
      </c>
      <c r="O289" s="20" t="inlineStr">
        <is>
          <t>https://icatalog.expocentr.ru/ru/exhibitions/de590dc5-417d-11ee-80ce-a0d3c1fab97f</t>
        </is>
      </c>
    </row>
    <row r="290">
      <c r="A290" s="15" t="inlineStr">
        <is>
          <t>МЕДИН-Н, ООО</t>
        </is>
      </c>
      <c r="B290" s="15" t="inlineStr">
        <is>
          <t>6A045</t>
        </is>
      </c>
      <c r="C290" s="15" t="inlineStr">
        <is>
          <t>Россия</t>
        </is>
      </c>
      <c r="D290" s="15" t="inlineStr">
        <is>
          <t>Екатеринбург</t>
        </is>
      </c>
      <c r="E290" s="15" t="inlineStr">
        <is>
          <t>Россия, 620026, г. Екатеринбург, ул. Белинского, стр. 56, пом. 34/2</t>
        </is>
      </c>
      <c r="F290" s="20" t="inlineStr">
        <is>
          <t>http://www.medin-n.ru</t>
        </is>
      </c>
      <c r="G290" s="15" t="inlineStr">
        <is>
          <t>sale@medin-n.ru</t>
        </is>
      </c>
      <c r="H290" s="15" t="inlineStr">
        <is>
          <t>Предприятие ООО «Медин-Н» — российский лидер в области производства шовного хирургического материала. Представляет полный спектр атравматических хирургических игл и нитей для всех видов хирургии.</t>
        </is>
      </c>
      <c r="I290" s="15" t="inlineStr">
        <is>
          <t>Расходные материалы для медицинского оборудования; Производство медицинских изделий; Шовный материал</t>
        </is>
      </c>
      <c r="J290" s="15" t="inlineStr">
        <is>
          <t>Производитель</t>
        </is>
      </c>
      <c r="K290" s="15" t="inlineStr">
        <is>
          <t>OK</t>
        </is>
      </c>
      <c r="L290" s="15" t="inlineStr">
        <is>
          <t>шовный материал, хирургические иглы и нити</t>
        </is>
      </c>
      <c r="M290" s="15" t="inlineStr">
        <is>
          <t>Медин-Н</t>
        </is>
      </c>
      <c r="N290" s="15" t="inlineStr">
        <is>
          <t>Здравоохранение-2025</t>
        </is>
      </c>
      <c r="O290" s="20" t="inlineStr">
        <is>
          <t>https://icatalog.expocentr.ru/ru/exhibitions/de590dc5-417d-11ee-80ce-a0d3c1fab97f</t>
        </is>
      </c>
    </row>
    <row r="291">
      <c r="A291" s="15" t="inlineStr">
        <is>
          <t>ИНТЕРТОРГ, ООО</t>
        </is>
      </c>
      <c r="B291" s="15" t="inlineStr">
        <is>
          <t>6B060</t>
        </is>
      </c>
      <c r="C291" s="15" t="inlineStr">
        <is>
          <t>Россия</t>
        </is>
      </c>
      <c r="D291" s="15" t="inlineStr">
        <is>
          <t>Владимир</t>
        </is>
      </c>
      <c r="E291" s="15" t="inlineStr">
        <is>
          <t>Россия, 600026, г. Владимир, ул. Гастелло, д. 8, оф. 235</t>
        </is>
      </c>
      <c r="F291" s="20" t="inlineStr">
        <is>
          <t>http://bmedical.ru</t>
        </is>
      </c>
      <c r="G291" s="15" t="inlineStr">
        <is>
          <t>info@bmedical.ru</t>
        </is>
      </c>
      <c r="H291" s="15" t="inlineStr">
        <is>
          <t>ООО «ИнтерТорг» — крупнейший поставщик медицинских перчаток торговой марки Basic на территории РФ. В линейке представлены смотровые, хирургические перчатки из натуральных и синтетических материалов.</t>
        </is>
      </c>
      <c r="I291" s="15" t="inlineStr">
        <is>
          <t>Одноразовые медицинские изделия прочие; Расходные материалы для медицинского оборудования</t>
        </is>
      </c>
      <c r="J291" s="15" t="inlineStr">
        <is>
          <t>Дилер</t>
        </is>
      </c>
      <c r="K291" s="15" t="inlineStr">
        <is>
          <t>OK</t>
        </is>
      </c>
      <c r="L291" s="15" t="inlineStr">
        <is>
          <t>медицинские перчатки</t>
        </is>
      </c>
      <c r="M291" s="15" t="inlineStr">
        <is>
          <t>Интерторг</t>
        </is>
      </c>
      <c r="N291" s="15" t="inlineStr">
        <is>
          <t>Здравоохранение-2025</t>
        </is>
      </c>
      <c r="O291" s="20" t="inlineStr">
        <is>
          <t>https://icatalog.expocentr.ru/ru/exhibitions/de590dc5-417d-11ee-80ce-a0d3c1fab97f</t>
        </is>
      </c>
    </row>
    <row r="292">
      <c r="A292" s="15" t="inlineStr">
        <is>
          <t>ОРИОН МЕД, ООО</t>
        </is>
      </c>
      <c r="B292" s="15" t="inlineStr">
        <is>
          <t>6G024</t>
        </is>
      </c>
      <c r="C292" s="15" t="inlineStr">
        <is>
          <t>Россия</t>
        </is>
      </c>
      <c r="D292" s="15" t="inlineStr">
        <is>
          <t>Москва</t>
        </is>
      </c>
      <c r="E292" s="15" t="inlineStr">
        <is>
          <t>Россия, г. Москва, Варшавское ш., д. 16, корп. 2, этаж 1, пом. I, комн. 2</t>
        </is>
      </c>
      <c r="F292" s="20" t="inlineStr">
        <is>
          <t>https://orionmed.ru</t>
        </is>
      </c>
      <c r="G292" s="15" t="inlineStr">
        <is>
          <t>info@orionmed.ru</t>
        </is>
      </c>
      <c r="H292" s="15" t="inlineStr">
        <is>
          <t>Представляем новинку — легирующий инструмент производства КНР, обеспечивающий безопасное эффективное коагулирование тканей. Надежное решение для ветеринарных операций. Узнайте больше на нашем стенде!</t>
        </is>
      </c>
      <c r="I292" s="15" t="inlineStr">
        <is>
          <t>Инструменты гинекологические; Инструменты урологические; Проктология; Хирургическое оборудование; Хирургические инструменты; Специализированные медицинские инструменты</t>
        </is>
      </c>
      <c r="J292" s="15" t="inlineStr">
        <is>
          <t>Дилер</t>
        </is>
      </c>
      <c r="K292" s="15" t="inlineStr">
        <is>
          <t>OK</t>
        </is>
      </c>
      <c r="L292" s="15" t="inlineStr">
        <is>
          <t>хирургические инструменты и оборудование</t>
        </is>
      </c>
      <c r="M292" s="15" t="inlineStr">
        <is>
          <t>Орион Мед</t>
        </is>
      </c>
      <c r="N292" s="15" t="inlineStr">
        <is>
          <t>Здравоохранение-2025</t>
        </is>
      </c>
      <c r="O292" s="20" t="inlineStr">
        <is>
          <t>https://icatalog.expocentr.ru/ru/exhibitions/de590dc5-417d-11ee-80ce-a0d3c1fab97f</t>
        </is>
      </c>
    </row>
    <row r="293">
      <c r="A293" s="15" t="inlineStr">
        <is>
          <t>ВАСКУЛЯРПРО, ООО</t>
        </is>
      </c>
      <c r="B293" s="15" t="inlineStr">
        <is>
          <t>6F030</t>
        </is>
      </c>
      <c r="C293" s="15" t="inlineStr">
        <is>
          <t>Россия</t>
        </is>
      </c>
      <c r="D293" s="15" t="inlineStr">
        <is>
          <t>Москва</t>
        </is>
      </c>
      <c r="E293" s="15" t="inlineStr">
        <is>
          <t>Россия, 121108, г. Москва, ул. Кастанаевская, д. 60, кв. 260</t>
        </is>
      </c>
      <c r="F293" s="20" t="inlineStr">
        <is>
          <t>https://vascularpro.ru</t>
        </is>
      </c>
      <c r="G293" s="15" t="inlineStr">
        <is>
          <t>info@vascularpro.ru</t>
        </is>
      </c>
      <c r="H293" s="15" t="inlineStr">
        <is>
          <t>Компания «ВаскулярПро» — эксклюзивный дистрибьютор производителя «СИБНАНОТЕХ», специализирующийся на изготовлении высокоточных медицинских технически сложных изделий для эндоваскулярной хирургии.</t>
        </is>
      </c>
      <c r="I293" s="15" t="inlineStr">
        <is>
          <t>Одноразовые медицинские изделия прочие; Специализированные медицинские инструменты</t>
        </is>
      </c>
      <c r="J293" s="15" t="inlineStr">
        <is>
          <t>Дилер</t>
        </is>
      </c>
      <c r="K293" s="15" t="inlineStr">
        <is>
          <t>OK</t>
        </is>
      </c>
      <c r="L293" s="15" t="inlineStr">
        <is>
          <t>медицинские изделия, инструменты</t>
        </is>
      </c>
      <c r="M293" s="15" t="inlineStr">
        <is>
          <t>Васкулярпро</t>
        </is>
      </c>
      <c r="N293" s="15" t="inlineStr">
        <is>
          <t>Здравоохранение-2025</t>
        </is>
      </c>
      <c r="O293" s="20" t="inlineStr">
        <is>
          <t>https://icatalog.expocentr.ru/ru/exhibitions/de590dc5-417d-11ee-80ce-a0d3c1fab97f</t>
        </is>
      </c>
    </row>
    <row r="294">
      <c r="A294" s="15" t="inlineStr">
        <is>
          <t>НАПОЛИ, ООО</t>
        </is>
      </c>
      <c r="B294" s="15" t="inlineStr">
        <is>
          <t>6A035</t>
        </is>
      </c>
      <c r="C294" s="15" t="inlineStr">
        <is>
          <t>Россия</t>
        </is>
      </c>
      <c r="D294" s="15" t="inlineStr">
        <is>
          <t>Москва</t>
        </is>
      </c>
      <c r="E294" s="15" t="inlineStr">
        <is>
          <t>Россия, 123458, г. Москва, ул. Твардовского, д. 8, стр. 1</t>
        </is>
      </c>
      <c r="F294" s="20" t="inlineStr">
        <is>
          <t>http://www.napoly.info</t>
        </is>
      </c>
      <c r="G294" s="15" t="inlineStr">
        <is>
          <t>info@napoly.info</t>
        </is>
      </c>
      <c r="H294" s="15" t="inlineStr">
        <is>
          <t>«НАПОЛИ» разрабатывает и производит изделия для лечения ран: 1) биопластические материалы «Хитопран» и гидрогели «Гелехит», которые заменяют кожу при лечении язв, ожогов; 2) альгинатные покрытия «Альгипран» для лечения экссудирующих ран; 3) когезивные бинты «Бинтэль».</t>
        </is>
      </c>
      <c r="I294" s="15" t="inlineStr">
        <is>
          <t>Перевязочные средства; Одноразовые медицинские изделия прочие; Производство медицинских изделий; Средства для оказания экстренной медицинской помощи; Инструменты общехирургические; Ортезы</t>
        </is>
      </c>
      <c r="J294" s="15" t="inlineStr">
        <is>
          <t>Производитель</t>
        </is>
      </c>
      <c r="K294" s="15" t="inlineStr">
        <is>
          <t>OK</t>
        </is>
      </c>
      <c r="L294" s="15" t="inlineStr">
        <is>
          <t>перевязочные средства, биопластические материалы и гидрогели</t>
        </is>
      </c>
      <c r="M294" s="15" t="inlineStr">
        <is>
          <t>Наполи</t>
        </is>
      </c>
      <c r="N294" s="15" t="inlineStr">
        <is>
          <t>Здравоохранение-2025</t>
        </is>
      </c>
      <c r="O294" s="20" t="inlineStr">
        <is>
          <t>https://icatalog.expocentr.ru/ru/exhibitions/de590dc5-417d-11ee-80ce-a0d3c1fab97f</t>
        </is>
      </c>
    </row>
    <row r="295">
      <c r="A295" s="15" t="inlineStr">
        <is>
          <t>МЕДИТЕК М, ООО</t>
        </is>
      </c>
      <c r="B295" s="15" t="inlineStr">
        <is>
          <t>6G022</t>
        </is>
      </c>
      <c r="C295" s="15" t="inlineStr">
        <is>
          <t>Россия</t>
        </is>
      </c>
      <c r="D295" s="15" t="inlineStr">
        <is>
          <t>Домодедово</t>
        </is>
      </c>
      <c r="E295" s="15" t="inlineStr">
        <is>
          <t>Россия, Московская обл., г. Домодедово, дер. Ильинское, вл. Аретей</t>
        </is>
      </c>
      <c r="F295" s="20" t="inlineStr">
        <is>
          <t>http://www.meditekm.ru</t>
        </is>
      </c>
      <c r="G295" s="15" t="inlineStr">
        <is>
          <t>info@meditekm.ru</t>
        </is>
      </c>
      <c r="H295" s="15" t="inlineStr">
        <is>
          <t>Российский производитель изделий медицинского назначения. Широкий ассортимент гипсовых бинтов, лейкопластырей и эластичных бинтов, произведенных с использованием экологически чистого сырья.</t>
        </is>
      </c>
      <c r="I295" s="15" t="inlineStr">
        <is>
          <t>Перевязочные средства</t>
        </is>
      </c>
      <c r="J295" s="15" t="inlineStr">
        <is>
          <t>Производитель</t>
        </is>
      </c>
      <c r="K295" s="15" t="inlineStr">
        <is>
          <t>OK</t>
        </is>
      </c>
      <c r="L295" s="15" t="inlineStr">
        <is>
          <t>бинты, лейкопластыри и медицинские изделия</t>
        </is>
      </c>
      <c r="M295" s="15" t="inlineStr">
        <is>
          <t>Медитек М</t>
        </is>
      </c>
      <c r="N295" s="15" t="inlineStr">
        <is>
          <t>Здравоохранение-2025</t>
        </is>
      </c>
      <c r="O295" s="20" t="inlineStr">
        <is>
          <t>https://icatalog.expocentr.ru/ru/exhibitions/de590dc5-417d-11ee-80ce-a0d3c1fab97f</t>
        </is>
      </c>
    </row>
    <row r="296">
      <c r="A296" s="15" t="inlineStr">
        <is>
          <t>ВАН ТАЧ, ООО</t>
        </is>
      </c>
      <c r="B296" s="21" t="n">
        <v>600000</v>
      </c>
      <c r="C296" s="15" t="inlineStr">
        <is>
          <t>Россия</t>
        </is>
      </c>
      <c r="D296" s="15" t="inlineStr">
        <is>
          <t>Ногинск</t>
        </is>
      </c>
      <c r="E296" s="15" t="inlineStr">
        <is>
          <t>Россия, 142403, Московская обл., г. Ногинск, ул. Индустриальная, д. 42</t>
        </is>
      </c>
      <c r="F296" s="20" t="inlineStr">
        <is>
          <t>http://www.1-touch.ru</t>
        </is>
      </c>
      <c r="G296" s="15" t="inlineStr">
        <is>
          <t>info@1-touch.ru</t>
        </is>
      </c>
      <c r="H296" s="15" t="inlineStr">
        <is>
          <t>Российский производитель качественных одноразовых расходных материалов для индустрии красоты, медицины (РУ № РЗН 2022/17224) и спорта. Только современные безопасные надежные в применении изделия.</t>
        </is>
      </c>
      <c r="I296" s="15" t="inlineStr">
        <is>
          <t>Дезинфицирующие средства и материалы; Одноразовые медицинские изделия прочие; Производство медицинских изделий; Технологии, оборудование и расходные материалы для спа и велнес; Одноразовые медицинские изделия</t>
        </is>
      </c>
      <c r="J296" s="15" t="inlineStr">
        <is>
          <t>Производитель</t>
        </is>
      </c>
      <c r="K296" s="15" t="inlineStr">
        <is>
          <t>OK</t>
        </is>
      </c>
      <c r="L296" s="15" t="inlineStr">
        <is>
          <t>одноразовые материалы и дезинфицирующие средства</t>
        </is>
      </c>
      <c r="M296" s="15" t="inlineStr">
        <is>
          <t>Ван Тач</t>
        </is>
      </c>
      <c r="N296" s="15" t="inlineStr">
        <is>
          <t>Здравоохранение-2025</t>
        </is>
      </c>
      <c r="O296" s="20" t="inlineStr">
        <is>
          <t>https://icatalog.expocentr.ru/ru/exhibitions/de590dc5-417d-11ee-80ce-a0d3c1fab97f</t>
        </is>
      </c>
    </row>
    <row r="297">
      <c r="A297" s="15" t="inlineStr">
        <is>
          <t>ГРУНДЛАГЕ, ООО</t>
        </is>
      </c>
      <c r="B297" s="21" t="n">
        <v>6e+90</v>
      </c>
      <c r="C297" s="15" t="inlineStr">
        <is>
          <t>Россия</t>
        </is>
      </c>
      <c r="D297" s="15" t="n"/>
      <c r="E297" s="15" t="inlineStr">
        <is>
          <t>Россия</t>
        </is>
      </c>
      <c r="F297" s="20" t="inlineStr">
        <is>
          <t>http://www.grundlage.info</t>
        </is>
      </c>
      <c r="G297" s="15" t="inlineStr">
        <is>
          <t>info@grundlage.info</t>
        </is>
      </c>
      <c r="H297" s="15" t="inlineStr">
        <is>
          <t>«Грундлаге» — один из лидеров в области производства медицинских перчаток в России. Вся продукция проходит контроль качества и соответствия требованиям к медицинским изделиям. Соответствует ПП РФ № 1875.</t>
        </is>
      </c>
      <c r="I297" s="15" t="inlineStr">
        <is>
          <t>Одноразовые медицинские изделия прочие</t>
        </is>
      </c>
      <c r="J297" s="15" t="inlineStr">
        <is>
          <t>Производитель</t>
        </is>
      </c>
      <c r="K297" s="15" t="inlineStr">
        <is>
          <t>OK</t>
        </is>
      </c>
      <c r="L297" s="15" t="inlineStr">
        <is>
          <t>медицинские перчатки</t>
        </is>
      </c>
      <c r="M297" s="15" t="inlineStr">
        <is>
          <t>Грундлаге</t>
        </is>
      </c>
      <c r="N297" s="15" t="inlineStr">
        <is>
          <t>Здравоохранение-2025</t>
        </is>
      </c>
      <c r="O297" s="20" t="inlineStr">
        <is>
          <t>https://icatalog.expocentr.ru/ru/exhibitions/de590dc5-417d-11ee-80ce-a0d3c1fab97f</t>
        </is>
      </c>
    </row>
    <row r="298">
      <c r="A298" s="15" t="inlineStr">
        <is>
          <t>ИМС, ООО</t>
        </is>
      </c>
      <c r="B298" s="21" t="n">
        <v>6e+20</v>
      </c>
      <c r="C298" s="15" t="inlineStr">
        <is>
          <t>Россия</t>
        </is>
      </c>
      <c r="D298" s="15" t="inlineStr">
        <is>
          <t>Москва</t>
        </is>
      </c>
      <c r="E298" s="15" t="inlineStr">
        <is>
          <t>Россия, 115230, г. Москва, Каширское ш., д. 13Б, стр. 1, пом. 10</t>
        </is>
      </c>
      <c r="F298" s="20" t="inlineStr">
        <is>
          <t>http://www.imsstore.ru</t>
        </is>
      </c>
      <c r="G298" s="15" t="inlineStr">
        <is>
          <t>imsstore@yandex.ru</t>
        </is>
      </c>
      <c r="H298" s="15" t="inlineStr">
        <is>
          <t>«ИМС» – шаг от продаж к политике дистрибьюции и развитому бренду, чтобы гарантировать клиентам качественный товар по низким ценам, а поставщикам – открытое и взаимовыгодное сотрудничество.</t>
        </is>
      </c>
      <c r="I298" s="15" t="inlineStr">
        <is>
          <t>Одежда и белье для пациентов и медицинского персонала; Перевязочные средства; Инструменты и принадлежности для инъекций  и взятия крови; Одноразовые медицинские изделия прочие; Поставка медицинского оборудования и расходных материалов; Средства личной гигиены</t>
        </is>
      </c>
      <c r="J298" s="15" t="inlineStr">
        <is>
          <t>Дилер</t>
        </is>
      </c>
      <c r="K298" s="15" t="inlineStr">
        <is>
          <t>OK</t>
        </is>
      </c>
      <c r="L298" s="15" t="inlineStr">
        <is>
          <t>одежда, перевязочные средства, инструменты, медицинские изделия и оборудование</t>
        </is>
      </c>
      <c r="M298" s="15" t="inlineStr">
        <is>
          <t>ИМС</t>
        </is>
      </c>
      <c r="N298" s="15" t="inlineStr">
        <is>
          <t>Здравоохранение-2025</t>
        </is>
      </c>
      <c r="O298" s="20" t="inlineStr">
        <is>
          <t>https://icatalog.expocentr.ru/ru/exhibitions/de590dc5-417d-11ee-80ce-a0d3c1fab97f</t>
        </is>
      </c>
    </row>
    <row r="299">
      <c r="A299" s="15" t="inlineStr">
        <is>
          <t>ЛЕКАРСТВА МИРА, ООО</t>
        </is>
      </c>
      <c r="B299" s="15" t="inlineStr">
        <is>
          <t>6F025</t>
        </is>
      </c>
      <c r="C299" s="15" t="inlineStr">
        <is>
          <t>Россия</t>
        </is>
      </c>
      <c r="D299" s="15" t="inlineStr">
        <is>
          <t>Москва</t>
        </is>
      </c>
      <c r="E299" s="15" t="inlineStr">
        <is>
          <t>Россия, 105077, г. Москва, ул. Краснобогатырская, д. 42, стр. 1, оф. 610</t>
        </is>
      </c>
      <c r="F299" s="20" t="inlineStr">
        <is>
          <t>http://lm-med.com</t>
        </is>
      </c>
      <c r="G299" s="15" t="inlineStr">
        <is>
          <t>nikanorov777@gmail.com</t>
        </is>
      </c>
      <c r="H299" s="15" t="inlineStr">
        <is>
          <t>Оптовая торговля медицинскими изделиями.</t>
        </is>
      </c>
      <c r="I299" s="15" t="inlineStr">
        <is>
          <t>Одноразовые медицинские изделия прочие; Ларингоскопы; Принадлежности и расходные материалы для реанимации и экстренной помощи</t>
        </is>
      </c>
      <c r="J299" s="15" t="inlineStr">
        <is>
          <t>Дилер</t>
        </is>
      </c>
      <c r="K299" s="15" t="inlineStr">
        <is>
          <t>OK</t>
        </is>
      </c>
      <c r="L299" s="15" t="inlineStr">
        <is>
          <t>медицинские изделия, ларингоскопы и расходные материалы</t>
        </is>
      </c>
      <c r="M299" s="15" t="inlineStr">
        <is>
          <t>Лекарства Мира</t>
        </is>
      </c>
      <c r="N299" s="15" t="inlineStr">
        <is>
          <t>Здравоохранение-2025</t>
        </is>
      </c>
      <c r="O299" s="20" t="inlineStr">
        <is>
          <t>https://icatalog.expocentr.ru/ru/exhibitions/de590dc5-417d-11ee-80ce-a0d3c1fab97f</t>
        </is>
      </c>
    </row>
    <row r="300">
      <c r="A300" s="15" t="inlineStr">
        <is>
          <t>ВАСКУЛЯР АКСЕС</t>
        </is>
      </c>
      <c r="B300" s="15" t="inlineStr">
        <is>
          <t>6G030</t>
        </is>
      </c>
      <c r="C300" s="15" t="inlineStr">
        <is>
          <t>Россия</t>
        </is>
      </c>
      <c r="D300" s="15" t="inlineStr">
        <is>
          <t>Москва</t>
        </is>
      </c>
      <c r="E300" s="15" t="inlineStr">
        <is>
          <t>Россия, 125367, г. Москва, вн. тер. г. м. о. Покровское-Стрешнево, Врачебный пр-д, д. 10, этаж 1, пом. III, комн. 1 РММ</t>
        </is>
      </c>
      <c r="F300" s="20" t="inlineStr">
        <is>
          <t>http://www.vascularaccess.ru</t>
        </is>
      </c>
      <c r="G300" s="15" t="inlineStr">
        <is>
          <t>info@vascularaccess.ru</t>
        </is>
      </c>
      <c r="H300" s="15" t="inlineStr">
        <is>
          <t>«Васкуляр Аксес» — ведущий российский дистрибьютор продукции из Европы, США и Китая для сосудистого доступа, эндоваскулярной хирургии и диализа. На рынке — с 2006 года.</t>
        </is>
      </c>
      <c r="I300" s="15" t="inlineStr">
        <is>
          <t>Расходные материалы для медицинских приборов; Одноразовые медицинские изделия прочие; Расходные материалы для медицинского оборудования; Производство медицинских изделий; Инструменты и принадлежности для эндоскопии; Принадлежности и расходные материалы для реанимации и экстренной помощи</t>
        </is>
      </c>
      <c r="J300" s="15" t="inlineStr">
        <is>
          <t>Дилер</t>
        </is>
      </c>
      <c r="K300" s="15" t="inlineStr">
        <is>
          <t>OK</t>
        </is>
      </c>
      <c r="L300" s="15" t="inlineStr">
        <is>
          <t>расходные материалы, одноразовые изделия и инструменты</t>
        </is>
      </c>
      <c r="M300" s="15" t="inlineStr">
        <is>
          <t>Васкуляр Аксес</t>
        </is>
      </c>
      <c r="N300" s="15" t="inlineStr">
        <is>
          <t>Здравоохранение-2025</t>
        </is>
      </c>
      <c r="O300" s="20" t="inlineStr">
        <is>
          <t>https://icatalog.expocentr.ru/ru/exhibitions/de590dc5-417d-11ee-80ce-a0d3c1fab97f</t>
        </is>
      </c>
    </row>
    <row r="301">
      <c r="A301" s="15" t="inlineStr">
        <is>
          <t>АРХИМЕД СЕВЕРО-ЗАПАД, ООО</t>
        </is>
      </c>
      <c r="B301" s="21" t="n">
        <v>6e+114</v>
      </c>
      <c r="C301" s="15" t="inlineStr">
        <is>
          <t>Россия</t>
        </is>
      </c>
      <c r="D301" s="15" t="inlineStr">
        <is>
          <t>Санкт-Петербург</t>
        </is>
      </c>
      <c r="E301" s="15" t="inlineStr">
        <is>
          <t>Россия, 195248, г. Санкт-Петербург, ул. Дегтярёва, д. 4, оф. 521</t>
        </is>
      </c>
      <c r="F301" s="20" t="inlineStr">
        <is>
          <t>https://arhimed.spb.ru</t>
        </is>
      </c>
      <c r="G301" s="15" t="inlineStr">
        <is>
          <t>info@arhimed.spb.ru</t>
        </is>
      </c>
      <c r="H301" s="15" t="inlineStr">
        <is>
          <t>Импортер товаров из Китая и Малайзии. Дистрибьютор высококачественной продукции российских и европейских производителей. Широкий ассортимент медицинских расходных материалов.</t>
        </is>
      </c>
      <c r="I301" s="15" t="inlineStr">
        <is>
          <t>Перевязочные средства; Инструменты и принадлежности для инъекций  и взятия крови; Одноразовые медицинские изделия прочие; Инструменты общехирургические; Шовный материал</t>
        </is>
      </c>
      <c r="J301" s="15" t="inlineStr">
        <is>
          <t>Дилер</t>
        </is>
      </c>
      <c r="K301" s="15" t="inlineStr">
        <is>
          <t>OK</t>
        </is>
      </c>
      <c r="L301" s="15" t="inlineStr">
        <is>
          <t>перевязочные средства, медицинские изделия, хирургические инструменты и шовный материал</t>
        </is>
      </c>
      <c r="M301" s="15" t="inlineStr">
        <is>
          <t>Архимед Северо-Запад</t>
        </is>
      </c>
      <c r="N301" s="15" t="inlineStr">
        <is>
          <t>Здравоохранение-2025</t>
        </is>
      </c>
      <c r="O301" s="20" t="inlineStr">
        <is>
          <t>https://icatalog.expocentr.ru/ru/exhibitions/de590dc5-417d-11ee-80ce-a0d3c1fab97f</t>
        </is>
      </c>
    </row>
    <row r="302">
      <c r="A302" s="15" t="inlineStr">
        <is>
          <t>МЕЛКОНЯН Н.И., ИП</t>
        </is>
      </c>
      <c r="B302" s="15" t="inlineStr">
        <is>
          <t>6F012</t>
        </is>
      </c>
      <c r="C302" s="15" t="inlineStr">
        <is>
          <t>Россия</t>
        </is>
      </c>
      <c r="D302" s="15" t="inlineStr">
        <is>
          <t>Москва</t>
        </is>
      </c>
      <c r="E302" s="15" t="inlineStr">
        <is>
          <t>Россия, 117041, г. Москва, ул. Бартеневская, д. 18, корп. 2, кв. 799</t>
        </is>
      </c>
      <c r="F302" s="15" t="n"/>
      <c r="G302" s="15" t="inlineStr">
        <is>
          <t>rekmaik@yandex.ru</t>
        </is>
      </c>
      <c r="H302" s="15" t="inlineStr">
        <is>
          <t>Производство линий по производству медицинских электродов для оборудования и линий по производству пластырей разной модификации и размеров.</t>
        </is>
      </c>
      <c r="I302" s="15" t="inlineStr">
        <is>
          <t>Расходные материалы для медицинских приборов; Одноразовые медицинские изделия прочие; Расходные материалы для медицинского оборудования; Производство медицинских изделий</t>
        </is>
      </c>
      <c r="J302" s="15" t="inlineStr">
        <is>
          <t>Производитель</t>
        </is>
      </c>
      <c r="K302" s="15" t="inlineStr">
        <is>
          <t>OK</t>
        </is>
      </c>
      <c r="L302" s="15" t="inlineStr">
        <is>
          <t>линии по производству, медицинские электроды и пластыри</t>
        </is>
      </c>
      <c r="M302" s="15" t="inlineStr">
        <is>
          <t>ИП Мелконян</t>
        </is>
      </c>
      <c r="N302" s="15" t="inlineStr">
        <is>
          <t>Здравоохранение-2025</t>
        </is>
      </c>
      <c r="O302" s="20" t="inlineStr">
        <is>
          <t>https://icatalog.expocentr.ru/ru/exhibitions/de590dc5-417d-11ee-80ce-a0d3c1fab97f</t>
        </is>
      </c>
    </row>
    <row r="303">
      <c r="A303" s="15" t="inlineStr">
        <is>
          <t>Н-ВИТ, ООО</t>
        </is>
      </c>
      <c r="B303" s="15" t="inlineStr">
        <is>
          <t>6C040</t>
        </is>
      </c>
      <c r="C303" s="15" t="inlineStr">
        <is>
          <t>Россия</t>
        </is>
      </c>
      <c r="D303" s="15" t="inlineStr">
        <is>
          <t>Москва</t>
        </is>
      </c>
      <c r="E303" s="15" t="inlineStr">
        <is>
          <t>Россия, 123001, г. Москва, вн. тер. г. м. о. Пресненский, Ермолаевский пер., д. 5, стр. 2</t>
        </is>
      </c>
      <c r="F303" s="20" t="inlineStr">
        <is>
          <t>https://n-vit.com</t>
        </is>
      </c>
      <c r="G303" s="15" t="inlineStr">
        <is>
          <t>boreyko@n-vit.com</t>
        </is>
      </c>
      <c r="H303" s="15" t="inlineStr">
        <is>
          <t>ООО «Н-ВИТ» — российский производитель продукции для клинической и молекулярной лабораторной диагностики. Компания выпускает широкий спектр расходных материалов и изделий госпитального назначения.</t>
        </is>
      </c>
      <c r="I303" s="15" t="inlineStr">
        <is>
          <t>Прочие изделия для лабораторий; ПЦР-диагностика; Ортезы</t>
        </is>
      </c>
      <c r="J303" s="15" t="inlineStr">
        <is>
          <t>Производитель</t>
        </is>
      </c>
      <c r="K303" s="15" t="inlineStr">
        <is>
          <t>OK</t>
        </is>
      </c>
      <c r="L303" s="15" t="inlineStr">
        <is>
          <t>расходные материалы, ортезы и изделия для диагностики</t>
        </is>
      </c>
      <c r="M303" s="15" t="inlineStr">
        <is>
          <t>Н-Вит</t>
        </is>
      </c>
      <c r="N303" s="15" t="inlineStr">
        <is>
          <t>Здравоохранение-2025</t>
        </is>
      </c>
      <c r="O303" s="20" t="inlineStr">
        <is>
          <t>https://icatalog.expocentr.ru/ru/exhibitions/de590dc5-417d-11ee-80ce-a0d3c1fab97f</t>
        </is>
      </c>
    </row>
    <row r="304">
      <c r="A304" s="15" t="inlineStr">
        <is>
          <t>ТЕХНО-МЕД, ЗАО</t>
        </is>
      </c>
      <c r="B304" s="15" t="inlineStr">
        <is>
          <t>6G050</t>
        </is>
      </c>
      <c r="C304" s="15" t="inlineStr">
        <is>
          <t>Россия</t>
        </is>
      </c>
      <c r="D304" s="15" t="inlineStr">
        <is>
          <t>Санкт-Петербург</t>
        </is>
      </c>
      <c r="E304" s="15" t="inlineStr">
        <is>
          <t>Россия, 194044, г. Санкт-Петербург, Большой Сампсониевский просп., д. 60, литера Н</t>
        </is>
      </c>
      <c r="F304" s="20" t="inlineStr">
        <is>
          <t>https://www.techno-med.ru</t>
        </is>
      </c>
      <c r="G304" s="15" t="inlineStr">
        <is>
          <t>sales@techno-med.ru</t>
        </is>
      </c>
      <c r="H304" s="15" t="inlineStr">
        <is>
          <t>Официальный дистрибьютор Agfa, Sedecal, JOB и хирургических нитей Atramat. Цифровые рентгеновские системы, термографические принтеры и пленка DRYSTAR. Лицензированный сервис. Запасные части.</t>
        </is>
      </c>
      <c r="I304" s="15" t="inlineStr">
        <is>
          <t>Рентгеновские диагностические установки, передвижные и стационарные; Системы оцифровки и хранения изображений; Компьютерные томографы; Маммографы; Эндоскопические комплексы и системы; Шовный материал</t>
        </is>
      </c>
      <c r="J304" s="15" t="inlineStr">
        <is>
          <t>Дилер</t>
        </is>
      </c>
      <c r="K304" s="15" t="inlineStr">
        <is>
          <t>OK</t>
        </is>
      </c>
      <c r="L304" s="15" t="inlineStr">
        <is>
          <t>рентгеновские установки, томографы, маммографы, эндоскопические системы и шовный материал</t>
        </is>
      </c>
      <c r="M304" s="15" t="inlineStr">
        <is>
          <t>Техно-Мед</t>
        </is>
      </c>
      <c r="N304" s="15" t="inlineStr">
        <is>
          <t>Здравоохранение-2025</t>
        </is>
      </c>
      <c r="O304" s="20" t="inlineStr">
        <is>
          <t>https://icatalog.expocentr.ru/ru/exhibitions/de590dc5-417d-11ee-80ce-a0d3c1fab97f</t>
        </is>
      </c>
    </row>
    <row r="305">
      <c r="A305" s="15" t="inlineStr">
        <is>
          <t>ТЕЗИС</t>
        </is>
      </c>
      <c r="B305" s="15" t="inlineStr">
        <is>
          <t>6F020</t>
        </is>
      </c>
      <c r="C305" s="15" t="inlineStr">
        <is>
          <t>Россия</t>
        </is>
      </c>
      <c r="D305" s="15" t="inlineStr">
        <is>
          <t>Санкт-Петербург</t>
        </is>
      </c>
      <c r="E305" s="15" t="inlineStr">
        <is>
          <t>Россия, 197022, г. Санкт-Петербург, ул. Петропавловская, д. 8, литера А</t>
        </is>
      </c>
      <c r="F305" s="20" t="inlineStr">
        <is>
          <t>https://tezis-shop.ru</t>
        </is>
      </c>
      <c r="G305" s="15" t="inlineStr">
        <is>
          <t>info@tezis-shop.ru</t>
        </is>
      </c>
      <c r="H305" s="15" t="inlineStr">
        <is>
          <t>«Тезис» — бренд медицинской одежды нового поколения.Преимущества бренда:— собственное производство;— широкий размерный ряд — от 38 до 60 размера;— индивидуальные условия для корпоративных и частных клиентов.</t>
        </is>
      </c>
      <c r="I305" s="15" t="inlineStr">
        <is>
          <t>Одежда и белье для пациентов и медицинского персонала</t>
        </is>
      </c>
      <c r="J305" s="15" t="inlineStr">
        <is>
          <t>Производитель</t>
        </is>
      </c>
      <c r="K305" s="15" t="inlineStr">
        <is>
          <t>OK</t>
        </is>
      </c>
      <c r="L305" s="15" t="inlineStr">
        <is>
          <t>одежда, белье</t>
        </is>
      </c>
      <c r="M305" s="15" t="inlineStr">
        <is>
          <t>ТЕЗИС</t>
        </is>
      </c>
      <c r="N305" s="15" t="inlineStr">
        <is>
          <t>Здравоохранение-2025</t>
        </is>
      </c>
      <c r="O305" s="20" t="inlineStr">
        <is>
          <t>https://icatalog.expocentr.ru/ru/exhibitions/de590dc5-417d-11ee-80ce-a0d3c1fab97f</t>
        </is>
      </c>
    </row>
    <row r="306">
      <c r="A306" s="15" t="inlineStr">
        <is>
          <t>СИБЭКСПО, ООО</t>
        </is>
      </c>
      <c r="B306" s="15" t="inlineStr">
        <is>
          <t>6F070</t>
        </is>
      </c>
      <c r="C306" s="15" t="inlineStr">
        <is>
          <t>Россия</t>
        </is>
      </c>
      <c r="D306" s="15" t="inlineStr">
        <is>
          <t>Томск</t>
        </is>
      </c>
      <c r="E306" s="15" t="inlineStr">
        <is>
          <t>Россия, 634061, г. Томск, ул. Киевская, д. 9, кв. 322</t>
        </is>
      </c>
      <c r="F306" s="20" t="inlineStr">
        <is>
          <t>http://www.nireda.ru</t>
        </is>
      </c>
      <c r="G306" s="15" t="inlineStr">
        <is>
          <t>info@nireda.ru</t>
        </is>
      </c>
      <c r="H306" s="15" t="inlineStr">
        <is>
          <t>Прямые поставки изделий мединского назначения в сфере травматологии, ортопедии и нейрохирургии. Поставки силового хирургического оборудования (хирургических пил и дрелей).</t>
        </is>
      </c>
      <c r="I306" s="15" t="inlineStr">
        <is>
          <t>Электрохирургические аппараты; Инструменты общехирургические; Шовный материал; Ортопедическое оборудование и инструменты; Эндопротезы и имплантаты; Наружные протезы и устройства замещения функций органов</t>
        </is>
      </c>
      <c r="J306" s="15" t="inlineStr">
        <is>
          <t>Дилер</t>
        </is>
      </c>
      <c r="K306" s="15" t="inlineStr">
        <is>
          <t>OK</t>
        </is>
      </c>
      <c r="L306" s="15" t="inlineStr">
        <is>
          <t>изделия медицинского назначения, хирургическое оборудование, эндопротезы и имплантаты</t>
        </is>
      </c>
      <c r="M306" s="15" t="inlineStr">
        <is>
          <t>Сибэкспо</t>
        </is>
      </c>
      <c r="N306" s="15" t="inlineStr">
        <is>
          <t>Здравоохранение-2025</t>
        </is>
      </c>
      <c r="O306" s="20" t="inlineStr">
        <is>
          <t>https://icatalog.expocentr.ru/ru/exhibitions/de590dc5-417d-11ee-80ce-a0d3c1fab97f</t>
        </is>
      </c>
    </row>
    <row r="307">
      <c r="A307" s="15" t="inlineStr">
        <is>
          <t>СЕЛ, OOO</t>
        </is>
      </c>
      <c r="B307" s="15" t="inlineStr">
        <is>
          <t>6F005</t>
        </is>
      </c>
      <c r="C307" s="15" t="inlineStr">
        <is>
          <t>Россия</t>
        </is>
      </c>
      <c r="D307" s="15" t="inlineStr">
        <is>
          <t>Воронеж</t>
        </is>
      </c>
      <c r="E307" s="15" t="inlineStr">
        <is>
          <t>Россия, 394019, г. Воронеж, ул. Машиностроителей, д. 20, оф. 17</t>
        </is>
      </c>
      <c r="F307" s="20" t="inlineStr">
        <is>
          <t>http://www.tdsel.pro</t>
        </is>
      </c>
      <c r="G307" s="15" t="inlineStr">
        <is>
          <t>tdsel@list.ru</t>
        </is>
      </c>
      <c r="H307" s="15" t="inlineStr">
        <is>
          <t>Торговый дом «СЭЛ». Эксклюзивная дистрибьюция установок электрохимического синтеза «КАРАТ». Производство и дистрибьюция средств для дезинфекции, стерилизации и антисептиков «АНОЛИТ».</t>
        </is>
      </c>
      <c r="I307" s="15" t="inlineStr">
        <is>
          <t>Оборудование и средства борьбы с внутрибольничной инфекцией; Оборудование для дезинфекции; Оборудование для стерилизации; Средства химической дезинфекции и стерилизации; Дезинфицирующие средства и материалы</t>
        </is>
      </c>
      <c r="J307" s="15" t="inlineStr">
        <is>
          <t>Производитель</t>
        </is>
      </c>
      <c r="K307" s="15" t="inlineStr">
        <is>
          <t>OK</t>
        </is>
      </c>
      <c r="L307" s="15" t="inlineStr">
        <is>
          <t>установки, средства дезинфекции и антисептики</t>
        </is>
      </c>
      <c r="M307" s="15" t="inlineStr">
        <is>
          <t>Сел</t>
        </is>
      </c>
      <c r="N307" s="15" t="inlineStr">
        <is>
          <t>Здравоохранение-2025</t>
        </is>
      </c>
      <c r="O307" s="20" t="inlineStr">
        <is>
          <t>https://icatalog.expocentr.ru/ru/exhibitions/de590dc5-417d-11ee-80ce-a0d3c1fab97f</t>
        </is>
      </c>
    </row>
    <row r="308">
      <c r="A308" s="15" t="inlineStr">
        <is>
          <t>РЕАН, ООО</t>
        </is>
      </c>
      <c r="B308" s="15" t="inlineStr">
        <is>
          <t>6G045</t>
        </is>
      </c>
      <c r="C308" s="15" t="inlineStr">
        <is>
          <t>Россия</t>
        </is>
      </c>
      <c r="D308" s="15" t="inlineStr">
        <is>
          <t>Москва</t>
        </is>
      </c>
      <c r="E308" s="15" t="inlineStr">
        <is>
          <t>Россия, 108811, г. Москва, 22-й км Киевского ш. (пос. Московский), БЦ «Румянцево»</t>
        </is>
      </c>
      <c r="F308" s="20" t="inlineStr">
        <is>
          <t>http://www.reanmed.ru</t>
        </is>
      </c>
      <c r="G308" s="15" t="inlineStr">
        <is>
          <t>info@reanmed.ru</t>
        </is>
      </c>
      <c r="H308" s="15" t="inlineStr">
        <is>
          <t>«РЕАН» — лидер в сегменте устройств для обеспечения проходимости дыхательных путей. Эксклюзивный поставщик видеоларингоскопов BESDATA и AIRTRAQ, ларингеальных масок Ambu® Aura, одноразовых видеобронхоскопов Ambu® aScope™, надгортанных воздуховодов GMA.</t>
        </is>
      </c>
      <c r="I308" s="15" t="inlineStr">
        <is>
          <t>Эндоскопы гибкие; Эндоскопические комплексы и системы; Инструменты и принадлежности для эндоскопии; Ларингоскопы; Комплекты реанимационного оборудования; Принадлежности и расходные материалы для реанимации и экстренной помощи</t>
        </is>
      </c>
      <c r="J308" s="15" t="inlineStr">
        <is>
          <t>Дилер</t>
        </is>
      </c>
      <c r="K308" s="15" t="inlineStr">
        <is>
          <t>OK</t>
        </is>
      </c>
      <c r="L308" s="15" t="inlineStr">
        <is>
          <t>эндоскопы, ларингоскопы, маски, воздуховоды и расходные материалы</t>
        </is>
      </c>
      <c r="M308" s="15" t="inlineStr">
        <is>
          <t>РЕАН</t>
        </is>
      </c>
      <c r="N308" s="15" t="inlineStr">
        <is>
          <t>Здравоохранение-2025</t>
        </is>
      </c>
      <c r="O308" s="20" t="inlineStr">
        <is>
          <t>https://icatalog.expocentr.ru/ru/exhibitions/de590dc5-417d-11ee-80ce-a0d3c1fab97f</t>
        </is>
      </c>
    </row>
    <row r="309">
      <c r="A309" s="15" t="inlineStr">
        <is>
          <t>ФАРМ-СФЕРА, ООО</t>
        </is>
      </c>
      <c r="B309" s="21" t="n">
        <v>6e+50</v>
      </c>
      <c r="C309" s="15" t="inlineStr">
        <is>
          <t>Россия</t>
        </is>
      </c>
      <c r="D309" s="15" t="inlineStr">
        <is>
          <t>Шахты</t>
        </is>
      </c>
      <c r="E309" s="15" t="inlineStr">
        <is>
          <t>Россия, 346500, Ростовская обл., г. Шахты, ул. Шевченко, зд. 153</t>
        </is>
      </c>
      <c r="F309" s="20" t="inlineStr">
        <is>
          <t>https://farm-sfera.ru</t>
        </is>
      </c>
      <c r="G309" s="15" t="inlineStr">
        <is>
          <t>client@triafarm.ru</t>
        </is>
      </c>
      <c r="H309" s="15" t="inlineStr">
        <is>
          <t>ООО «Фарм-Сфера» — производитель и дистрибьютор изделий медицинского назначения под торговой маркой TRIAFARM PRODUCTS; на рынке с 2004 года.</t>
        </is>
      </c>
      <c r="I309" s="15" t="inlineStr">
        <is>
          <t>Перевязочные средства; Инструменты и принадлежности для инъекций  и взятия крови; Гигиенические изделия для больниц; Одноразовые медицинские изделия прочие; Производство медицинских изделий; Средства для оказания экстренной медицинской помощи</t>
        </is>
      </c>
      <c r="J309" s="15" t="inlineStr">
        <is>
          <t>Производитель</t>
        </is>
      </c>
      <c r="K309" s="15" t="inlineStr">
        <is>
          <t>OK</t>
        </is>
      </c>
      <c r="L309" s="15" t="inlineStr">
        <is>
          <t>перевязочные средства, инструменты, гигиенические изделия и медицинские изделия</t>
        </is>
      </c>
      <c r="M309" s="15" t="inlineStr">
        <is>
          <t>Фарм-Сфера</t>
        </is>
      </c>
      <c r="N309" s="15" t="inlineStr">
        <is>
          <t>Здравоохранение-2025</t>
        </is>
      </c>
      <c r="O309" s="20" t="inlineStr">
        <is>
          <t>https://icatalog.expocentr.ru/ru/exhibitions/de590dc5-417d-11ee-80ce-a0d3c1fab97f</t>
        </is>
      </c>
    </row>
    <row r="310">
      <c r="A310" s="15" t="inlineStr">
        <is>
          <t>АНГИОЛАЙН, ООО</t>
        </is>
      </c>
      <c r="B310" s="15" t="inlineStr">
        <is>
          <t>6F096</t>
        </is>
      </c>
      <c r="C310" s="15" t="inlineStr">
        <is>
          <t>Россия</t>
        </is>
      </c>
      <c r="D310" s="15" t="inlineStr">
        <is>
          <t>Новосибирск</t>
        </is>
      </c>
      <c r="E310" s="15" t="inlineStr">
        <is>
          <t>Россия, 630090, г. Новосибирск, р/п Кольцово, ул. Технопарковая, д. 6</t>
        </is>
      </c>
      <c r="F310" s="20" t="inlineStr">
        <is>
          <t>http://angioline.ru</t>
        </is>
      </c>
      <c r="G310" s="15" t="inlineStr">
        <is>
          <t>info@angioline.ru</t>
        </is>
      </c>
      <c r="H310" s="15" t="inlineStr">
        <is>
          <t>Компания «Ангиолайн» — крупный российский разработчик и производитель изделий медицинского назначения, выпускающий широкую линейку эндоваскулярной продукции, а также весь спектр шовного материала.</t>
        </is>
      </c>
      <c r="I310" s="15" t="inlineStr">
        <is>
          <t>Производство медицинских изделий; Шовный материал</t>
        </is>
      </c>
      <c r="J310" s="15" t="inlineStr">
        <is>
          <t>Производитель</t>
        </is>
      </c>
      <c r="K310" s="15" t="inlineStr">
        <is>
          <t>OK</t>
        </is>
      </c>
      <c r="L310" s="15" t="inlineStr">
        <is>
          <t>медицинские изделия, эндоваскулярная продукция и шовный материал</t>
        </is>
      </c>
      <c r="M310" s="15" t="inlineStr">
        <is>
          <t>Ангиолайн</t>
        </is>
      </c>
      <c r="N310" s="15" t="inlineStr">
        <is>
          <t>Здравоохранение-2025</t>
        </is>
      </c>
      <c r="O310" s="20" t="inlineStr">
        <is>
          <t>https://icatalog.expocentr.ru/ru/exhibitions/de590dc5-417d-11ee-80ce-a0d3c1fab97f</t>
        </is>
      </c>
    </row>
    <row r="311">
      <c r="A311" s="15" t="inlineStr">
        <is>
          <t>НИТРИЛЕНД</t>
        </is>
      </c>
      <c r="B311" s="15" t="inlineStr">
        <is>
          <t>6G072</t>
        </is>
      </c>
      <c r="C311" s="15" t="inlineStr">
        <is>
          <t>Россия</t>
        </is>
      </c>
      <c r="D311" s="15" t="inlineStr">
        <is>
          <t>Гвардейск</t>
        </is>
      </c>
      <c r="E311" s="15" t="inlineStr">
        <is>
          <t>Россия, 238210, Калининградская обл., г. Гвардейск, ул. Вокзальная, д. 1, этаж 2, каб. 9</t>
        </is>
      </c>
      <c r="F311" s="15" t="n"/>
      <c r="G311" s="15" t="inlineStr">
        <is>
          <t>info@nitrilend.ru</t>
        </is>
      </c>
      <c r="H311" s="15" t="inlineStr">
        <is>
          <t>Производитель медицинских изделий НАО «НИТРИЛЕНД» (перчаток медицинских). Реестровый номер из реестра промышленной продукции РФ: 10538029, дата внесения в реестр: 27.05.2024 (ПП N 719) СПИК 2.0.</t>
        </is>
      </c>
      <c r="I311" s="15" t="inlineStr">
        <is>
          <t>Одноразовые медицинские изделия прочие; Производство медицинских изделий</t>
        </is>
      </c>
      <c r="J311" s="15" t="inlineStr">
        <is>
          <t>Производитель</t>
        </is>
      </c>
      <c r="K311" s="15" t="inlineStr">
        <is>
          <t>OK</t>
        </is>
      </c>
      <c r="L311" s="15" t="inlineStr">
        <is>
          <t>перчатки медицинские</t>
        </is>
      </c>
      <c r="M311" s="15" t="inlineStr">
        <is>
          <t>Нитриленд</t>
        </is>
      </c>
      <c r="N311" s="15" t="inlineStr">
        <is>
          <t>Здравоохранение-2025</t>
        </is>
      </c>
      <c r="O311" s="20" t="inlineStr">
        <is>
          <t>https://icatalog.expocentr.ru/ru/exhibitions/de590dc5-417d-11ee-80ce-a0d3c1fab97f</t>
        </is>
      </c>
    </row>
    <row r="312">
      <c r="A312" s="15" t="inlineStr">
        <is>
          <t>РИГ ГРУПП КО</t>
        </is>
      </c>
      <c r="B312" s="15" t="inlineStr">
        <is>
          <t>6D040</t>
        </is>
      </c>
      <c r="C312" s="15" t="inlineStr">
        <is>
          <t>Россия</t>
        </is>
      </c>
      <c r="D312" s="15" t="inlineStr">
        <is>
          <t>Санкт-Петербург</t>
        </is>
      </c>
      <c r="E312" s="15" t="inlineStr">
        <is>
          <t>Россия, 199406, г. Санкт-Петербург, ул. Шевченко, д. 22, корп. 1, кв. 50</t>
        </is>
      </c>
      <c r="F312" s="20" t="inlineStr">
        <is>
          <t>https://rggroup-co.com</t>
        </is>
      </c>
      <c r="G312" s="15" t="inlineStr">
        <is>
          <t>info@rggroup-co.com</t>
        </is>
      </c>
      <c r="H312" s="15" t="inlineStr">
        <is>
          <t>«РиГ Групп Ко» — российский производитель одноразовых уретерореноскопов, расходных материалов STATIM и медицинской одежды Cito! Наша миссия — способствовать развитию российской медицины.</t>
        </is>
      </c>
      <c r="I312" s="15" t="inlineStr">
        <is>
          <t>Инструменты урологические; Одноразовые медицинские изделия прочие; Эндоскопы гибкие; Инструменты и принадлежности для эндоскопии; Устройства для энтерального питания; Принадлежности и расходные материалы для реанимации и экстренной помощи</t>
        </is>
      </c>
      <c r="J312" s="15" t="inlineStr">
        <is>
          <t>Производитель</t>
        </is>
      </c>
      <c r="K312" s="15" t="inlineStr">
        <is>
          <t>OK</t>
        </is>
      </c>
      <c r="L312" s="15" t="inlineStr">
        <is>
          <t>уретерореноскопы, расходные материалы и медицинская одежда</t>
        </is>
      </c>
      <c r="M312" s="15" t="inlineStr">
        <is>
          <t>Риг Групп</t>
        </is>
      </c>
      <c r="N312" s="15" t="inlineStr">
        <is>
          <t>Здравоохранение-2025</t>
        </is>
      </c>
      <c r="O312" s="20" t="inlineStr">
        <is>
          <t>https://icatalog.expocentr.ru/ru/exhibitions/de590dc5-417d-11ee-80ce-a0d3c1fab97f</t>
        </is>
      </c>
    </row>
    <row r="313">
      <c r="A313" s="15" t="inlineStr">
        <is>
          <t>ДИАТИКС</t>
        </is>
      </c>
      <c r="B313" s="21" t="n">
        <v>6e+105</v>
      </c>
      <c r="C313" s="15" t="inlineStr">
        <is>
          <t>Россия</t>
        </is>
      </c>
      <c r="D313" s="15" t="n"/>
      <c r="E313" s="15" t="inlineStr">
        <is>
          <t>Россия</t>
        </is>
      </c>
      <c r="F313" s="20" t="inlineStr">
        <is>
          <t>http://diatix.ru</t>
        </is>
      </c>
      <c r="G313" s="15" t="inlineStr">
        <is>
          <t>sales@diatix.ru</t>
        </is>
      </c>
      <c r="H313" s="15" t="inlineStr">
        <is>
          <t>ООО «ДИАТИКС» — официальный импортер и дистрибьютор компании Apacor (Великобритания) — производителя концентраторов для кишечных паразитов Parasep.</t>
        </is>
      </c>
      <c r="I313" s="15" t="inlineStr">
        <is>
          <t>Лабораторное оборудование; Реагенты и расходные материалы для лабораторной диагностики</t>
        </is>
      </c>
      <c r="J313" s="15" t="inlineStr">
        <is>
          <t>Дилер</t>
        </is>
      </c>
      <c r="K313" s="15" t="inlineStr">
        <is>
          <t>OK</t>
        </is>
      </c>
      <c r="L313" s="15" t="inlineStr">
        <is>
          <t>лабораторное оборудование, реагенты и расходные материалы</t>
        </is>
      </c>
      <c r="M313" s="15" t="inlineStr">
        <is>
          <t>Диатикс</t>
        </is>
      </c>
      <c r="N313" s="15" t="inlineStr">
        <is>
          <t>Здравоохранение-2025</t>
        </is>
      </c>
      <c r="O313" s="20" t="inlineStr">
        <is>
          <t>https://icatalog.expocentr.ru/ru/exhibitions/de590dc5-417d-11ee-80ce-a0d3c1fab97f</t>
        </is>
      </c>
    </row>
    <row r="314">
      <c r="A314" s="15" t="inlineStr">
        <is>
          <t>ИНТЕРФАРМСЕРВИС</t>
        </is>
      </c>
      <c r="B314" s="15" t="inlineStr">
        <is>
          <t>6F050</t>
        </is>
      </c>
      <c r="C314" s="15" t="inlineStr">
        <is>
          <t>Россия</t>
        </is>
      </c>
      <c r="D314" s="15" t="inlineStr">
        <is>
          <t>Москва</t>
        </is>
      </c>
      <c r="E314" s="15" t="inlineStr">
        <is>
          <t>Россия, 115114, г. Москва, Дербеневская наб., д. 11</t>
        </is>
      </c>
      <c r="F314" s="20" t="inlineStr">
        <is>
          <t>http://www.interfarmservice.ru</t>
        </is>
      </c>
      <c r="G314" s="15" t="inlineStr">
        <is>
          <t>info@interfarmservice.ru</t>
        </is>
      </c>
      <c r="H314" s="15" t="inlineStr">
        <is>
          <t>Импортер, производитель и дистрибьютор изделий медназначения. Специализируется на разработке фармацевтических решений и управлении медпроектами. Партнер группы «Азия Фарм» и Yukang Medical Technology.</t>
        </is>
      </c>
      <c r="I314" s="15" t="inlineStr">
        <is>
          <t>Оборудование и расходные материалы для проведения гемосорбции, гемодиализа и плазмофереза</t>
        </is>
      </c>
      <c r="J314" s="15" t="inlineStr">
        <is>
          <t>Производитель</t>
        </is>
      </c>
      <c r="K314" s="15" t="inlineStr">
        <is>
          <t>OK</t>
        </is>
      </c>
      <c r="L314" s="15" t="inlineStr">
        <is>
          <t>изделия медназначения и оборудование</t>
        </is>
      </c>
      <c r="M314" s="15" t="inlineStr">
        <is>
          <t>Интерфармсервис</t>
        </is>
      </c>
      <c r="N314" s="15" t="inlineStr">
        <is>
          <t>Здравоохранение-2025</t>
        </is>
      </c>
      <c r="O314" s="20" t="inlineStr">
        <is>
          <t>https://icatalog.expocentr.ru/ru/exhibitions/de590dc5-417d-11ee-80ce-a0d3c1fab97f</t>
        </is>
      </c>
    </row>
    <row r="315">
      <c r="A315" s="15" t="inlineStr">
        <is>
          <t>БИОСЕНСОР АН, ООО</t>
        </is>
      </c>
      <c r="B315" s="15" t="inlineStr">
        <is>
          <t>5A090</t>
        </is>
      </c>
      <c r="C315" s="15" t="inlineStr">
        <is>
          <t>Россия</t>
        </is>
      </c>
      <c r="D315" s="15" t="inlineStr">
        <is>
          <t>Черноголовка</t>
        </is>
      </c>
      <c r="E315" s="15" t="inlineStr">
        <is>
          <t>Россия, 142432, Московская обл., г. Черноголовка, 1-й пр-д, д. 4</t>
        </is>
      </c>
      <c r="F315" s="20" t="inlineStr">
        <is>
          <t>http://www.biosensoran.ru</t>
        </is>
      </c>
      <c r="G315" s="15" t="inlineStr">
        <is>
          <t>info@biosensoran.ru</t>
        </is>
      </c>
      <c r="H315" s="15" t="inlineStr">
        <is>
          <t>Анализаторы мочи ИВД, биохимические тесты для экспресс-анализов диагностики in vitro, тесты для определения алкоголя в слюне и в моче, тесты для гинекологии, тесты для анализа воды и ветеринарии.</t>
        </is>
      </c>
      <c r="I315" s="15" t="inlineStr">
        <is>
          <t>Производство медицинских изделий; Лабораторное оборудование; Анализаторы; Реагенты и расходные материалы для лабораторной диагностики; Биохимия</t>
        </is>
      </c>
      <c r="J315" s="15" t="inlineStr">
        <is>
          <t>Производитель</t>
        </is>
      </c>
      <c r="K315" s="15" t="inlineStr">
        <is>
          <t>OK</t>
        </is>
      </c>
      <c r="L315" s="15" t="inlineStr">
        <is>
          <t>анализаторы, тесты и реагенты</t>
        </is>
      </c>
      <c r="M315" s="15" t="inlineStr">
        <is>
          <t>Биосенсор Ан</t>
        </is>
      </c>
      <c r="N315" s="15" t="inlineStr">
        <is>
          <t>Здравоохранение-2025</t>
        </is>
      </c>
      <c r="O315" s="20" t="inlineStr">
        <is>
          <t>https://icatalog.expocentr.ru/ru/exhibitions/de590dc5-417d-11ee-80ce-a0d3c1fab97f</t>
        </is>
      </c>
    </row>
    <row r="316">
      <c r="A316" s="15" t="inlineStr">
        <is>
          <t>ИНПРЕН, ООО</t>
        </is>
      </c>
      <c r="B316" s="15" t="inlineStr">
        <is>
          <t>5D030</t>
        </is>
      </c>
      <c r="C316" s="15" t="inlineStr">
        <is>
          <t>Россия</t>
        </is>
      </c>
      <c r="D316" s="15" t="inlineStr">
        <is>
          <t>Москва</t>
        </is>
      </c>
      <c r="E316" s="15" t="inlineStr">
        <is>
          <t>Россия, 127566, г. Москва, Алтуфьевское ш., д. 48, корп. 1</t>
        </is>
      </c>
      <c r="F316" s="20" t="inlineStr">
        <is>
          <t>http://www.inpren.ru</t>
        </is>
      </c>
      <c r="G316" s="15" t="inlineStr">
        <is>
          <t>info@inpren.ru</t>
        </is>
      </c>
      <c r="H316" s="15" t="inlineStr">
        <is>
          <t>Инжиниринговая производственная компания. Услуги: инжиниринг, поставки лабораторного оборудования: ламинарных боксов, автоклавов, холодильников и морозильников. Бренды: AWTech, Haier Biomedical, 3W и др.</t>
        </is>
      </c>
      <c r="I316" s="15" t="inlineStr">
        <is>
          <t>Прочее общебольничное оборудование; Оборудование для стерилизации; Оборудование для заготовки и хранения донорской крови и ее компонентов; Оборудование для банков крови</t>
        </is>
      </c>
      <c r="J316" s="15" t="inlineStr">
        <is>
          <t>Производитель</t>
        </is>
      </c>
      <c r="K316" s="15" t="inlineStr">
        <is>
          <t>OK</t>
        </is>
      </c>
      <c r="L316" s="15" t="inlineStr">
        <is>
          <t>лабораторное оборудование, автоклавы и холодильники</t>
        </is>
      </c>
      <c r="M316" s="15" t="inlineStr">
        <is>
          <t>Инпрен</t>
        </is>
      </c>
      <c r="N316" s="15" t="inlineStr">
        <is>
          <t>Здравоохранение-2025</t>
        </is>
      </c>
      <c r="O316" s="20" t="inlineStr">
        <is>
          <t>https://icatalog.expocentr.ru/ru/exhibitions/de590dc5-417d-11ee-80ce-a0d3c1fab97f</t>
        </is>
      </c>
    </row>
    <row r="317">
      <c r="A317" s="15" t="inlineStr">
        <is>
          <t>ЭКСПЕРТ МЕДИКАЛ, ООО</t>
        </is>
      </c>
      <c r="B317" s="15" t="inlineStr">
        <is>
          <t>5B063</t>
        </is>
      </c>
      <c r="C317" s="15" t="inlineStr">
        <is>
          <t>Россия</t>
        </is>
      </c>
      <c r="D317" s="15" t="inlineStr">
        <is>
          <t>Москва</t>
        </is>
      </c>
      <c r="E317" s="15" t="inlineStr">
        <is>
          <t>Россия, 111524, г. Москва, ул. Электродная, д. 11, стр. 19, пом. 26</t>
        </is>
      </c>
      <c r="F317" s="20" t="inlineStr">
        <is>
          <t>http://www.exmedikal.ru</t>
        </is>
      </c>
      <c r="G317" s="15" t="inlineStr">
        <is>
          <t>info@exmedikal.ru</t>
        </is>
      </c>
      <c r="H317" s="15" t="inlineStr">
        <is>
          <t>Представляем передовые решения: мойки для гибких эндоскопов Huons Meditek (Корея), плазменные стерилизаторы CUBE (Корея), лор-комбайны MiOne и KAZAMA ENT (Корея), УЗ-датчики LELTEK (Тайвань, Китай).</t>
        </is>
      </c>
      <c r="I317" s="15" t="inlineStr">
        <is>
          <t>Оборудование для дезинфекции; Оборудование для стерилизации; Ультразвуковые сканеры и диагностические системы; Отоскопы и лор-инструменты; Эндоскопические комплексы и системы</t>
        </is>
      </c>
      <c r="J317" s="15" t="inlineStr">
        <is>
          <t>Дилер</t>
        </is>
      </c>
      <c r="K317" s="15" t="inlineStr">
        <is>
          <t>OK</t>
        </is>
      </c>
      <c r="L317" s="15" t="inlineStr">
        <is>
          <t>мойки, стерилизаторы, лор-комбайны и датчики</t>
        </is>
      </c>
      <c r="M317" s="15" t="inlineStr">
        <is>
          <t>Эксперт Медикал</t>
        </is>
      </c>
      <c r="N317" s="15" t="inlineStr">
        <is>
          <t>Здравоохранение-2025</t>
        </is>
      </c>
      <c r="O317" s="20" t="inlineStr">
        <is>
          <t>https://icatalog.expocentr.ru/ru/exhibitions/de590dc5-417d-11ee-80ce-a0d3c1fab97f</t>
        </is>
      </c>
    </row>
    <row r="318">
      <c r="A318" s="15" t="inlineStr">
        <is>
          <t>ЭЛЕМА-Н, ООО</t>
        </is>
      </c>
      <c r="B318" s="15" t="inlineStr">
        <is>
          <t>5C001</t>
        </is>
      </c>
      <c r="C318" s="15" t="inlineStr">
        <is>
          <t>Россия</t>
        </is>
      </c>
      <c r="D318" s="15" t="inlineStr">
        <is>
          <t>Новосибирск</t>
        </is>
      </c>
      <c r="E318" s="15" t="inlineStr">
        <is>
          <t>Россия, 630015, г. Новосибирск, ул. Королёва, д. 40, корп. 46</t>
        </is>
      </c>
      <c r="F318" s="20" t="inlineStr">
        <is>
          <t>http://www.elema-n.ru</t>
        </is>
      </c>
      <c r="G318" s="15" t="inlineStr">
        <is>
          <t>info@elema-n.ru</t>
        </is>
      </c>
      <c r="H318" s="15" t="inlineStr">
        <is>
          <t>Производство консолей для обеспечения газами и электропитанием, отсасывателей, аппаратов Боброва, лор-комбайнов, кресел пациентов оториноларингологических, шкафов для сушки и хранения стерильных эндоскопов.</t>
        </is>
      </c>
      <c r="I318" s="15" t="inlineStr">
        <is>
          <t>Отоскопы и лор-инструменты; Инструменты и принадлежности для эндоскопии; Средства для оказания экстренной медицинской помощи; Оборудование для медицинских газов; Потолочные консоли; Вакуумные экстракторы, аспираторы</t>
        </is>
      </c>
      <c r="J318" s="15" t="inlineStr">
        <is>
          <t>Производитель</t>
        </is>
      </c>
      <c r="K318" s="15" t="inlineStr">
        <is>
          <t>OK</t>
        </is>
      </c>
      <c r="L318" s="15" t="inlineStr">
        <is>
          <t>консоли, отсасыватели, аппараты и шкафы</t>
        </is>
      </c>
      <c r="M318" s="15" t="inlineStr">
        <is>
          <t>Элема-Н</t>
        </is>
      </c>
      <c r="N318" s="15" t="inlineStr">
        <is>
          <t>Здравоохранение-2025</t>
        </is>
      </c>
      <c r="O318" s="20" t="inlineStr">
        <is>
          <t>https://icatalog.expocentr.ru/ru/exhibitions/de590dc5-417d-11ee-80ce-a0d3c1fab97f</t>
        </is>
      </c>
    </row>
    <row r="319">
      <c r="A319" s="15" t="inlineStr">
        <is>
          <t>ДЕЗКОНТРАКТ, ООО</t>
        </is>
      </c>
      <c r="B319" s="15" t="inlineStr">
        <is>
          <t>5B005</t>
        </is>
      </c>
      <c r="C319" s="15" t="inlineStr">
        <is>
          <t>Россия</t>
        </is>
      </c>
      <c r="D319" s="15" t="inlineStr">
        <is>
          <t>Москва</t>
        </is>
      </c>
      <c r="E319" s="15" t="inlineStr">
        <is>
          <t>Россия, 107150, г. Москва, ул. Бойцовая, д. 22, этаж 2, пом. V, корп. 6, оф. 3Б</t>
        </is>
      </c>
      <c r="F319" s="20" t="inlineStr">
        <is>
          <t>http://www.a-dez.ru</t>
        </is>
      </c>
      <c r="G319" s="15" t="inlineStr">
        <is>
          <t>info@dezcontract.ru</t>
        </is>
      </c>
      <c r="H319" s="15" t="inlineStr">
        <is>
          <t>Производство различных дезинфицирующих и моющих средств: концентратов и жидких антисептиков, влажных салфеток, диспенсерных систем, хлорных таблеток и гранул, дезинфицирующего, антибактериального мыла.</t>
        </is>
      </c>
      <c r="I319" s="15" t="inlineStr">
        <is>
          <t>Средства химической дезинфекции и стерилизации; Средства для чистки и детергенты; Дезинфицирующие средства и материалы</t>
        </is>
      </c>
      <c r="J319" s="15" t="inlineStr">
        <is>
          <t>Производитель</t>
        </is>
      </c>
      <c r="K319" s="15" t="inlineStr">
        <is>
          <t>OK</t>
        </is>
      </c>
      <c r="L319" s="15" t="inlineStr">
        <is>
          <t>дезинфицирующие и моющие средства, антисептики, салфетки, мыло</t>
        </is>
      </c>
      <c r="M319" s="15" t="inlineStr">
        <is>
          <t>Дезконтракт</t>
        </is>
      </c>
      <c r="N319" s="15" t="inlineStr">
        <is>
          <t>Здравоохранение-2025</t>
        </is>
      </c>
      <c r="O319" s="20" t="inlineStr">
        <is>
          <t>https://icatalog.expocentr.ru/ru/exhibitions/de590dc5-417d-11ee-80ce-a0d3c1fab97f</t>
        </is>
      </c>
    </row>
    <row r="320">
      <c r="A320" s="15" t="inlineStr">
        <is>
          <t>БАЗОВАЯ ДЕЗИНФЕКЦИЯ</t>
        </is>
      </c>
      <c r="B320" s="15" t="inlineStr">
        <is>
          <t>5B042</t>
        </is>
      </c>
      <c r="C320" s="15" t="inlineStr">
        <is>
          <t>Россия</t>
        </is>
      </c>
      <c r="D320" s="15" t="inlineStr">
        <is>
          <t>Москва</t>
        </is>
      </c>
      <c r="E320" s="15" t="inlineStr">
        <is>
          <t>Россия, 105264, г. Москва, 9-я Парковая ул., д. 39, оф. 415</t>
        </is>
      </c>
      <c r="F320" s="20" t="inlineStr">
        <is>
          <t>http://www.almadez.ru</t>
        </is>
      </c>
      <c r="G320" s="15" t="inlineStr">
        <is>
          <t>info@badez.ru</t>
        </is>
      </c>
      <c r="H320" s="15" t="inlineStr">
        <is>
          <t>Производство дезинфицирующих и моющих средств в виде жидких и гелевых антисептиков, готовых салфеток, хлорных таблеток и гранул; также предлагаем диспенсерные системы, дезинфицирующее и антибактериальное мыло.</t>
        </is>
      </c>
      <c r="I320" s="15" t="inlineStr">
        <is>
          <t>Средства химической дезинфекции и стерилизации; Средства для чистки и детергенты; Дезинфицирующие средства и материалы</t>
        </is>
      </c>
      <c r="J320" s="15" t="inlineStr">
        <is>
          <t>Производитель</t>
        </is>
      </c>
      <c r="K320" s="15" t="inlineStr">
        <is>
          <t>OK</t>
        </is>
      </c>
      <c r="L320" s="15" t="inlineStr">
        <is>
          <t>дезинфицирующие средства, моющие средства, антисептики и диспенсерные системы</t>
        </is>
      </c>
      <c r="M320" s="15" t="inlineStr">
        <is>
          <t>Базовая Дезинфекция</t>
        </is>
      </c>
      <c r="N320" s="15" t="inlineStr">
        <is>
          <t>Здравоохранение-2025</t>
        </is>
      </c>
      <c r="O320" s="20" t="inlineStr">
        <is>
          <t>https://icatalog.expocentr.ru/ru/exhibitions/de590dc5-417d-11ee-80ce-a0d3c1fab97f</t>
        </is>
      </c>
    </row>
    <row r="321">
      <c r="A321" s="15" t="inlineStr">
        <is>
          <t>ДЕЗОН, ООО</t>
        </is>
      </c>
      <c r="B321" s="15" t="inlineStr">
        <is>
          <t>5D080</t>
        </is>
      </c>
      <c r="C321" s="15" t="inlineStr">
        <is>
          <t>Россия</t>
        </is>
      </c>
      <c r="D321" s="15" t="inlineStr">
        <is>
          <t>Москва</t>
        </is>
      </c>
      <c r="E321" s="15" t="inlineStr">
        <is>
          <t>Россия, г. Москва, ул. Верхняя Первомайская, д. 43, оф. 209</t>
        </is>
      </c>
      <c r="F321" s="20" t="inlineStr">
        <is>
          <t>http://www.dezon.pro</t>
        </is>
      </c>
      <c r="G321" s="15" t="inlineStr">
        <is>
          <t>info@dezon.pro</t>
        </is>
      </c>
      <c r="H321" s="15" t="inlineStr">
        <is>
          <t>Производство профессиональных моющих и дезинфицирующих средств для гигиены и клининга. Антисептики, влажные салфетки, диспенсерные системы, хлорные таблетки и гранулы, дезинфицирующее и детское мыло.</t>
        </is>
      </c>
      <c r="I321" s="15" t="inlineStr">
        <is>
          <t>Средства химической дезинфекции и стерилизации; Средства для чистки и детергенты; Дезинфицирующие средства и материалы</t>
        </is>
      </c>
      <c r="J321" s="15" t="inlineStr">
        <is>
          <t>Производитель</t>
        </is>
      </c>
      <c r="K321" s="15" t="inlineStr">
        <is>
          <t>OK</t>
        </is>
      </c>
      <c r="L321" s="15" t="inlineStr">
        <is>
          <t>моющие средства, дезинфицирующие средства, антисептики, влажные салфетки и диспенсерные системы</t>
        </is>
      </c>
      <c r="M321" s="15" t="inlineStr">
        <is>
          <t>Дезон</t>
        </is>
      </c>
      <c r="N321" s="15" t="inlineStr">
        <is>
          <t>Здравоохранение-2025</t>
        </is>
      </c>
      <c r="O321" s="20" t="inlineStr">
        <is>
          <t>https://icatalog.expocentr.ru/ru/exhibitions/de590dc5-417d-11ee-80ce-a0d3c1fab97f</t>
        </is>
      </c>
    </row>
    <row r="322">
      <c r="A322" s="15" t="inlineStr">
        <is>
          <t>ВОЛЬТМЕТРИКА, ООО</t>
        </is>
      </c>
      <c r="B322" s="21" t="n">
        <v>5e+40</v>
      </c>
      <c r="C322" s="15" t="inlineStr">
        <is>
          <t>Россия</t>
        </is>
      </c>
      <c r="D322" s="15" t="inlineStr">
        <is>
          <t>Санкт-Петербург</t>
        </is>
      </c>
      <c r="E322" s="15" t="inlineStr">
        <is>
          <t>Россия, г. Санкт-Петербург</t>
        </is>
      </c>
      <c r="F322" s="20" t="inlineStr">
        <is>
          <t>http://www.voltmetrika.ru</t>
        </is>
      </c>
      <c r="G322" s="15" t="inlineStr">
        <is>
          <t>info@voltmetrika.ru</t>
        </is>
      </c>
      <c r="H322" s="15" t="inlineStr">
        <is>
          <t>Производство медицинской техники — cистем обеззараживания медицинских отходов микроволновых «Бионар», устройств прессования медицинских отходов «Бионар», измельчителей медицинских отходов «Бионар».</t>
        </is>
      </c>
      <c r="I322" s="15" t="inlineStr">
        <is>
          <t>Системы утилизации отходов; Оборудование для дезинфекции</t>
        </is>
      </c>
      <c r="J322" s="15" t="inlineStr">
        <is>
          <t>Производитель</t>
        </is>
      </c>
      <c r="K322" s="15" t="inlineStr">
        <is>
          <t>OK</t>
        </is>
      </c>
      <c r="L322" s="15" t="inlineStr">
        <is>
          <t>оборудование</t>
        </is>
      </c>
      <c r="M322" s="15" t="inlineStr">
        <is>
          <t>Вольметрика</t>
        </is>
      </c>
      <c r="N322" s="15" t="inlineStr">
        <is>
          <t>Здравоохранение-2025</t>
        </is>
      </c>
      <c r="O322" s="20" t="inlineStr">
        <is>
          <t>https://icatalog.expocentr.ru/ru/exhibitions/de590dc5-417d-11ee-80ce-a0d3c1fab97f</t>
        </is>
      </c>
    </row>
    <row r="323">
      <c r="A323" s="15" t="inlineStr">
        <is>
          <t>АСЕПТИКА, ООО</t>
        </is>
      </c>
      <c r="B323" s="15" t="inlineStr">
        <is>
          <t>5B132</t>
        </is>
      </c>
      <c r="C323" s="15" t="inlineStr">
        <is>
          <t>Россия</t>
        </is>
      </c>
      <c r="D323" s="15" t="inlineStr">
        <is>
          <t>Москва</t>
        </is>
      </c>
      <c r="E323" s="15" t="inlineStr">
        <is>
          <t>Россия, 127474, г. Москва, Дмитровское ш., д. 60а, этаж 3, пом. XXIV, комн. 10</t>
        </is>
      </c>
      <c r="F323" s="20" t="inlineStr">
        <is>
          <t>http://www.aseptica.biz</t>
        </is>
      </c>
      <c r="G323" s="15" t="inlineStr">
        <is>
          <t>asep5858815@gmail.com</t>
        </is>
      </c>
      <c r="H323" s="15" t="inlineStr">
        <is>
          <t>«АСЕПТИКА» — инжиниринговая компания, которая специализируется в четырех направлениях: проектирование производств, валидация и квалификация чистых помещений, испытательное оборудование и мебель.</t>
        </is>
      </c>
      <c r="I323" s="15" t="inlineStr">
        <is>
          <t>Чистые помещения; Проектирование, производство, монтаж, валидация чистых операционных и реанимационных; Проектирование и оснащение медицинских учреждений под ключ; Медицинский инжиниринг; Испытательные лаборатории, органы по сертификации, метрологические центры</t>
        </is>
      </c>
      <c r="J323" s="15" t="inlineStr">
        <is>
          <t>Поставщик услуг</t>
        </is>
      </c>
      <c r="K323" s="15" t="inlineStr">
        <is>
          <t>OK</t>
        </is>
      </c>
      <c r="L323" s="15" t="inlineStr">
        <is>
          <t>оборудование и мебель</t>
        </is>
      </c>
      <c r="M323" s="15" t="inlineStr">
        <is>
          <t>Асептика</t>
        </is>
      </c>
      <c r="N323" s="15" t="inlineStr">
        <is>
          <t>Здравоохранение-2025</t>
        </is>
      </c>
      <c r="O323" s="20" t="inlineStr">
        <is>
          <t>https://icatalog.expocentr.ru/ru/exhibitions/de590dc5-417d-11ee-80ce-a0d3c1fab97f</t>
        </is>
      </c>
    </row>
    <row r="324">
      <c r="A324" s="15" t="inlineStr">
        <is>
          <t>ГЕНИКС, НПФ, ООО</t>
        </is>
      </c>
      <c r="B324" s="15" t="inlineStr">
        <is>
          <t>5C070</t>
        </is>
      </c>
      <c r="C324" s="15" t="inlineStr">
        <is>
          <t>Россия</t>
        </is>
      </c>
      <c r="D324" s="15" t="inlineStr">
        <is>
          <t>Йошкар-Ола</t>
        </is>
      </c>
      <c r="E324" s="15" t="inlineStr">
        <is>
          <t>Россия, 424006, Республика Марий Эл, г. Йошкар-Ола, ул. Крылова, д. 26</t>
        </is>
      </c>
      <c r="F324" s="20" t="inlineStr">
        <is>
          <t>http://www.geniks.ru</t>
        </is>
      </c>
      <c r="G324" s="15" t="inlineStr">
        <is>
          <t>sbit@geniks.ru</t>
        </is>
      </c>
      <c r="H324" s="15" t="inlineStr">
        <is>
          <t>С 1992 года фирма «Геникс» специализируется на выпуске моющих и дезинфицирующих средств. По технологии, качеству, экономичности средства серии «Ника» — одни из лучших на отечественном рынке!</t>
        </is>
      </c>
      <c r="I324" s="15" t="inlineStr">
        <is>
          <t>Средства химической дезинфекции и стерилизации; Средства для чистки и детергенты; Дезинфицирующие средства и материалы</t>
        </is>
      </c>
      <c r="J324" s="15" t="inlineStr">
        <is>
          <t>Производитель</t>
        </is>
      </c>
      <c r="K324" s="15" t="inlineStr">
        <is>
          <t>OK</t>
        </is>
      </c>
      <c r="L324" s="15" t="inlineStr">
        <is>
          <t>дезинфицирующие средства, моющие средства и детергенты</t>
        </is>
      </c>
      <c r="M324" s="15" t="inlineStr">
        <is>
          <t>ГЕНИКС, НПФ</t>
        </is>
      </c>
      <c r="N324" s="15" t="inlineStr">
        <is>
          <t>Здравоохранение-2025</t>
        </is>
      </c>
      <c r="O324" s="20" t="inlineStr">
        <is>
          <t>https://icatalog.expocentr.ru/ru/exhibitions/de590dc5-417d-11ee-80ce-a0d3c1fab97f</t>
        </is>
      </c>
    </row>
    <row r="325">
      <c r="A325" s="15" t="inlineStr">
        <is>
          <t>СЕПТОНЭТ, ООО</t>
        </is>
      </c>
      <c r="B325" s="15" t="inlineStr">
        <is>
          <t>5A120</t>
        </is>
      </c>
      <c r="C325" s="15" t="inlineStr">
        <is>
          <t>Россия</t>
        </is>
      </c>
      <c r="D325" s="15" t="inlineStr">
        <is>
          <t>Москва</t>
        </is>
      </c>
      <c r="E325" s="15" t="inlineStr">
        <is>
          <t>Россия, 105275, г. Москва, просп. Будённого, д. 51, корп. 3, пом. 10</t>
        </is>
      </c>
      <c r="F325" s="20" t="inlineStr">
        <is>
          <t>http://septo.net</t>
        </is>
      </c>
      <c r="G325" s="15" t="inlineStr">
        <is>
          <t>info@septo.net</t>
        </is>
      </c>
      <c r="H325" s="15" t="inlineStr">
        <is>
          <t>Производство и оптовая продажа дезинфицирующих средств.</t>
        </is>
      </c>
      <c r="I325" s="15" t="inlineStr">
        <is>
          <t>Оборудование и средства борьбы с внутрибольничной инфекцией; Средства химической дезинфекции и стерилизации; Средства для чистки и детергенты; Дезинфицирующие средства и материалы</t>
        </is>
      </c>
      <c r="J325" s="15" t="inlineStr">
        <is>
          <t>Производитель</t>
        </is>
      </c>
      <c r="K325" s="15" t="inlineStr">
        <is>
          <t>OK</t>
        </is>
      </c>
      <c r="L325" s="15" t="inlineStr">
        <is>
          <t>дезинфицирующие средства, чистящие средства и оборудование</t>
        </is>
      </c>
      <c r="M325" s="15" t="inlineStr">
        <is>
          <t>Септонэт</t>
        </is>
      </c>
      <c r="N325" s="15" t="inlineStr">
        <is>
          <t>Здравоохранение-2025</t>
        </is>
      </c>
      <c r="O325" s="20" t="inlineStr">
        <is>
          <t>https://icatalog.expocentr.ru/ru/exhibitions/de590dc5-417d-11ee-80ce-a0d3c1fab97f</t>
        </is>
      </c>
    </row>
    <row r="326">
      <c r="A326" s="15" t="inlineStr">
        <is>
          <t>АВ-Групп, ООО</t>
        </is>
      </c>
      <c r="B326" s="15" t="inlineStr">
        <is>
          <t>5C140</t>
        </is>
      </c>
      <c r="C326" s="15" t="inlineStr">
        <is>
          <t>Россия</t>
        </is>
      </c>
      <c r="D326" s="15" t="inlineStr">
        <is>
          <t>Люберцы</t>
        </is>
      </c>
      <c r="E326" s="15" t="inlineStr">
        <is>
          <t>Россия, 140030, Московская обл., г. Люберцы, р. п. Малаховка, Егорьевское ш., д. 1</t>
        </is>
      </c>
      <c r="F326" s="20" t="inlineStr">
        <is>
          <t>http://www.avgroupp.ru</t>
        </is>
      </c>
      <c r="G326" s="15" t="inlineStr">
        <is>
          <t>sale@avgroupp.ru</t>
        </is>
      </c>
      <c r="H326" s="15" t="inlineStr">
        <is>
          <t>Компания «АВ-Групп» — лидер в России по производству влажных салфеток для различных сфер применения, производитель дезинфицирующих средств и антисептиков, контрактное производство под вашей СТМ.</t>
        </is>
      </c>
      <c r="I326" s="15" t="inlineStr">
        <is>
          <t>Дезинфицирующие средства и материалы; Одноразовые медицинские изделия прочие</t>
        </is>
      </c>
      <c r="J326" s="15" t="inlineStr">
        <is>
          <t>Производитель</t>
        </is>
      </c>
      <c r="K326" s="15" t="inlineStr">
        <is>
          <t>OK</t>
        </is>
      </c>
      <c r="L326" s="15" t="inlineStr">
        <is>
          <t>влажные салфетки, дезинфицирующие средства и антисептики</t>
        </is>
      </c>
      <c r="M326" s="15" t="inlineStr">
        <is>
          <t>Ав-Групп</t>
        </is>
      </c>
      <c r="N326" s="15" t="inlineStr">
        <is>
          <t>Здравоохранение-2025</t>
        </is>
      </c>
      <c r="O326" s="20" t="inlineStr">
        <is>
          <t>https://icatalog.expocentr.ru/ru/exhibitions/de590dc5-417d-11ee-80ce-a0d3c1fab97f</t>
        </is>
      </c>
    </row>
    <row r="327">
      <c r="A327" s="15" t="inlineStr">
        <is>
          <t>ВИТА-ПУЛ, ООО</t>
        </is>
      </c>
      <c r="B327" s="15" t="inlineStr">
        <is>
          <t>5C050</t>
        </is>
      </c>
      <c r="C327" s="15" t="inlineStr">
        <is>
          <t>Россия</t>
        </is>
      </c>
      <c r="D327" s="15" t="inlineStr">
        <is>
          <t>Москва</t>
        </is>
      </c>
      <c r="E327" s="15" t="inlineStr">
        <is>
          <t>Россия, 125212, г. Москва, ул. Выборгская, д. 16, стр. 1</t>
        </is>
      </c>
      <c r="F327" s="20" t="inlineStr">
        <is>
          <t>http://www.vitapool.ru</t>
        </is>
      </c>
      <c r="G327" s="15" t="inlineStr">
        <is>
          <t>info@vitapool.ru</t>
        </is>
      </c>
      <c r="H327" s="15" t="inlineStr">
        <is>
          <t>Оснащение центральных стерилизационных отделений оборудованием и расходными материалами для дезинфекции и стерилизации. Производство и реализация дезсредств, стерилизационной упаковки, эндошкафов.</t>
        </is>
      </c>
      <c r="I327" s="15" t="inlineStr">
        <is>
          <t>Оборудование и средства борьбы с внутрибольничной инфекцией; Оборудование для дезинфекции; Оборудование для стерилизации; Средства контроля стерилизации; Медицинская упаковка; Дезинфицирующие средства и материалы</t>
        </is>
      </c>
      <c r="J327" s="15" t="inlineStr">
        <is>
          <t>Производитель</t>
        </is>
      </c>
      <c r="K327" s="15" t="inlineStr">
        <is>
          <t>OK</t>
        </is>
      </c>
      <c r="L327" s="15" t="inlineStr">
        <is>
          <t>оборудование, дезсредства, упаковка и эндошкафы</t>
        </is>
      </c>
      <c r="M327" s="15" t="inlineStr">
        <is>
          <t>Вита-Пул</t>
        </is>
      </c>
      <c r="N327" s="15" t="inlineStr">
        <is>
          <t>Здравоохранение-2025</t>
        </is>
      </c>
      <c r="O327" s="20" t="inlineStr">
        <is>
          <t>https://icatalog.expocentr.ru/ru/exhibitions/de590dc5-417d-11ee-80ce-a0d3c1fab97f</t>
        </is>
      </c>
    </row>
    <row r="328">
      <c r="A328" s="15" t="inlineStr">
        <is>
          <t>СТЕРИПАК СЕРВИС, ООО</t>
        </is>
      </c>
      <c r="B328" s="15" t="inlineStr">
        <is>
          <t>5B100</t>
        </is>
      </c>
      <c r="C328" s="15" t="inlineStr">
        <is>
          <t>Россия</t>
        </is>
      </c>
      <c r="D328" s="15" t="inlineStr">
        <is>
          <t>Москва</t>
        </is>
      </c>
      <c r="E328" s="15" t="inlineStr">
        <is>
          <t>Россия, 117246, г. Москва, Научный пр-д, д. 10, комн. 319</t>
        </is>
      </c>
      <c r="F328" s="20" t="inlineStr">
        <is>
          <t>http://steri-pack.ru</t>
        </is>
      </c>
      <c r="G328" s="15" t="inlineStr">
        <is>
          <t>info@steri-pack.ru</t>
        </is>
      </c>
      <c r="H328" s="15" t="inlineStr">
        <is>
          <t>Услуги для производителей медизделий и ЛПУ:— стерилизация мединструментов для ЛПУ;— контрактное производство в чистых помещениях;— стерилизация газом, паром, плазмой;— валидация, лабораторные испытания.</t>
        </is>
      </c>
      <c r="I328" s="15" t="inlineStr">
        <is>
          <t>Оборудование и средства борьбы с внутрибольничной инфекцией; Средства контроля стерилизации; Медицинская упаковка; Чистые помещения; Проектирование, производство, монтаж, валидация чистых операционных и реанимационных; Производство медицинских изделий</t>
        </is>
      </c>
      <c r="J328" s="15" t="inlineStr">
        <is>
          <t>Производитель</t>
        </is>
      </c>
      <c r="K328" s="15" t="inlineStr">
        <is>
          <t>OK</t>
        </is>
      </c>
      <c r="L328" s="15" t="inlineStr">
        <is>
          <t>медицинские изделия, оборудование, упаковка и средства контроля</t>
        </is>
      </c>
      <c r="M328" s="15" t="inlineStr">
        <is>
          <t>Стерипак Сервис</t>
        </is>
      </c>
      <c r="N328" s="15" t="inlineStr">
        <is>
          <t>Здравоохранение-2025</t>
        </is>
      </c>
      <c r="O328" s="20" t="inlineStr">
        <is>
          <t>https://icatalog.expocentr.ru/ru/exhibitions/de590dc5-417d-11ee-80ce-a0d3c1fab97f</t>
        </is>
      </c>
    </row>
    <row r="329">
      <c r="A329" s="15" t="inlineStr">
        <is>
          <t>ВОЛГАМЕД, ООО</t>
        </is>
      </c>
      <c r="B329" s="15" t="inlineStr">
        <is>
          <t>5C005</t>
        </is>
      </c>
      <c r="C329" s="15" t="inlineStr">
        <is>
          <t>Россия</t>
        </is>
      </c>
      <c r="D329" s="15" t="inlineStr">
        <is>
          <t>Чебоксары</t>
        </is>
      </c>
      <c r="E329" s="15" t="inlineStr">
        <is>
          <t>Россия, 428033, Чувашская Республика, г. Чебоксары, ул. Урукова, д. 7</t>
        </is>
      </c>
      <c r="F329" s="20" t="inlineStr">
        <is>
          <t>http://www.volgamedrf.ru</t>
        </is>
      </c>
      <c r="G329" s="15" t="inlineStr">
        <is>
          <t>ooo.volgamed@gmail.com</t>
        </is>
      </c>
      <c r="H329" s="15" t="inlineStr">
        <is>
          <t>ООО «ВолгаМед» — эксклюзивный дистрибьютор компании Med Tip (Турция). Представляет на российском рынке газовые стерилизаторы ZEOSS — оборудование для низкотемпературной стерилизации этиленоксидом.</t>
        </is>
      </c>
      <c r="I329" s="15" t="inlineStr">
        <is>
          <t>Оборудование для стерилизации; Средства химической дезинфекции и стерилизации; Производство медицинских изделий; Стерилизаторы; Инструменты и принадлежности для эндоскопии; Принадлежности для хирургических аппаратов</t>
        </is>
      </c>
      <c r="J329" s="15" t="inlineStr">
        <is>
          <t>Дилер</t>
        </is>
      </c>
      <c r="K329" s="15" t="inlineStr">
        <is>
          <t>OK</t>
        </is>
      </c>
      <c r="L329" s="15" t="inlineStr">
        <is>
          <t>стерилизаторы, средства дезинфекции и принадлежности для аппаратов</t>
        </is>
      </c>
      <c r="M329" s="15" t="inlineStr">
        <is>
          <t>Волгамед</t>
        </is>
      </c>
      <c r="N329" s="15" t="inlineStr">
        <is>
          <t>Здравоохранение-2025</t>
        </is>
      </c>
      <c r="O329" s="20" t="inlineStr">
        <is>
          <t>https://icatalog.expocentr.ru/ru/exhibitions/de590dc5-417d-11ee-80ce-a0d3c1fab97f</t>
        </is>
      </c>
    </row>
    <row r="330">
      <c r="A330" s="15" t="inlineStr">
        <is>
          <t>МЕДИАНА-ФИЛЬТР НПК, АО</t>
        </is>
      </c>
      <c r="B330" s="15" t="inlineStr">
        <is>
          <t>5C045</t>
        </is>
      </c>
      <c r="C330" s="15" t="inlineStr">
        <is>
          <t>Россия</t>
        </is>
      </c>
      <c r="D330" s="15" t="inlineStr">
        <is>
          <t>Москва</t>
        </is>
      </c>
      <c r="E330" s="15" t="inlineStr">
        <is>
          <t>Россия, 105318, г. Москва, вн. тер. г. м. о. Соколиная Гора, ул. Ткацкая, д. 1, этаж 9, пом. XVIII, комн. 31</t>
        </is>
      </c>
      <c r="F330" s="20" t="inlineStr">
        <is>
          <t>http://www.mediana-filter.ru</t>
        </is>
      </c>
      <c r="G330" s="15" t="inlineStr">
        <is>
          <t>info@mediana-filter.ru</t>
        </is>
      </c>
      <c r="H330" s="15" t="inlineStr">
        <is>
          <t>АО «НПК МЕДИАНА-ФИЛЬТР» — ведущий производитель систем очистки воды для аптек, стерилизационных, эндоскопических, дезинфекционных отделений, для медицинских лабораторий, отделений гемодиализа.</t>
        </is>
      </c>
      <c r="I330" s="15" t="inlineStr">
        <is>
          <t>Чистые помещения; Поставка медицинского оборудования и расходных материалов; Прочие изделия для лабораторий; Оборудование и расходные материалы для проведения гемосорбции, гемодиализа и плазмофереза</t>
        </is>
      </c>
      <c r="J330" s="15" t="inlineStr">
        <is>
          <t>Производитель</t>
        </is>
      </c>
      <c r="K330" s="15" t="inlineStr">
        <is>
          <t>OK</t>
        </is>
      </c>
      <c r="L330" s="15" t="inlineStr">
        <is>
          <t>системы очистки воды, медицинское оборудование, расходные материалы и изделия для лабораторий</t>
        </is>
      </c>
      <c r="M330" s="15" t="inlineStr">
        <is>
          <t>Медиана-Фильтр НПК</t>
        </is>
      </c>
      <c r="N330" s="15" t="inlineStr">
        <is>
          <t>Здравоохранение-2025</t>
        </is>
      </c>
      <c r="O330" s="20" t="inlineStr">
        <is>
          <t>https://icatalog.expocentr.ru/ru/exhibitions/de590dc5-417d-11ee-80ce-a0d3c1fab97f</t>
        </is>
      </c>
    </row>
    <row r="331">
      <c r="A331" s="15" t="inlineStr">
        <is>
          <t>БАНДЕК — МЕДИЦИНСКИЕ СИСТЕМЫ, ООО</t>
        </is>
      </c>
      <c r="B331" s="15" t="inlineStr">
        <is>
          <t>5D090</t>
        </is>
      </c>
      <c r="C331" s="15" t="inlineStr">
        <is>
          <t>Россия</t>
        </is>
      </c>
      <c r="D331" s="15" t="inlineStr">
        <is>
          <t>Москва</t>
        </is>
      </c>
      <c r="E331" s="15" t="inlineStr">
        <is>
          <t>Россия, 108811, г. Москва, 22-й км (Киевское ш.), д. 4, стр. 2, корп. В, этаж 7, оф. 714В</t>
        </is>
      </c>
      <c r="F331" s="20" t="inlineStr">
        <is>
          <t>http://www.bandeq.ru</t>
        </is>
      </c>
      <c r="G331" s="15" t="inlineStr">
        <is>
          <t>info@bandeq.ru</t>
        </is>
      </c>
      <c r="H331" s="15" t="inlineStr">
        <is>
          <t>Компания «Бандек — Медицинские Системы» уже более 20 лет является одним из признанных лидеров в области поставок оборудования для автоматизированной дезинфекции, сушки и хранения гибких эндоскопов.Правообладатель торговой марки BANDEQ в России. С 2015 года – российский производитель высокотехнологичного медицинского оборудования "Устройство автоматизированной сушки и хранения гибких эндоскопов «ЭНДОКАБ».</t>
        </is>
      </c>
      <c r="I331" s="15" t="inlineStr">
        <is>
          <t>Оборудование и средства борьбы с внутрибольничной инфекцией; Оборудование для дезинфекции; Расходные материалы для медицинского оборудования; Производство медицинских изделий; Эндоскопы гибкие; Инструменты и принадлежности для эндоскопии</t>
        </is>
      </c>
      <c r="J331" s="15" t="inlineStr">
        <is>
          <t>Производитель</t>
        </is>
      </c>
      <c r="K331" s="15" t="inlineStr">
        <is>
          <t>OK</t>
        </is>
      </c>
      <c r="L331" s="15" t="inlineStr">
        <is>
          <t>оборудование, эндоскопы, расходные материалы и инструменты</t>
        </is>
      </c>
      <c r="M331" s="15" t="inlineStr">
        <is>
          <t>Бандек Медицинские Системы</t>
        </is>
      </c>
      <c r="N331" s="15" t="inlineStr">
        <is>
          <t>Здравоохранение-2025</t>
        </is>
      </c>
      <c r="O331" s="20" t="inlineStr">
        <is>
          <t>https://icatalog.expocentr.ru/ru/exhibitions/de590dc5-417d-11ee-80ce-a0d3c1fab97f</t>
        </is>
      </c>
    </row>
    <row r="332">
      <c r="A332" s="15" t="inlineStr">
        <is>
          <t>Д-МИКРО, ООО</t>
        </is>
      </c>
      <c r="B332" s="15" t="inlineStr">
        <is>
          <t>5B140</t>
        </is>
      </c>
      <c r="C332" s="15" t="inlineStr">
        <is>
          <t>Россия</t>
        </is>
      </c>
      <c r="D332" s="15" t="inlineStr">
        <is>
          <t>Химки</t>
        </is>
      </c>
      <c r="E332" s="15" t="inlineStr">
        <is>
          <t>Россия, 141402, Московская обл., г. Химки, ул. Ленинградская, д. 1, корп. Д, оф. 312</t>
        </is>
      </c>
      <c r="F332" s="20" t="inlineStr">
        <is>
          <t>http://www.dmicro.ru</t>
        </is>
      </c>
      <c r="G332" s="15" t="inlineStr">
        <is>
          <t>info@dmicro.ru</t>
        </is>
      </c>
      <c r="H332" s="15" t="inlineStr">
        <is>
          <t>Компания «Д-микро» специализируется на подборе и поставках микроскопов, систем визуализации, измерительного оборудования. Производим ремонт и сервисное обслуживание, модернизацию микроскопов.</t>
        </is>
      </c>
      <c r="I332" s="15" t="inlineStr">
        <is>
          <t>Стоматологическое оборудование и инструменты; Производство медицинских изделий; Лабораторное оборудование</t>
        </is>
      </c>
      <c r="J332" s="15" t="inlineStr">
        <is>
          <t>Производитель</t>
        </is>
      </c>
      <c r="K332" s="15" t="inlineStr">
        <is>
          <t>OK</t>
        </is>
      </c>
      <c r="L332" s="15" t="inlineStr">
        <is>
          <t>микроскопы, оборудование и инструменты</t>
        </is>
      </c>
      <c r="M332" s="15" t="inlineStr">
        <is>
          <t>Д-Микро</t>
        </is>
      </c>
      <c r="N332" s="15" t="inlineStr">
        <is>
          <t>Здравоохранение-2025</t>
        </is>
      </c>
      <c r="O332" s="20" t="inlineStr">
        <is>
          <t>https://icatalog.expocentr.ru/ru/exhibitions/de590dc5-417d-11ee-80ce-a0d3c1fab97f</t>
        </is>
      </c>
    </row>
    <row r="333">
      <c r="A333" s="15" t="inlineStr">
        <is>
          <t>АЛДЕЗ, ООО</t>
        </is>
      </c>
      <c r="B333" s="15" t="inlineStr">
        <is>
          <t>5B145</t>
        </is>
      </c>
      <c r="C333" s="15" t="inlineStr">
        <is>
          <t>Россия</t>
        </is>
      </c>
      <c r="D333" s="15" t="inlineStr">
        <is>
          <t>Москва</t>
        </is>
      </c>
      <c r="E333" s="15" t="inlineStr">
        <is>
          <t>Россия, 115035, г. Москва, вн. тер. г. м. о. Замоскворечье, Космодамианская наб., д. 4/22, корп. Б, этаж 1, пом. VIII, комн. 2, оф. 204</t>
        </is>
      </c>
      <c r="F333" s="20" t="inlineStr">
        <is>
          <t>http://www.aldez.ru</t>
        </is>
      </c>
      <c r="G333" s="15" t="inlineStr">
        <is>
          <t>info@aldez.ru</t>
        </is>
      </c>
      <c r="H333" s="15" t="inlineStr">
        <is>
          <t>Разработка, производство, реализация дезинфицирующих средств, бытовой химии. Бренды «АБСОЛЮЦИД», «АБСОЛЮСЕПТ», «АБСОЛЮСЕЙФ». Контрактное производство дезинфицирующей и косметической продукции.</t>
        </is>
      </c>
      <c r="I333" s="15" t="inlineStr">
        <is>
          <t>Средства химической дезинфекции и стерилизации; Дезинфицирующие средства и материалы</t>
        </is>
      </c>
      <c r="J333" s="15" t="inlineStr">
        <is>
          <t>Производитель</t>
        </is>
      </c>
      <c r="K333" s="15" t="inlineStr">
        <is>
          <t>OK</t>
        </is>
      </c>
      <c r="L333" s="15" t="inlineStr">
        <is>
          <t>дезинфицирующие средства, бытовая химия и косметическая продукция</t>
        </is>
      </c>
      <c r="M333" s="15" t="inlineStr">
        <is>
          <t>Алдез</t>
        </is>
      </c>
      <c r="N333" s="15" t="inlineStr">
        <is>
          <t>Здравоохранение-2025</t>
        </is>
      </c>
      <c r="O333" s="20" t="inlineStr">
        <is>
          <t>https://icatalog.expocentr.ru/ru/exhibitions/de590dc5-417d-11ee-80ce-a0d3c1fab97f</t>
        </is>
      </c>
    </row>
    <row r="334">
      <c r="A334" s="15" t="inlineStr">
        <is>
          <t>ТЕРРАМЕД, КОМПАНИЯ</t>
        </is>
      </c>
      <c r="B334" s="15" t="inlineStr">
        <is>
          <t>5B090</t>
        </is>
      </c>
      <c r="C334" s="15" t="inlineStr">
        <is>
          <t>Россия</t>
        </is>
      </c>
      <c r="D334" s="15" t="inlineStr">
        <is>
          <t>Химки</t>
        </is>
      </c>
      <c r="E334" s="15" t="inlineStr">
        <is>
          <t>Россия, 141401, Московская обл., г. Химки, ул. Московская, д. 14, пом. 001</t>
        </is>
      </c>
      <c r="F334" s="20" t="inlineStr">
        <is>
          <t>https://terramed.pro</t>
        </is>
      </c>
      <c r="G334" s="15" t="inlineStr">
        <is>
          <t>info@medterra.ru</t>
        </is>
      </c>
      <c r="H334" s="15" t="inlineStr">
        <is>
          <t>Компания «ТерраМед» является передовой в Российской Федерации компанией в сфере контроля дезинфекционно-стерилизационных мероприятий.Наши разработки (индикаторы контроля стерилизации, упаковочный материал, биологические индикаторы) имеют многопрофильную направленность, мы производим изделия медицинского назначения,которые находят успешное применение не только в лечебно-профилактических организациях,но и в стоматологических кабинетах, салонах красоты, лабораториях и ветеринарных клиниках.</t>
        </is>
      </c>
      <c r="I334" s="15" t="inlineStr">
        <is>
          <t>Системы утилизации отходов; Оборудование для дезинфекции; Оборудование для стерилизации; Средства контроля стерилизации; Средства химической дезинфекции и стерилизации; Стерилизаторы</t>
        </is>
      </c>
      <c r="J334" s="15" t="inlineStr">
        <is>
          <t>Производитель</t>
        </is>
      </c>
      <c r="K334" s="15" t="inlineStr">
        <is>
          <t>OK</t>
        </is>
      </c>
      <c r="L334" s="15" t="inlineStr">
        <is>
          <t>индикаторы, упаковочные материалы и оборудование</t>
        </is>
      </c>
      <c r="M334" s="15" t="inlineStr">
        <is>
          <t>Террамед</t>
        </is>
      </c>
      <c r="N334" s="15" t="inlineStr">
        <is>
          <t>Здравоохранение-2025</t>
        </is>
      </c>
      <c r="O334" s="20" t="inlineStr">
        <is>
          <t>https://icatalog.expocentr.ru/ru/exhibitions/de590dc5-417d-11ee-80ce-a0d3c1fab97f</t>
        </is>
      </c>
    </row>
    <row r="335">
      <c r="A335" s="15" t="inlineStr">
        <is>
          <t>МЕДИКОН НПФ, ООО</t>
        </is>
      </c>
      <c r="B335" s="15" t="inlineStr">
        <is>
          <t>5B070</t>
        </is>
      </c>
      <c r="C335" s="15" t="inlineStr">
        <is>
          <t>Россия</t>
        </is>
      </c>
      <c r="D335" s="15" t="inlineStr">
        <is>
          <t>Казань</t>
        </is>
      </c>
      <c r="E335" s="15" t="inlineStr">
        <is>
          <t>Россия, 420037, Республика Татарстан, г. Казань, ул. Симонова, д. 14/41, пом. 3Н</t>
        </is>
      </c>
      <c r="F335" s="20" t="inlineStr">
        <is>
          <t>http://www.ooomedikon.ru</t>
        </is>
      </c>
      <c r="G335" s="15" t="inlineStr">
        <is>
          <t>medikon@bk.ru</t>
        </is>
      </c>
      <c r="H335" s="15" t="inlineStr">
        <is>
          <t>Основной сферой деятельности компании является изготовление медицинских инструментов из нержавеющей стали для дезинфекции и стерилизации.</t>
        </is>
      </c>
      <c r="I335" s="15" t="inlineStr">
        <is>
          <t>Оборудование для дезинфекции; Оборудование для стерилизации; Средства химической дезинфекции и стерилизации; Медицинская упаковка; Производство медицинских изделий</t>
        </is>
      </c>
      <c r="J335" s="15" t="inlineStr">
        <is>
          <t>Производитель</t>
        </is>
      </c>
      <c r="K335" s="15" t="inlineStr">
        <is>
          <t>OK</t>
        </is>
      </c>
      <c r="L335" s="15" t="inlineStr">
        <is>
          <t>медицинские инструменты, оборудование для дезинфекции и стерилизации, медицинская упаковка</t>
        </is>
      </c>
      <c r="M335" s="15" t="inlineStr">
        <is>
          <t>Медикон НПФ</t>
        </is>
      </c>
      <c r="N335" s="15" t="inlineStr">
        <is>
          <t>Здравоохранение-2025</t>
        </is>
      </c>
      <c r="O335" s="20" t="inlineStr">
        <is>
          <t>https://icatalog.expocentr.ru/ru/exhibitions/de590dc5-417d-11ee-80ce-a0d3c1fab97f</t>
        </is>
      </c>
    </row>
    <row r="336">
      <c r="A336" s="15" t="inlineStr">
        <is>
          <t>ТЕСТ МИ, ООО</t>
        </is>
      </c>
      <c r="B336" s="15" t="inlineStr">
        <is>
          <t>5B138</t>
        </is>
      </c>
      <c r="C336" s="15" t="inlineStr">
        <is>
          <t>Россия</t>
        </is>
      </c>
      <c r="D336" s="15" t="inlineStr">
        <is>
          <t>Москва</t>
        </is>
      </c>
      <c r="E336" s="15" t="inlineStr">
        <is>
          <t>Россия, 124498, г. Москва, г. Зеленоград, 4922-й пр-д, д. 4, стр. 5, этаж 4, комн. 48</t>
        </is>
      </c>
      <c r="F336" s="20" t="inlineStr">
        <is>
          <t>http://www.test-me.co</t>
        </is>
      </c>
      <c r="G336" s="15" t="inlineStr">
        <is>
          <t>info@test-me.co</t>
        </is>
      </c>
      <c r="H336" s="15" t="inlineStr">
        <is>
          <t>Испытательная лаборатория ООО «Тест МИ» специализируется на проведении испытаний медицинских изделий и изделий для in vitro-диагностики. Отдельным направлением деятельности является проведение вебинаров на различные темы: проведения испытаний на ЭМС, электробезопасность, клинических испытаний, обзор новых правил регистрации по ПП 1684 и т. д. Ссылки на вебинары публикуются в тг-канале (введите в поисковой строке в тг «Тест МИ»). Уникальный номер записи RA.RU21OC32 в реестре ФСА. Аккредитована в Фонде «Сколково».</t>
        </is>
      </c>
      <c r="I336" s="15" t="inlineStr">
        <is>
          <t>Испытательные лаборатории, органы по сертификации, метрологические центры; Производство медицинских изделий; Лабораторное оборудование; Реагенты и расходные материалы для лабораторной диагностики; Генетика и молекулярная генетика; ПЦР-диагностика</t>
        </is>
      </c>
      <c r="J336" s="15" t="inlineStr">
        <is>
          <t>Производитель</t>
        </is>
      </c>
      <c r="K336" s="15" t="inlineStr">
        <is>
          <t>OK</t>
        </is>
      </c>
      <c r="L336" s="15" t="inlineStr">
        <is>
          <t>лабораторное оборудование, реагенты и расходные материалы</t>
        </is>
      </c>
      <c r="M336" s="15" t="inlineStr">
        <is>
          <t>Тест Ми</t>
        </is>
      </c>
      <c r="N336" s="15" t="inlineStr">
        <is>
          <t>Здравоохранение-2025</t>
        </is>
      </c>
      <c r="O336" s="20" t="inlineStr">
        <is>
          <t>https://icatalog.expocentr.ru/ru/exhibitions/de590dc5-417d-11ee-80ce-a0d3c1fab97f</t>
        </is>
      </c>
    </row>
    <row r="337">
      <c r="A337" s="15" t="inlineStr">
        <is>
          <t>АЭРОЛАЙФ</t>
        </is>
      </c>
      <c r="B337" s="15" t="inlineStr">
        <is>
          <t>5C100</t>
        </is>
      </c>
      <c r="C337" s="15" t="inlineStr">
        <is>
          <t>Россия</t>
        </is>
      </c>
      <c r="D337" s="15" t="inlineStr">
        <is>
          <t>Москва</t>
        </is>
      </c>
      <c r="E337" s="15" t="inlineStr">
        <is>
          <t>Россия, 119607, г. Москва, Раменский б-р, д. 1</t>
        </is>
      </c>
      <c r="F337" s="20" t="inlineStr">
        <is>
          <t>http://airlife.ru</t>
        </is>
      </c>
      <c r="G337" s="15" t="inlineStr">
        <is>
          <t>info@airlife.ru</t>
        </is>
      </c>
      <c r="H337" s="15" t="inlineStr">
        <is>
          <t>Разработка и производство систем очистки и обеззараживания воздуха в медицинских помещениях всех классов чистоты. Фильтрация аэрозолей, инактивация микроорганизмов, обеззараживание воздуха.</t>
        </is>
      </c>
      <c r="I337" s="15" t="inlineStr">
        <is>
          <t>Прочее общебольничное оборудование; Оборудование и средства борьбы с внутрибольничной инфекцией; Оборудование для дезинфекции; Оборудование для стерилизации; Чистые помещения</t>
        </is>
      </c>
      <c r="J337" s="15" t="inlineStr">
        <is>
          <t>Производитель</t>
        </is>
      </c>
      <c r="K337" s="15" t="inlineStr">
        <is>
          <t>OK</t>
        </is>
      </c>
      <c r="L337" s="15" t="inlineStr">
        <is>
          <t>системы очистки и оборудование</t>
        </is>
      </c>
      <c r="M337" s="15" t="inlineStr">
        <is>
          <t>Аэролайф</t>
        </is>
      </c>
      <c r="N337" s="15" t="inlineStr">
        <is>
          <t>Здравоохранение-2025</t>
        </is>
      </c>
      <c r="O337" s="20" t="inlineStr">
        <is>
          <t>https://icatalog.expocentr.ru/ru/exhibitions/de590dc5-417d-11ee-80ce-a0d3c1fab97f</t>
        </is>
      </c>
    </row>
    <row r="338">
      <c r="A338" s="15" t="inlineStr">
        <is>
          <t>СТЕРИПРО, ООО</t>
        </is>
      </c>
      <c r="B338" s="15" t="inlineStr">
        <is>
          <t>5C035</t>
        </is>
      </c>
      <c r="C338" s="15" t="inlineStr">
        <is>
          <t>Россия</t>
        </is>
      </c>
      <c r="D338" s="15" t="inlineStr">
        <is>
          <t>Москва</t>
        </is>
      </c>
      <c r="E338" s="15" t="inlineStr">
        <is>
          <t>Россия, 117246, г. Москва, Научный пр-д, д. 10, пом. 3, комн. 312</t>
        </is>
      </c>
      <c r="F338" s="20" t="inlineStr">
        <is>
          <t>http://steri-pro.ru</t>
        </is>
      </c>
      <c r="G338" s="15" t="inlineStr">
        <is>
          <t>info@steri-pro.ru</t>
        </is>
      </c>
      <c r="H338" s="15" t="inlineStr">
        <is>
          <t>ООО «СтериПро» специализируется на производстве газовых этиленоксидных стерилизаторов, картриджей с оксидом этилена под маркой ETO-Gas, а также индикаторов контроля качества стерилизации.</t>
        </is>
      </c>
      <c r="I338" s="15" t="inlineStr">
        <is>
          <t>Оборудование для стерилизации; Средства контроля стерилизации</t>
        </is>
      </c>
      <c r="J338" s="15" t="inlineStr">
        <is>
          <t>Производитель</t>
        </is>
      </c>
      <c r="K338" s="15" t="inlineStr">
        <is>
          <t>OK</t>
        </is>
      </c>
      <c r="L338" s="15" t="inlineStr">
        <is>
          <t>стерилизаторы, картриджи и индикаторы</t>
        </is>
      </c>
      <c r="M338" s="15" t="inlineStr">
        <is>
          <t>Стерипро</t>
        </is>
      </c>
      <c r="N338" s="15" t="inlineStr">
        <is>
          <t>Здравоохранение-2025</t>
        </is>
      </c>
      <c r="O338" s="20" t="inlineStr">
        <is>
          <t>https://icatalog.expocentr.ru/ru/exhibitions/de590dc5-417d-11ee-80ce-a0d3c1fab97f</t>
        </is>
      </c>
    </row>
    <row r="339">
      <c r="A339" s="15" t="inlineStr">
        <is>
          <t>КРОНТ-М, АО</t>
        </is>
      </c>
      <c r="B339" s="21" t="n">
        <v>50000000000</v>
      </c>
      <c r="C339" s="15" t="inlineStr">
        <is>
          <t>Россия</t>
        </is>
      </c>
      <c r="D339" s="15" t="inlineStr">
        <is>
          <t>Химки</t>
        </is>
      </c>
      <c r="E339" s="15" t="inlineStr">
        <is>
          <t>Россия, 141402, Московская обл., г. Химки, ул. Спартаковская, д. 9, пом. 1</t>
        </is>
      </c>
      <c r="F339" s="20" t="inlineStr">
        <is>
          <t>http://www.kront.com</t>
        </is>
      </c>
      <c r="G339" s="15" t="inlineStr">
        <is>
          <t>info@kront.com</t>
        </is>
      </c>
      <c r="H339" s="15" t="inlineStr">
        <is>
          <t>АО «КРОНТ-М» является ведущим производителем медицинских изделий в России, более 30 лет на рынке. Производим ультрафиолетовые облучатели-рециркуляторы серии «ДЕЗАР». Преимущества — качество и надежность.</t>
        </is>
      </c>
      <c r="I339" s="15" t="inlineStr">
        <is>
          <t>Средства перевозки (перемещения) пациентов, оборудования и материалов; Прочее общебольничное оборудование; Оборудование и средства борьбы с внутрибольничной инфекцией; Оборудование для дезинфекции; Производство медицинских изделий; Эндоскопические комплексы и системы</t>
        </is>
      </c>
      <c r="J339" s="15" t="inlineStr">
        <is>
          <t>Производитель</t>
        </is>
      </c>
      <c r="K339" s="15" t="inlineStr">
        <is>
          <t>OK</t>
        </is>
      </c>
      <c r="L339" s="15" t="inlineStr">
        <is>
          <t>медицинские изделия и облучатели</t>
        </is>
      </c>
      <c r="M339" s="15" t="inlineStr">
        <is>
          <t>КРОНТ-М</t>
        </is>
      </c>
      <c r="N339" s="15" t="inlineStr">
        <is>
          <t>Здравоохранение-2025</t>
        </is>
      </c>
      <c r="O339" s="20" t="inlineStr">
        <is>
          <t>https://icatalog.expocentr.ru/ru/exhibitions/de590dc5-417d-11ee-80ce-a0d3c1fab97f</t>
        </is>
      </c>
    </row>
    <row r="340">
      <c r="A340" s="15" t="inlineStr">
        <is>
          <t>ЕВРОТАЙП РУС, ООО</t>
        </is>
      </c>
      <c r="B340" s="15" t="inlineStr">
        <is>
          <t>5C090</t>
        </is>
      </c>
      <c r="C340" s="15" t="inlineStr">
        <is>
          <t>Россия</t>
        </is>
      </c>
      <c r="D340" s="15" t="inlineStr">
        <is>
          <t>Москва</t>
        </is>
      </c>
      <c r="E340" s="15" t="inlineStr">
        <is>
          <t>Россия, 119334, г. Москва, вн. тер. г. м. о. Донской, 5-й Донской пр-д, д. 17, пом. 3/4</t>
        </is>
      </c>
      <c r="F340" s="20" t="inlineStr">
        <is>
          <t>http://www.eurotype.biz</t>
        </is>
      </c>
      <c r="G340" s="15" t="inlineStr">
        <is>
          <t>danilova@eurotype.biz</t>
        </is>
      </c>
      <c r="H340" s="15" t="inlineStr">
        <is>
          <t>Компания «ЕвроТайп Рус» является производителем и поставщиком расходных материалов медицинского назначения. Рулоны, пакеты для паровой, газовой, плазменной стерилизации и многое другое.</t>
        </is>
      </c>
      <c r="I340" s="15" t="inlineStr">
        <is>
          <t>Расходные материалы для медицинского оборудования</t>
        </is>
      </c>
      <c r="J340" s="15" t="inlineStr">
        <is>
          <t>Производитель</t>
        </is>
      </c>
      <c r="K340" s="15" t="inlineStr">
        <is>
          <t>OK</t>
        </is>
      </c>
      <c r="L340" s="15" t="inlineStr">
        <is>
          <t>расходные материалы, рулоны и пакеты</t>
        </is>
      </c>
      <c r="M340" s="15" t="inlineStr">
        <is>
          <t>Евротайп Рус</t>
        </is>
      </c>
      <c r="N340" s="15" t="inlineStr">
        <is>
          <t>Здравоохранение-2025</t>
        </is>
      </c>
      <c r="O340" s="20" t="inlineStr">
        <is>
          <t>https://icatalog.expocentr.ru/ru/exhibitions/de590dc5-417d-11ee-80ce-a0d3c1fab97f</t>
        </is>
      </c>
    </row>
    <row r="341">
      <c r="A341" s="15" t="inlineStr">
        <is>
          <t>САРАЯ СНГ, ООО</t>
        </is>
      </c>
      <c r="B341" s="15" t="inlineStr">
        <is>
          <t>5D040</t>
        </is>
      </c>
      <c r="C341" s="15" t="inlineStr">
        <is>
          <t>Россия</t>
        </is>
      </c>
      <c r="D341" s="15" t="inlineStr">
        <is>
          <t>Москва</t>
        </is>
      </c>
      <c r="E341" s="15" t="inlineStr">
        <is>
          <t>Россия, 115054, г. Москва, ул. Зацепа, д. 28, стр. 1</t>
        </is>
      </c>
      <c r="F341" s="20" t="inlineStr">
        <is>
          <t>http://www.saraya-cis.ru</t>
        </is>
      </c>
      <c r="G341" s="15" t="inlineStr">
        <is>
          <t>dernovaya@saraya-cis.ru</t>
        </is>
      </c>
      <c r="H341" s="15" t="inlineStr">
        <is>
          <t>Антисептики, дезинфицирующие салфетки, мыло, сенсорные дозаторы, СИЗ и многое другое — на стенде компании Saraya.</t>
        </is>
      </c>
      <c r="I341" s="15" t="inlineStr">
        <is>
          <t>Оборудование и средства борьбы с внутрибольничной инфекцией; Оборудование для дезинфекции; Средства химической дезинфекции и стерилизации; Дезинфицирующие средства и материалы; Гигиенические изделия для больниц</t>
        </is>
      </c>
      <c r="J341" s="15" t="inlineStr">
        <is>
          <t>Производитель</t>
        </is>
      </c>
      <c r="K341" s="15" t="inlineStr">
        <is>
          <t>OK</t>
        </is>
      </c>
      <c r="L341" s="15" t="inlineStr">
        <is>
          <t>антисептики, салфетки, мыло, дозаторы и СИЗ</t>
        </is>
      </c>
      <c r="M341" s="15" t="inlineStr">
        <is>
          <t>Сарая СНГ</t>
        </is>
      </c>
      <c r="N341" s="15" t="inlineStr">
        <is>
          <t>Здравоохранение-2025</t>
        </is>
      </c>
      <c r="O341" s="20" t="inlineStr">
        <is>
          <t>https://icatalog.expocentr.ru/ru/exhibitions/de590dc5-417d-11ee-80ce-a0d3c1fab97f</t>
        </is>
      </c>
    </row>
    <row r="342">
      <c r="A342" s="15" t="inlineStr">
        <is>
          <t>СМОЛЕНСКИЙ ЗАВОД МОРОЗИЛЬНИКОВ, ООО</t>
        </is>
      </c>
      <c r="B342" s="15" t="inlineStr">
        <is>
          <t>5A092</t>
        </is>
      </c>
      <c r="C342" s="15" t="inlineStr">
        <is>
          <t>Россия</t>
        </is>
      </c>
      <c r="D342" s="15" t="inlineStr">
        <is>
          <t>Смоленск</t>
        </is>
      </c>
      <c r="E342" s="15" t="inlineStr">
        <is>
          <t>Россия, 214000, г. Смоленск, ул. Докучаева, д. 11а, оф. А</t>
        </is>
      </c>
      <c r="F342" s="20" t="inlineStr">
        <is>
          <t>http://www.sfcrus.com</t>
        </is>
      </c>
      <c r="G342" s="15" t="inlineStr">
        <is>
          <t>cp@ctsrus.com</t>
        </is>
      </c>
      <c r="H342" s="15" t="inlineStr">
        <is>
          <t>Смоленский завод морозильников – российский производитель низкотемпературных иультранизкотемпературных устройств для лабораторий, медучреждений и промышленности.</t>
        </is>
      </c>
      <c r="I342" s="15" t="inlineStr">
        <is>
          <t>Прочее общебольничное оборудование; Аренда (лизинг) медицинского оборудования; Производство медицинских изделий; Лабораторное оборудование; Холодильники; ПЦР-диагностика</t>
        </is>
      </c>
      <c r="J342" s="15" t="inlineStr">
        <is>
          <t>Производитель</t>
        </is>
      </c>
      <c r="K342" s="15" t="inlineStr">
        <is>
          <t>OK</t>
        </is>
      </c>
      <c r="L342" s="15" t="inlineStr">
        <is>
          <t>морозильники, холодильники, оборудование</t>
        </is>
      </c>
      <c r="M342" s="15" t="inlineStr">
        <is>
          <t>Смоленский Завод Морозильников</t>
        </is>
      </c>
      <c r="N342" s="15" t="inlineStr">
        <is>
          <t>Здравоохранение-2025</t>
        </is>
      </c>
      <c r="O342" s="20" t="inlineStr">
        <is>
          <t>https://icatalog.expocentr.ru/ru/exhibitions/de590dc5-417d-11ee-80ce-a0d3c1fab97f</t>
        </is>
      </c>
    </row>
    <row r="343">
      <c r="A343" s="15" t="inlineStr">
        <is>
          <t>ЛАБОРАТОРНЫЕ РЕШЕНИЯ, ООО</t>
        </is>
      </c>
      <c r="B343" s="15" t="inlineStr">
        <is>
          <t>5C020</t>
        </is>
      </c>
      <c r="C343" s="15" t="inlineStr">
        <is>
          <t>Россия</t>
        </is>
      </c>
      <c r="D343" s="15" t="inlineStr">
        <is>
          <t>Барнаул</t>
        </is>
      </c>
      <c r="E343" s="15" t="inlineStr">
        <is>
          <t>Россия, 656037, Алтайский край, г. Барнаул, просп. Калинина, зд. 116/43</t>
        </is>
      </c>
      <c r="F343" s="15" t="inlineStr">
        <is>
          <t>http://www.лаб-решение.рф</t>
        </is>
      </c>
      <c r="G343" s="15" t="inlineStr">
        <is>
          <t>sales@lab-solution.ru</t>
        </is>
      </c>
      <c r="H343" s="15" t="inlineStr">
        <is>
          <t>Современные технологии в области гемостазиологии, широкая линейка приборов и наборов, а также сервис на высоком уровне. Миссия компании — оснащение лабораторий гемостаза любого уровня под ключ.</t>
        </is>
      </c>
      <c r="I343" s="15" t="inlineStr">
        <is>
          <t>Лабораторное оборудование; Анализаторы; Реагенты и расходные материалы для лабораторной диагностики; Гематология</t>
        </is>
      </c>
      <c r="J343" s="15" t="inlineStr">
        <is>
          <t>Поставщик услуг</t>
        </is>
      </c>
      <c r="K343" s="15" t="inlineStr">
        <is>
          <t>OK</t>
        </is>
      </c>
      <c r="L343" s="15" t="inlineStr">
        <is>
          <t>приборы, анализаторы, реагенты и материалы</t>
        </is>
      </c>
      <c r="M343" s="15" t="inlineStr">
        <is>
          <t>Лабораторные Решения</t>
        </is>
      </c>
      <c r="N343" s="15" t="inlineStr">
        <is>
          <t>Здравоохранение-2025</t>
        </is>
      </c>
      <c r="O343" s="20" t="inlineStr">
        <is>
          <t>https://icatalog.expocentr.ru/ru/exhibitions/de590dc5-417d-11ee-80ce-a0d3c1fab97f</t>
        </is>
      </c>
    </row>
    <row r="344">
      <c r="A344" s="15" t="inlineStr">
        <is>
          <t>МЕДИТЕК ЗНАМЯ ТРУДА, АО</t>
        </is>
      </c>
      <c r="B344" s="15" t="inlineStr">
        <is>
          <t>5C110</t>
        </is>
      </c>
      <c r="C344" s="15" t="inlineStr">
        <is>
          <t>Россия</t>
        </is>
      </c>
      <c r="D344" s="15" t="inlineStr">
        <is>
          <t>Санкт-Петербург</t>
        </is>
      </c>
      <c r="E344" s="15" t="inlineStr">
        <is>
          <t>Россия, 195027, г. Санкт-Петербург, ул. Магнитогорская, д. 11, литера А</t>
        </is>
      </c>
      <c r="F344" s="20" t="inlineStr">
        <is>
          <t>http://www.mediteczt.ru</t>
        </is>
      </c>
      <c r="G344" s="15" t="inlineStr">
        <is>
          <t>info@mediteczt.ru</t>
        </is>
      </c>
      <c r="H344" s="15" t="inlineStr">
        <is>
          <t>Мы разрабатываем, патентуем и производим изделия медицинского назначения(оборудование и расходные материалы).Эксклюзивный импортер изделий для биопсии (Италия).</t>
        </is>
      </c>
      <c r="I344" s="15" t="inlineStr">
        <is>
          <t>Оборудование для стерилизации; Перевязочные средства; Расходные материалы для медицинских приборов; Инструменты и принадлежности для инъекций  и взятия крови</t>
        </is>
      </c>
      <c r="J344" s="15" t="inlineStr">
        <is>
          <t>Производитель</t>
        </is>
      </c>
      <c r="K344" s="15" t="inlineStr">
        <is>
          <t>OK</t>
        </is>
      </c>
      <c r="L344" s="15" t="inlineStr">
        <is>
          <t>оборудование, расходные материалы, перевязочные средства и инструменты</t>
        </is>
      </c>
      <c r="M344" s="15" t="inlineStr">
        <is>
          <t>Медитек Знамя Труда</t>
        </is>
      </c>
      <c r="N344" s="15" t="inlineStr">
        <is>
          <t>Здравоохранение-2025</t>
        </is>
      </c>
      <c r="O344" s="20" t="inlineStr">
        <is>
          <t>https://icatalog.expocentr.ru/ru/exhibitions/de590dc5-417d-11ee-80ce-a0d3c1fab97f</t>
        </is>
      </c>
    </row>
    <row r="345">
      <c r="A345" s="15" t="inlineStr">
        <is>
          <t>ТИОН</t>
        </is>
      </c>
      <c r="B345" s="15" t="inlineStr">
        <is>
          <t>5D060</t>
        </is>
      </c>
      <c r="C345" s="15" t="inlineStr">
        <is>
          <t>Россия</t>
        </is>
      </c>
      <c r="D345" s="15" t="inlineStr">
        <is>
          <t>Бердск</t>
        </is>
      </c>
      <c r="E345" s="15" t="inlineStr">
        <is>
          <t>Россия, 633009, Новосибирская обл., г. Бердск, ул. Зеленая Роща, д. 7/1</t>
        </is>
      </c>
      <c r="F345" s="20" t="inlineStr">
        <is>
          <t>https://pro.tion.ru</t>
        </is>
      </c>
      <c r="G345" s="15" t="inlineStr">
        <is>
          <t>info@tion.info</t>
        </is>
      </c>
      <c r="H345" s="15" t="inlineStr">
        <is>
          <t>ГК «ТИОН» обеспечивает полный цикл создания профессионального оборудования для умной и энергоэффективной вентиляции, очистки и обеззараживания воздуха, а также инжиниринга комплексов чистых помещений.</t>
        </is>
      </c>
      <c r="I345" s="15" t="inlineStr">
        <is>
          <t>Оборудование и средства борьбы с внутрибольничной инфекцией; Чистые помещения; Проектирование и оснащение медицинских учреждений под ключ; Медицинский инжиниринг; Поставка медицинского оборудования и расходных материалов; Производство медицинских изделий</t>
        </is>
      </c>
      <c r="J345" s="15" t="inlineStr">
        <is>
          <t>Производитель</t>
        </is>
      </c>
      <c r="K345" s="15" t="inlineStr">
        <is>
          <t>OK</t>
        </is>
      </c>
      <c r="L345" s="15" t="inlineStr">
        <is>
          <t>оборудование, изделия и материалы</t>
        </is>
      </c>
      <c r="M345" s="15" t="inlineStr">
        <is>
          <t>Тион</t>
        </is>
      </c>
      <c r="N345" s="15" t="inlineStr">
        <is>
          <t>Здравоохранение-2025</t>
        </is>
      </c>
      <c r="O345" s="20" t="inlineStr">
        <is>
          <t>https://icatalog.expocentr.ru/ru/exhibitions/de590dc5-417d-11ee-80ce-a0d3c1fab97f</t>
        </is>
      </c>
    </row>
    <row r="346">
      <c r="A346" s="15" t="inlineStr">
        <is>
          <t>КОМПАНИЯ СТЛ, ООО</t>
        </is>
      </c>
      <c r="B346" s="15" t="inlineStr">
        <is>
          <t>5B001</t>
        </is>
      </c>
      <c r="C346" s="15" t="inlineStr">
        <is>
          <t>Россия</t>
        </is>
      </c>
      <c r="D346" s="15" t="inlineStr">
        <is>
          <t>Москва</t>
        </is>
      </c>
      <c r="E346" s="15" t="inlineStr">
        <is>
          <t>Россия, 109387, г. Москва, ул. Люблинская, д. 42, оф. 229</t>
        </is>
      </c>
      <c r="F346" s="20" t="inlineStr">
        <is>
          <t>http://www.stl-comp.ru</t>
        </is>
      </c>
      <c r="G346" s="15" t="inlineStr">
        <is>
          <t>info@stl-comp.ru</t>
        </is>
      </c>
      <c r="H346" s="15" t="inlineStr">
        <is>
          <t>Компания «СТЛ» является поставщиком медицинского оборудования, направленного на профилактику и лечение заболеваний опорно-двигательного аппарата, нервной системы, реабилитации после операций.</t>
        </is>
      </c>
      <c r="I346" s="15" t="inlineStr">
        <is>
          <t>Физиотерапия и реабилитация; Оборудование для магнитотерапии; Оборудование для комбинированной физиотерапии; Оборудование для радиоволновой и ультразвуковой терапии; Оборудование для эстетической медицины; Медицинские изделия для домашнего применения</t>
        </is>
      </c>
      <c r="J346" s="15" t="inlineStr">
        <is>
          <t>Дилер</t>
        </is>
      </c>
      <c r="K346" s="15" t="inlineStr">
        <is>
          <t>OK</t>
        </is>
      </c>
      <c r="L346" s="15" t="inlineStr">
        <is>
          <t>медицинское оборудование, изделия для домашнего применения</t>
        </is>
      </c>
      <c r="M346" s="15" t="inlineStr">
        <is>
          <t>Компания СТЛ</t>
        </is>
      </c>
      <c r="N346" s="15" t="inlineStr">
        <is>
          <t>Здравоохранение-2025</t>
        </is>
      </c>
      <c r="O346" s="20" t="inlineStr">
        <is>
          <t>https://icatalog.expocentr.ru/ru/exhibitions/de590dc5-417d-11ee-80ce-a0d3c1fab97f</t>
        </is>
      </c>
    </row>
    <row r="347">
      <c r="A347" s="15" t="inlineStr">
        <is>
          <t>ДЭЛЕКСА, ООО</t>
        </is>
      </c>
      <c r="B347" s="15" t="inlineStr">
        <is>
          <t>5B098</t>
        </is>
      </c>
      <c r="C347" s="15" t="inlineStr">
        <is>
          <t>Россия</t>
        </is>
      </c>
      <c r="D347" s="15" t="n"/>
      <c r="E347" s="15" t="inlineStr">
        <is>
          <t>Россия, 453010, Республика Башкортостан, Кармаскалинский р-н, дер. Улукулево, ул. Ленина, д. 7</t>
        </is>
      </c>
      <c r="F347" s="20" t="inlineStr">
        <is>
          <t>https://deleksa.ru</t>
        </is>
      </c>
      <c r="G347" s="15" t="inlineStr">
        <is>
          <t>daleksa-ufa@mail.ru</t>
        </is>
      </c>
      <c r="H347" s="15" t="inlineStr">
        <is>
          <t>ООО «ДЭЛЕКСА» — российский производитель дезинфицирующих и моющих средств, на рынке с 2011 года. Более 30 продуктов, собственная база, лаборатория и современное производство. Работаем по всей России.</t>
        </is>
      </c>
      <c r="I347" s="15" t="inlineStr">
        <is>
          <t>Средства контроля стерилизации; Средства химической дезинфекции и стерилизации; Дезинфицирующие средства и материалы</t>
        </is>
      </c>
      <c r="J347" s="15" t="inlineStr">
        <is>
          <t>Производитель</t>
        </is>
      </c>
      <c r="K347" s="15" t="inlineStr">
        <is>
          <t>OK</t>
        </is>
      </c>
      <c r="L347" s="15" t="inlineStr">
        <is>
          <t>дезинфицирующие средства, моющие средства и средства контроля стерилизации</t>
        </is>
      </c>
      <c r="M347" s="15" t="inlineStr">
        <is>
          <t>Дэлекса</t>
        </is>
      </c>
      <c r="N347" s="15" t="inlineStr">
        <is>
          <t>Здравоохранение-2025</t>
        </is>
      </c>
      <c r="O347" s="20" t="inlineStr">
        <is>
          <t>https://icatalog.expocentr.ru/ru/exhibitions/de590dc5-417d-11ee-80ce-a0d3c1fab97f</t>
        </is>
      </c>
    </row>
    <row r="348">
      <c r="A348" s="15" t="inlineStr">
        <is>
          <t>ХИМЛАБ, ООО</t>
        </is>
      </c>
      <c r="B348" s="15" t="inlineStr">
        <is>
          <t>5A020</t>
        </is>
      </c>
      <c r="C348" s="15" t="inlineStr">
        <is>
          <t>Россия</t>
        </is>
      </c>
      <c r="D348" s="15" t="inlineStr">
        <is>
          <t>Санкт-Петербург</t>
        </is>
      </c>
      <c r="E348" s="15" t="inlineStr">
        <is>
          <t>Россия, 190020, г. Санкт-Петербург, ул. Бумажная, д. 17, литера А, пом. 215</t>
        </is>
      </c>
      <c r="F348" s="20" t="inlineStr">
        <is>
          <t>http://www.sterius.ru</t>
        </is>
      </c>
      <c r="G348" s="15" t="inlineStr">
        <is>
          <t>sterius@mail.ru</t>
        </is>
      </c>
      <c r="H348" s="15" t="inlineStr">
        <is>
          <t>Российский производитель оборудования для обеззараживания медицинских отходов классов Б и В — микроволновых установок «Стериус», пресс-деструктора и измельчителя медицинских отходов «Бобёр».</t>
        </is>
      </c>
      <c r="I348" s="15" t="inlineStr">
        <is>
          <t>Оборудование и средства борьбы с внутрибольничной инфекцией; Оборудование для дезинфекции</t>
        </is>
      </c>
      <c r="J348" s="15" t="inlineStr">
        <is>
          <t>Производитель</t>
        </is>
      </c>
      <c r="K348" s="15" t="inlineStr">
        <is>
          <t>OK</t>
        </is>
      </c>
      <c r="L348" s="15" t="inlineStr">
        <is>
          <t>оборудование для обеззараживания, пресс-деструкторы и измельчители</t>
        </is>
      </c>
      <c r="M348" s="15" t="inlineStr">
        <is>
          <t>Химлаб</t>
        </is>
      </c>
      <c r="N348" s="15" t="inlineStr">
        <is>
          <t>Здравоохранение-2025</t>
        </is>
      </c>
      <c r="O348" s="20" t="inlineStr">
        <is>
          <t>https://icatalog.expocentr.ru/ru/exhibitions/de590dc5-417d-11ee-80ce-a0d3c1fab97f</t>
        </is>
      </c>
    </row>
    <row r="349">
      <c r="A349" s="15" t="inlineStr">
        <is>
          <t>ЛИТ НПО, ООО</t>
        </is>
      </c>
      <c r="B349" s="15" t="inlineStr">
        <is>
          <t>5B065</t>
        </is>
      </c>
      <c r="C349" s="15" t="inlineStr">
        <is>
          <t>Россия</t>
        </is>
      </c>
      <c r="D349" s="15" t="inlineStr">
        <is>
          <t>Москва</t>
        </is>
      </c>
      <c r="E349" s="15" t="inlineStr">
        <is>
          <t>Россия, 129090, г. Москва, Протопоповский пер., д. 25, корп. Б, этаж 4, пом. I, комн. 30</t>
        </is>
      </c>
      <c r="F349" s="20" t="inlineStr">
        <is>
          <t>https://www.lit-uv.ru</t>
        </is>
      </c>
      <c r="G349" s="15" t="inlineStr">
        <is>
          <t>lit@lit-uv.ru</t>
        </is>
      </c>
      <c r="H349" s="15" t="inlineStr">
        <is>
          <t>НПО «ЛИТ» разрабатывает и производит медицинское УФ-оборудование и является одной из ведущих компаний на российском и мировом рынке систем УФ-обеззараживания.</t>
        </is>
      </c>
      <c r="I349" s="15" t="inlineStr">
        <is>
          <t>Оборудование и средства борьбы с внутрибольничной инфекцией; Оборудование для дезинфекции; Чистые помещения; Проектирование, производство, монтаж, валидация чистых операционных и реанимационных; Проектирование и оснащение медицинских учреждений под ключ; Оборудование для медицинских газов</t>
        </is>
      </c>
      <c r="J349" s="15" t="inlineStr">
        <is>
          <t>Производитель</t>
        </is>
      </c>
      <c r="K349" s="15" t="inlineStr">
        <is>
          <t>OK</t>
        </is>
      </c>
      <c r="L349" s="15" t="inlineStr">
        <is>
          <t>УФ-оборудование, средства борьбы с инфекцией и оборудование для газов</t>
        </is>
      </c>
      <c r="M349" s="15" t="inlineStr">
        <is>
          <t>Лит НПО</t>
        </is>
      </c>
      <c r="N349" s="15" t="inlineStr">
        <is>
          <t>Здравоохранение-2025</t>
        </is>
      </c>
      <c r="O349" s="20" t="inlineStr">
        <is>
          <t>https://icatalog.expocentr.ru/ru/exhibitions/de590dc5-417d-11ee-80ce-a0d3c1fab97f</t>
        </is>
      </c>
    </row>
    <row r="350">
      <c r="A350" s="15" t="inlineStr">
        <is>
          <t>РИТЕЙЛСНАБ, ООО</t>
        </is>
      </c>
      <c r="B350" s="15" t="inlineStr">
        <is>
          <t>5A014</t>
        </is>
      </c>
      <c r="C350" s="15" t="inlineStr">
        <is>
          <t>Россия</t>
        </is>
      </c>
      <c r="D350" s="15" t="inlineStr">
        <is>
          <t>Красноармейск</t>
        </is>
      </c>
      <c r="E350" s="15" t="inlineStr">
        <is>
          <t>Россия, 141290, Московская обл., г. Красноармейск, г. о. Пушкинский, ул. Чкалова, д. 3</t>
        </is>
      </c>
      <c r="F350" s="20" t="inlineStr">
        <is>
          <t>http://flexfresh.ru</t>
        </is>
      </c>
      <c r="G350" s="15" t="inlineStr">
        <is>
          <t>ma@flexfresh.ru</t>
        </is>
      </c>
      <c r="H350" s="15" t="inlineStr">
        <is>
          <t>«РитейлСнаб» является производителем бытовой химии, дезинфицирующих средств и средств госпитальной гигиены на территории России. Оптовая и розничная продажа моющих и чистящих средств от производителя.</t>
        </is>
      </c>
      <c r="I350" s="15" t="inlineStr">
        <is>
          <t>Средства для чистки и детергенты; Дезинфицирующие средства и материалы; Одноразовые медицинские изделия прочие; Средства личной гигиены; Средства для личной гигиены и ухода</t>
        </is>
      </c>
      <c r="J350" s="15" t="inlineStr">
        <is>
          <t>Производитель</t>
        </is>
      </c>
      <c r="K350" s="15" t="inlineStr">
        <is>
          <t>OK</t>
        </is>
      </c>
      <c r="L350" s="15" t="inlineStr">
        <is>
          <t>бытовая химия, дезинфицирующие средства, моющие и чистящие средства, и медицинские изделия</t>
        </is>
      </c>
      <c r="M350" s="15" t="inlineStr">
        <is>
          <t>Ритейлснаб</t>
        </is>
      </c>
      <c r="N350" s="15" t="inlineStr">
        <is>
          <t>Здравоохранение-2025</t>
        </is>
      </c>
      <c r="O350" s="20" t="inlineStr">
        <is>
          <t>https://icatalog.expocentr.ru/ru/exhibitions/de590dc5-417d-11ee-80ce-a0d3c1fab97f</t>
        </is>
      </c>
    </row>
    <row r="351">
      <c r="A351" s="15" t="inlineStr">
        <is>
          <t>НАБЛЮДАТЕЛЬНЫЕ ПРИБОРЫ, ООО</t>
        </is>
      </c>
      <c r="B351" s="15" t="inlineStr">
        <is>
          <t>5B085</t>
        </is>
      </c>
      <c r="C351" s="15" t="inlineStr">
        <is>
          <t>Россия</t>
        </is>
      </c>
      <c r="D351" s="15" t="inlineStr">
        <is>
          <t>Санкт-Петербург</t>
        </is>
      </c>
      <c r="E351" s="15" t="inlineStr">
        <is>
          <t>Россия, 194021, г. Санкт-Петербург, вн. тер. г. м. о. Пискарёвка, ул. Новороссийская, д. 53, литера Б, пом. 74</t>
        </is>
      </c>
      <c r="F351" s="20" t="inlineStr">
        <is>
          <t>https://micromed-spb.ru</t>
        </is>
      </c>
      <c r="G351" s="15" t="inlineStr">
        <is>
          <t>info@micromed-spb.ru</t>
        </is>
      </c>
      <c r="H351" s="15" t="inlineStr">
        <is>
          <t>«Микромед» – надежный бренд микроскопов и аксессуаров, на рынке с 2008 г. Микроскопы отвечают всем современным требованиям, сервисный центр имеет лицензию Минздрава. Товары в наличии на складах в Москве и СПб.</t>
        </is>
      </c>
      <c r="I351" s="15" t="inlineStr">
        <is>
          <t>Лабораторное оборудование; Микроскопы</t>
        </is>
      </c>
      <c r="J351" s="15" t="inlineStr">
        <is>
          <t>Производитель</t>
        </is>
      </c>
      <c r="K351" s="15" t="inlineStr">
        <is>
          <t>OK</t>
        </is>
      </c>
      <c r="L351" s="15" t="inlineStr">
        <is>
          <t>микроскопы и аксессуары</t>
        </is>
      </c>
      <c r="M351" s="15" t="inlineStr">
        <is>
          <t>Наблюдательные Приборы</t>
        </is>
      </c>
      <c r="N351" s="15" t="inlineStr">
        <is>
          <t>Здравоохранение-2025</t>
        </is>
      </c>
      <c r="O351" s="20" t="inlineStr">
        <is>
          <t>https://icatalog.expocentr.ru/ru/exhibitions/de590dc5-417d-11ee-80ce-a0d3c1fab97f</t>
        </is>
      </c>
    </row>
    <row r="352">
      <c r="A352" s="15" t="inlineStr">
        <is>
          <t>ЛКС</t>
        </is>
      </c>
      <c r="B352" s="15" t="inlineStr">
        <is>
          <t>5B134</t>
        </is>
      </c>
      <c r="C352" s="15" t="inlineStr">
        <is>
          <t>Россия</t>
        </is>
      </c>
      <c r="D352" s="15" t="inlineStr">
        <is>
          <t>Москва</t>
        </is>
      </c>
      <c r="E352" s="15" t="inlineStr">
        <is>
          <t>Россия, г. Москва, ул. 1-я Фрезерная, д. 2/1, стр. 41</t>
        </is>
      </c>
      <c r="F352" s="20" t="inlineStr">
        <is>
          <t>http://www.lks.ru</t>
        </is>
      </c>
      <c r="G352" s="15" t="inlineStr">
        <is>
          <t>lks@lks.ru</t>
        </is>
      </c>
      <c r="H352" s="15" t="inlineStr">
        <is>
          <t>Биомедицинские морозильные камеры DAIHAN® (Южная Корея) с РУ (от -95 °C, wi-fi, контроль через приложение для Android и iOs). Лабораторное оборудование и мебель от ведущих мировых производителей. Полное сопровождение сделок по 44-ФЗ, 223-ФЗ, коммерческим закупкам. Поставка, сборка, монтаж, пусконаладка, валидация (IQ/OQ), поддержка и сервис по всей России. Выставочный зал в Москве. Приглашаем дилеров. Работаем с 2001 года.</t>
        </is>
      </c>
      <c r="I352" s="15" t="inlineStr">
        <is>
          <t>Прочее общебольничное оборудование; Холодильники; Лабораторная мебель; Прочие изделия для лабораторий; Оборудование для заготовки и хранения донорской крови и ее компонентов; Оборудование для банков крови</t>
        </is>
      </c>
      <c r="J352" s="15" t="inlineStr">
        <is>
          <t>Дилер</t>
        </is>
      </c>
      <c r="K352" s="15" t="inlineStr">
        <is>
          <t>OK</t>
        </is>
      </c>
      <c r="L352" s="15" t="inlineStr">
        <is>
          <t>морозильные камеры, оборудование и мебель</t>
        </is>
      </c>
      <c r="M352" s="15" t="inlineStr">
        <is>
          <t>ЛКС</t>
        </is>
      </c>
      <c r="N352" s="15" t="inlineStr">
        <is>
          <t>Здравоохранение-2025</t>
        </is>
      </c>
      <c r="O352" s="20" t="inlineStr">
        <is>
          <t>https://icatalog.expocentr.ru/ru/exhibitions/de590dc5-417d-11ee-80ce-a0d3c1fab97f</t>
        </is>
      </c>
    </row>
    <row r="353">
      <c r="A353" s="15" t="inlineStr">
        <is>
          <t>АМС МЕДИКАЛ, ООО</t>
        </is>
      </c>
      <c r="B353" s="21" t="n">
        <v>5e+30</v>
      </c>
      <c r="C353" s="15" t="inlineStr">
        <is>
          <t>Россия</t>
        </is>
      </c>
      <c r="D353" s="15" t="inlineStr">
        <is>
          <t>Казань</t>
        </is>
      </c>
      <c r="E353" s="15" t="inlineStr">
        <is>
          <t>Россия, 420061, Республика Татарстан, г. Казань, ул. Сеченова, д. 19Б, пом. 212Б</t>
        </is>
      </c>
      <c r="F353" s="20" t="inlineStr">
        <is>
          <t>http://www.ams-medical.ru</t>
        </is>
      </c>
      <c r="G353" s="15" t="inlineStr">
        <is>
          <t>info@ams-medical.ru</t>
        </is>
      </c>
      <c r="H353" s="15" t="inlineStr">
        <is>
          <t>ООО «АМС Медикал» – производитель и поставщик термозапаивающих машин. Ваш надежный партнер в сфере профессионального оборудования для стерилизации.</t>
        </is>
      </c>
      <c r="I353" s="15" t="inlineStr">
        <is>
          <t>Оборудование для дезинфекции; Оборудование для стерилизации; Медицинская упаковка; Дезинфицирующие средства и материалы</t>
        </is>
      </c>
      <c r="J353" s="15" t="inlineStr">
        <is>
          <t>Производитель</t>
        </is>
      </c>
      <c r="K353" s="15" t="inlineStr">
        <is>
          <t>OK</t>
        </is>
      </c>
      <c r="L353" s="15" t="inlineStr">
        <is>
          <t>термозапаивающие машины, оборудование для стерилизации, медицинская упаковка и дезинфицирующие средства</t>
        </is>
      </c>
      <c r="M353" s="15" t="inlineStr">
        <is>
          <t>АМС Медикал</t>
        </is>
      </c>
      <c r="N353" s="15" t="inlineStr">
        <is>
          <t>Здравоохранение-2025</t>
        </is>
      </c>
      <c r="O353" s="20" t="inlineStr">
        <is>
          <t>https://icatalog.expocentr.ru/ru/exhibitions/de590dc5-417d-11ee-80ce-a0d3c1fab97f</t>
        </is>
      </c>
    </row>
    <row r="354">
      <c r="A354" s="15" t="inlineStr">
        <is>
          <t>РАСТЕР, ООО</t>
        </is>
      </c>
      <c r="B354" s="15" t="inlineStr">
        <is>
          <t>5C132</t>
        </is>
      </c>
      <c r="C354" s="15" t="inlineStr">
        <is>
          <t>Россия</t>
        </is>
      </c>
      <c r="D354" s="15" t="inlineStr">
        <is>
          <t>Екатеринбург</t>
        </is>
      </c>
      <c r="E354" s="15" t="inlineStr">
        <is>
          <t>Россия, г. Екатеринбург, ул. Ключевская, д. 15</t>
        </is>
      </c>
      <c r="F354" s="20" t="inlineStr">
        <is>
          <t>http://www.raster.ru</t>
        </is>
      </c>
      <c r="G354" s="15" t="inlineStr">
        <is>
          <t>hello@raster.ru</t>
        </is>
      </c>
      <c r="H354" s="15" t="inlineStr">
        <is>
          <t>Производство дезинфицирующих средств и кожных антисептиков, оборудования для обработки воздуха. Оказание услуг по дезинфекции, дезинсекции, дератизации и деструкции воздуха.</t>
        </is>
      </c>
      <c r="I354" s="15" t="inlineStr">
        <is>
          <t>Оборудование и средства борьбы с внутрибольничной инфекцией; Средства химической дезинфекции и стерилизации; Средства для чистки и детергенты; Дезинфицирующие средства и материалы; Производство медицинских изделий</t>
        </is>
      </c>
      <c r="J354" s="15" t="inlineStr">
        <is>
          <t>Производитель</t>
        </is>
      </c>
      <c r="K354" s="15" t="inlineStr">
        <is>
          <t>OK</t>
        </is>
      </c>
      <c r="L354" s="15" t="inlineStr">
        <is>
          <t>дезинфицирующие средства, антисептики и оборудование</t>
        </is>
      </c>
      <c r="M354" s="15" t="inlineStr">
        <is>
          <t>Растер</t>
        </is>
      </c>
      <c r="N354" s="15" t="inlineStr">
        <is>
          <t>Здравоохранение-2025</t>
        </is>
      </c>
      <c r="O354" s="20" t="inlineStr">
        <is>
          <t>https://icatalog.expocentr.ru/ru/exhibitions/de590dc5-417d-11ee-80ce-a0d3c1fab97f</t>
        </is>
      </c>
    </row>
    <row r="355">
      <c r="A355" s="15" t="inlineStr">
        <is>
          <t>БИРЮЗА, ООО</t>
        </is>
      </c>
      <c r="B355" s="15" t="inlineStr">
        <is>
          <t>5B080</t>
        </is>
      </c>
      <c r="C355" s="15" t="inlineStr">
        <is>
          <t>Россия</t>
        </is>
      </c>
      <c r="D355" s="15" t="inlineStr">
        <is>
          <t>Тольятти</t>
        </is>
      </c>
      <c r="E355" s="15" t="inlineStr">
        <is>
          <t>Россия, 445054, Самарская обл., г. Тольятти, ул. Горького, д. 57, кв. 90</t>
        </is>
      </c>
      <c r="F355" s="20" t="inlineStr">
        <is>
          <t>http://biryuza-med.com</t>
        </is>
      </c>
      <c r="G355" s="15" t="inlineStr">
        <is>
          <t>biryuza163@mail.ru</t>
        </is>
      </c>
      <c r="H355" s="15" t="inlineStr">
        <is>
          <t>Производство и продажа эффективных дезинфицирующих средств, соответствующих высоким стандартам качества и выпускаемых по самым современным технологиям.</t>
        </is>
      </c>
      <c r="I355" s="15" t="inlineStr">
        <is>
          <t>Дезинфицирующие средства и материалы; Производство медицинских изделий</t>
        </is>
      </c>
      <c r="J355" s="15" t="inlineStr">
        <is>
          <t>Производитель</t>
        </is>
      </c>
      <c r="K355" s="15" t="inlineStr">
        <is>
          <t>OK</t>
        </is>
      </c>
      <c r="L355" s="15" t="inlineStr">
        <is>
          <t>дезинфицирующие средства и материалы, медицинские изделия</t>
        </is>
      </c>
      <c r="M355" s="15" t="inlineStr">
        <is>
          <t>Бирюза</t>
        </is>
      </c>
      <c r="N355" s="15" t="inlineStr">
        <is>
          <t>Здравоохранение-2025</t>
        </is>
      </c>
      <c r="O355" s="20" t="inlineStr">
        <is>
          <t>https://icatalog.expocentr.ru/ru/exhibitions/de590dc5-417d-11ee-80ce-a0d3c1fab97f</t>
        </is>
      </c>
    </row>
    <row r="356">
      <c r="A356" s="15" t="inlineStr">
        <is>
          <t>ВЛАДХИМПРОМ, ООО</t>
        </is>
      </c>
      <c r="B356" s="15" t="inlineStr">
        <is>
          <t>5D110</t>
        </is>
      </c>
      <c r="C356" s="15" t="inlineStr">
        <is>
          <t>Россия</t>
        </is>
      </c>
      <c r="D356" s="15" t="inlineStr">
        <is>
          <t>Тольятти</t>
        </is>
      </c>
      <c r="E356" s="15" t="inlineStr">
        <is>
          <t>Россия, 445007, Самарская обл., г. Тольятти, ул. Ларина, д. 145, оф. 7</t>
        </is>
      </c>
      <c r="F356" s="20" t="inlineStr">
        <is>
          <t>http://vladhimprom.com</t>
        </is>
      </c>
      <c r="G356" s="15" t="inlineStr">
        <is>
          <t>vladhimprom@mail.ru</t>
        </is>
      </c>
      <c r="H356" s="15" t="inlineStr">
        <is>
          <t>Производитель профессиональных дезинфицирующих средств.</t>
        </is>
      </c>
      <c r="I356" s="15" t="inlineStr">
        <is>
          <t>Оборудование для стерилизации; Средства контроля стерилизации; Средства химической дезинфекции и стерилизации; Дезинфицирующие средства и материалы</t>
        </is>
      </c>
      <c r="J356" s="15" t="inlineStr">
        <is>
          <t>Производитель</t>
        </is>
      </c>
      <c r="K356" s="15" t="inlineStr">
        <is>
          <t>OK</t>
        </is>
      </c>
      <c r="L356" s="15" t="inlineStr">
        <is>
          <t>оборудование для стерилизации, средства контроля стерилизации и дезинфицирующие средства</t>
        </is>
      </c>
      <c r="M356" s="15" t="inlineStr">
        <is>
          <t>Владхимпром</t>
        </is>
      </c>
      <c r="N356" s="15" t="inlineStr">
        <is>
          <t>Здравоохранение-2025</t>
        </is>
      </c>
      <c r="O356" s="20" t="inlineStr">
        <is>
          <t>https://icatalog.expocentr.ru/ru/exhibitions/de590dc5-417d-11ee-80ce-a0d3c1fab97f</t>
        </is>
      </c>
    </row>
    <row r="357">
      <c r="A357" s="15" t="inlineStr">
        <is>
          <t>СМТРАСТ, ООО</t>
        </is>
      </c>
      <c r="B357" s="15" t="inlineStr">
        <is>
          <t>5A060</t>
        </is>
      </c>
      <c r="C357" s="15" t="inlineStr">
        <is>
          <t>Россия</t>
        </is>
      </c>
      <c r="D357" s="15" t="inlineStr">
        <is>
          <t>Москва</t>
        </is>
      </c>
      <c r="E357" s="15" t="inlineStr">
        <is>
          <t>Россия, 109202, г. Москва, вн. тер. г. м. о. Нижегородский, ул. 2-я Карачаровская, д. 1, стр. 1, пом. 1Н/2</t>
        </is>
      </c>
      <c r="F357" s="20" t="inlineStr">
        <is>
          <t>http://www.smtrust.ru</t>
        </is>
      </c>
      <c r="G357" s="15" t="inlineStr">
        <is>
          <t>info@smtrust.ru</t>
        </is>
      </c>
      <c r="H357" s="15" t="inlineStr">
        <is>
          <t>«СМТраст» — поставщик товаров для гистологических лабораторий. Сегодня мы продолжаем осуществлять поставки продукции итальянской компании DiaPath. Оптимальные цены и сроки! Непрерывность обслуживания.</t>
        </is>
      </c>
      <c r="I357" s="15" t="inlineStr">
        <is>
          <t>Оборудование для патологоанатомических отделений; Лабораторное оборудование; Окрашивающие автоматы; Лабораторная мебель; Реагенты и расходные материалы для лабораторной диагностики; Генетика и молекулярная генетика; Онкология; Цитохимия</t>
        </is>
      </c>
      <c r="J357" s="15" t="inlineStr">
        <is>
          <t>Дилер</t>
        </is>
      </c>
      <c r="K357" s="15" t="inlineStr">
        <is>
          <t>OK</t>
        </is>
      </c>
      <c r="L357" s="15" t="inlineStr">
        <is>
          <t>оборудование, мебель, реагенты и материалы</t>
        </is>
      </c>
      <c r="M357" s="15" t="inlineStr">
        <is>
          <t>Смтраст</t>
        </is>
      </c>
      <c r="N357" s="15" t="inlineStr">
        <is>
          <t>Здравоохранение-2025</t>
        </is>
      </c>
      <c r="O357" s="20" t="inlineStr">
        <is>
          <t>https://icatalog.expocentr.ru/ru/exhibitions/de590dc5-417d-11ee-80ce-a0d3c1fab97f</t>
        </is>
      </c>
    </row>
    <row r="358">
      <c r="A358" s="15" t="inlineStr">
        <is>
          <t>ТОРИМЕД, ООО</t>
        </is>
      </c>
      <c r="B358" s="15" t="inlineStr">
        <is>
          <t>5D010</t>
        </is>
      </c>
      <c r="C358" s="15" t="inlineStr">
        <is>
          <t>Россия</t>
        </is>
      </c>
      <c r="D358" s="15" t="inlineStr">
        <is>
          <t>Раменское</t>
        </is>
      </c>
      <c r="E358" s="15" t="inlineStr">
        <is>
          <t>Россия, 140100, Московская обл., г. Раменское, ул. Карла Маркса, д. 5, комн. 13</t>
        </is>
      </c>
      <c r="F358" s="20" t="inlineStr">
        <is>
          <t>http://www.torimed.ru</t>
        </is>
      </c>
      <c r="G358" s="15" t="inlineStr">
        <is>
          <t>info@torimed.ru</t>
        </is>
      </c>
      <c r="H358" s="15" t="inlineStr">
        <is>
          <t>«ТориМед» — ведущая компания с собственным производственным комплексом и многолетним опытом. Широкий ассортимент нашей продукции премиального качества используется по всей стране на протяжении 15 лет.</t>
        </is>
      </c>
      <c r="I358" s="15" t="inlineStr">
        <is>
          <t>Средства химической дезинфекции и стерилизации; Средства для чистки и детергенты; Дезинфицирующие средства и материалы; Расходные материалы для медицинских приборов; Эндоскопы жесткие; Эндоскопы гибкие</t>
        </is>
      </c>
      <c r="J358" s="15" t="inlineStr">
        <is>
          <t>Производитель</t>
        </is>
      </c>
      <c r="K358" s="15" t="inlineStr">
        <is>
          <t>OK</t>
        </is>
      </c>
      <c r="L358" s="15" t="inlineStr">
        <is>
          <t>средства дезинфекции, детергенты и эндоскопы</t>
        </is>
      </c>
      <c r="M358" s="15" t="inlineStr">
        <is>
          <t>Торимед</t>
        </is>
      </c>
      <c r="N358" s="15" t="inlineStr">
        <is>
          <t>Здравоохранение-2025</t>
        </is>
      </c>
      <c r="O358" s="20" t="inlineStr">
        <is>
          <t>https://icatalog.expocentr.ru/ru/exhibitions/de590dc5-417d-11ee-80ce-a0d3c1fab97f</t>
        </is>
      </c>
    </row>
    <row r="359">
      <c r="A359" s="15" t="inlineStr">
        <is>
          <t>ПОТОК ИНТЕР, НПФ, ООO</t>
        </is>
      </c>
      <c r="B359" s="15" t="inlineStr">
        <is>
          <t>5B025</t>
        </is>
      </c>
      <c r="C359" s="15" t="inlineStr">
        <is>
          <t>Россия</t>
        </is>
      </c>
      <c r="D359" s="15" t="inlineStr">
        <is>
          <t>Москва</t>
        </is>
      </c>
      <c r="E359" s="15" t="inlineStr">
        <is>
          <t>Россия, 115162, г. Москва, ул. Хавская, д. 18, корп. 2</t>
        </is>
      </c>
      <c r="F359" s="20" t="inlineStr">
        <is>
          <t>http://www.potok.com</t>
        </is>
      </c>
      <c r="G359" s="15" t="inlineStr">
        <is>
          <t>post@potok.com</t>
        </is>
      </c>
      <c r="H359" s="15" t="inlineStr">
        <is>
          <t>Производство оборудования по обеззараживанию воздуха для борьбы с инфекциями, связанными с оказанием медицинской помощи по российской патентованной технологии «Поток».</t>
        </is>
      </c>
      <c r="I359" s="15" t="inlineStr">
        <is>
          <t>Оборудование и средства борьбы с внутрибольничной инфекцией; Оборудование для дезинфекции; Производство медицинских изделий</t>
        </is>
      </c>
      <c r="J359" s="15" t="inlineStr">
        <is>
          <t>Производитель</t>
        </is>
      </c>
      <c r="K359" s="15" t="inlineStr">
        <is>
          <t>OK</t>
        </is>
      </c>
      <c r="L359" s="15" t="inlineStr">
        <is>
          <t>оборудование и медицинские изделия</t>
        </is>
      </c>
      <c r="M359" s="15" t="inlineStr">
        <is>
          <t>Поток Интер</t>
        </is>
      </c>
      <c r="N359" s="15" t="inlineStr">
        <is>
          <t>Здравоохранение-2025</t>
        </is>
      </c>
      <c r="O359" s="20" t="inlineStr">
        <is>
          <t>https://icatalog.expocentr.ru/ru/exhibitions/de590dc5-417d-11ee-80ce-a0d3c1fab97f</t>
        </is>
      </c>
    </row>
    <row r="360">
      <c r="A360" s="15" t="inlineStr">
        <is>
          <t>ДЕЗНЭТ, ООО</t>
        </is>
      </c>
      <c r="B360" s="15" t="inlineStr">
        <is>
          <t>5B095</t>
        </is>
      </c>
      <c r="C360" s="15" t="inlineStr">
        <is>
          <t>Россия</t>
        </is>
      </c>
      <c r="D360" s="15" t="inlineStr">
        <is>
          <t>Москва</t>
        </is>
      </c>
      <c r="E360" s="15" t="inlineStr">
        <is>
          <t>Россия, 115516, г. Москва, Кавказский б-р, д. 60, стр. 1</t>
        </is>
      </c>
      <c r="F360" s="20" t="inlineStr">
        <is>
          <t>http://www.deznet.ru</t>
        </is>
      </c>
      <c r="G360" s="15" t="inlineStr">
        <is>
          <t>info@deznet.ru</t>
        </is>
      </c>
      <c r="H360" s="15" t="inlineStr">
        <is>
          <t>ООО «ДЕЗНЭТ» — российский производитель дезинфицирующих средств. 20 лет на рынке. Преимущества компании — доступность выбора, высокое качество продукции, широкий ассортимент. Полная поддержка клиентов на всех этапах сотрудничества.</t>
        </is>
      </c>
      <c r="I360" s="15" t="inlineStr">
        <is>
          <t>Средства химической дезинфекции и стерилизации; Дезинфицирующие средства и материалы; Гигиенические изделия для больниц</t>
        </is>
      </c>
      <c r="J360" s="15" t="inlineStr">
        <is>
          <t>Производитель</t>
        </is>
      </c>
      <c r="K360" s="15" t="inlineStr">
        <is>
          <t>OK</t>
        </is>
      </c>
      <c r="L360" s="15" t="inlineStr">
        <is>
          <t>дезинфицирующие средства, материалы и гигиенические изделия</t>
        </is>
      </c>
      <c r="M360" s="15" t="inlineStr">
        <is>
          <t>Дезнэт</t>
        </is>
      </c>
      <c r="N360" s="15" t="inlineStr">
        <is>
          <t>Здравоохранение-2025</t>
        </is>
      </c>
      <c r="O360" s="20" t="inlineStr">
        <is>
          <t>https://icatalog.expocentr.ru/ru/exhibitions/de590dc5-417d-11ee-80ce-a0d3c1fab97f</t>
        </is>
      </c>
    </row>
    <row r="361">
      <c r="A361" s="15" t="inlineStr">
        <is>
          <t>МЕЛИУС, Группа Компаний</t>
        </is>
      </c>
      <c r="B361" s="15" t="inlineStr">
        <is>
          <t>5C120</t>
        </is>
      </c>
      <c r="C361" s="15" t="inlineStr">
        <is>
          <t>Россия</t>
        </is>
      </c>
      <c r="D361" s="15" t="inlineStr">
        <is>
          <t>Москва</t>
        </is>
      </c>
      <c r="E361" s="15" t="inlineStr">
        <is>
          <t>Россия, 125124, г. Москва, вн. тер. г. м. о. Беговой, ул. 3-я Ямского Поля, д. 2, корп. 26</t>
        </is>
      </c>
      <c r="F361" s="20" t="inlineStr">
        <is>
          <t>http://www.melius-team.ru</t>
        </is>
      </c>
      <c r="G361" s="15" t="inlineStr">
        <is>
          <t>medical@melius-ltd.ru</t>
        </is>
      </c>
      <c r="H361" s="15" t="inlineStr">
        <is>
          <t>«МЕЛИУС» — группа компаний, оснащающих социально значимые предприятия. Мы поставляем современное оборудование и комплексные решения для медицины, HoReCa и научно-исследовательских лабораторий.</t>
        </is>
      </c>
      <c r="I361" s="15" t="inlineStr">
        <is>
          <t>Оборудование для прачечных; Оборудование для пищеблока; Системы утилизации отходов; Оборудование для дезинфекции; Оборудование для стерилизации; Средства химической дезинфекции и стерилизации</t>
        </is>
      </c>
      <c r="J361" s="15" t="inlineStr">
        <is>
          <t>Дилер</t>
        </is>
      </c>
      <c r="K361" s="15" t="inlineStr">
        <is>
          <t>OK</t>
        </is>
      </c>
      <c r="L361" s="15" t="inlineStr">
        <is>
          <t>оборудование, системы утилизации и химические средства</t>
        </is>
      </c>
      <c r="M361" s="15" t="inlineStr">
        <is>
          <t>Мелиус</t>
        </is>
      </c>
      <c r="N361" s="15" t="inlineStr">
        <is>
          <t>Здравоохранение-2025</t>
        </is>
      </c>
      <c r="O361" s="20" t="inlineStr">
        <is>
          <t>https://icatalog.expocentr.ru/ru/exhibitions/de590dc5-417d-11ee-80ce-a0d3c1fab97f</t>
        </is>
      </c>
    </row>
    <row r="362">
      <c r="A362" s="15" t="inlineStr">
        <is>
          <t>ЗПТ Москва, ООО</t>
        </is>
      </c>
      <c r="B362" s="15" t="inlineStr">
        <is>
          <t>5C010</t>
        </is>
      </c>
      <c r="C362" s="15" t="inlineStr">
        <is>
          <t>Россия</t>
        </is>
      </c>
      <c r="D362" s="15" t="inlineStr">
        <is>
          <t>Одинцово</t>
        </is>
      </c>
      <c r="E362" s="15" t="inlineStr">
        <is>
          <t>Россия, 143005, Московская обл., г. Одинцово, ул. Вокзальная, д. 51а, пом. 21</t>
        </is>
      </c>
      <c r="F362" s="20" t="inlineStr">
        <is>
          <t>http://zpt-medicall.ru</t>
        </is>
      </c>
      <c r="G362" s="15" t="inlineStr">
        <is>
          <t>info@zpt-medicall.ru</t>
        </is>
      </c>
      <c r="H362" s="15" t="inlineStr">
        <is>
          <t>Проектируем, производим и поставляем системы палатной сигнализации ZPT Medicall для больниц и поликлиник.</t>
        </is>
      </c>
      <c r="I362" s="15" t="inlineStr">
        <is>
          <t>IT-инфраструктура / компьютерное оборудование / системы mHealth; Системы eHealth, телемедицина; Информационные системы администрирования / программное обеспечение; Медицинские информационные системы / программные решения; Коммуникационные системы</t>
        </is>
      </c>
      <c r="J362" s="15" t="inlineStr">
        <is>
          <t>Производитель</t>
        </is>
      </c>
      <c r="K362" s="15" t="inlineStr">
        <is>
          <t>OK</t>
        </is>
      </c>
      <c r="L362" s="15" t="inlineStr">
        <is>
          <t>системы сигнализации</t>
        </is>
      </c>
      <c r="M362" s="15" t="inlineStr">
        <is>
          <t>ЗПТ Москва</t>
        </is>
      </c>
      <c r="N362" s="15" t="inlineStr">
        <is>
          <t>Здравоохранение-2025</t>
        </is>
      </c>
      <c r="O362" s="20" t="inlineStr">
        <is>
          <t>https://icatalog.expocentr.ru/ru/exhibitions/de590dc5-417d-11ee-80ce-a0d3c1fab97f</t>
        </is>
      </c>
    </row>
    <row r="363">
      <c r="A363" s="15" t="inlineStr">
        <is>
          <t>НЕВОХИМ</t>
        </is>
      </c>
      <c r="B363" s="15" t="inlineStr">
        <is>
          <t>5C075</t>
        </is>
      </c>
      <c r="C363" s="15" t="inlineStr">
        <is>
          <t>Россия</t>
        </is>
      </c>
      <c r="D363" s="15" t="inlineStr">
        <is>
          <t>Санкт-Петербург</t>
        </is>
      </c>
      <c r="E363" s="15" t="inlineStr">
        <is>
          <t>Россия, г. Санкт-Петербург</t>
        </is>
      </c>
      <c r="F363" s="20" t="inlineStr">
        <is>
          <t>http://www.nevohim.com</t>
        </is>
      </c>
      <c r="G363" s="15" t="inlineStr">
        <is>
          <t>info@nevohim.com</t>
        </is>
      </c>
      <c r="H363" s="15" t="inlineStr">
        <is>
          <t>Производство дезинфицирующих средств ТМ «ДЕЗЗПОЙНТ»: для очистки поверхностей в лечебных учреждениях, гигиенической обработки рук персонала. Сухие и влажные салфетки для уборки и дезинфекции.</t>
        </is>
      </c>
      <c r="I363" s="15" t="inlineStr">
        <is>
          <t>Дезинфицирующие средства и материалы; Гигиенические изделия для больниц; Одноразовые медицинские изделия прочие; Расходные материалы для медицинского оборудования</t>
        </is>
      </c>
      <c r="J363" s="15" t="inlineStr">
        <is>
          <t>Производитель</t>
        </is>
      </c>
      <c r="K363" s="15" t="inlineStr">
        <is>
          <t>OK</t>
        </is>
      </c>
      <c r="L363" s="15" t="inlineStr">
        <is>
          <t>дезинфицирующие средства, салфетки и гигиенические изделия</t>
        </is>
      </c>
      <c r="M363" s="15" t="inlineStr">
        <is>
          <t>Невохим</t>
        </is>
      </c>
      <c r="N363" s="15" t="inlineStr">
        <is>
          <t>Здравоохранение-2025</t>
        </is>
      </c>
      <c r="O363" s="20" t="inlineStr">
        <is>
          <t>https://icatalog.expocentr.ru/ru/exhibitions/de590dc5-417d-11ee-80ce-a0d3c1fab97f</t>
        </is>
      </c>
    </row>
    <row r="364">
      <c r="A364" s="15" t="inlineStr">
        <is>
          <t>РАМТЭК, ООО</t>
        </is>
      </c>
      <c r="B364" s="15" t="inlineStr">
        <is>
          <t>5A016</t>
        </is>
      </c>
      <c r="C364" s="15" t="inlineStr">
        <is>
          <t>Россия</t>
        </is>
      </c>
      <c r="D364" s="15" t="inlineStr">
        <is>
          <t>Москва</t>
        </is>
      </c>
      <c r="E364" s="15" t="inlineStr">
        <is>
          <t>Россия, 123060, г. Москва, ул. Маршала Соколовского, д. 3</t>
        </is>
      </c>
      <c r="F364" s="20" t="inlineStr">
        <is>
          <t>http://www.ramtec.ru</t>
        </is>
      </c>
      <c r="G364" s="15" t="inlineStr">
        <is>
          <t>info@ramtec.ru</t>
        </is>
      </c>
      <c r="H364" s="15" t="inlineStr">
        <is>
          <t>Компания «Рамтэк» эксклюзивно поставляет медицинское оборудование для дезинфекции и стерилизации, моющие и дезинфицирующие средства от передовых производителей Sodel, Franklab, Eurotab, Aort и другие.</t>
        </is>
      </c>
      <c r="I364" s="15" t="inlineStr">
        <is>
          <t>Оборудование для дезинфекции; Оборудование для стерилизации; Средства химической дезинфекции и стерилизации; Средства для чистки и детергенты; Дезинфицирующие средства и материалы</t>
        </is>
      </c>
      <c r="J364" s="15" t="inlineStr">
        <is>
          <t>Дилер</t>
        </is>
      </c>
      <c r="K364" s="15" t="inlineStr">
        <is>
          <t>OK</t>
        </is>
      </c>
      <c r="L364" s="15" t="inlineStr">
        <is>
          <t>медицинское оборудование, моющие, дезинфицирующие и стерилизационные средства</t>
        </is>
      </c>
      <c r="M364" s="15" t="inlineStr">
        <is>
          <t>РАМТЭК</t>
        </is>
      </c>
      <c r="N364" s="15" t="inlineStr">
        <is>
          <t>Здравоохранение-2025</t>
        </is>
      </c>
      <c r="O364" s="20" t="inlineStr">
        <is>
          <t>https://icatalog.expocentr.ru/ru/exhibitions/de590dc5-417d-11ee-80ce-a0d3c1fab97f</t>
        </is>
      </c>
    </row>
    <row r="365">
      <c r="A365" s="15" t="inlineStr">
        <is>
          <t>АВРОРА СЕРВИС, ООО</t>
        </is>
      </c>
      <c r="B365" s="15" t="inlineStr">
        <is>
          <t>5A115</t>
        </is>
      </c>
      <c r="C365" s="15" t="inlineStr">
        <is>
          <t>Россия</t>
        </is>
      </c>
      <c r="D365" s="15" t="inlineStr">
        <is>
          <t>Москва</t>
        </is>
      </c>
      <c r="E365" s="15" t="inlineStr">
        <is>
          <t>Россия, 117393, г. Москва, ул. Архитектора Власова, д. 33</t>
        </is>
      </c>
      <c r="F365" s="20" t="inlineStr">
        <is>
          <t>https://hemostar.ru</t>
        </is>
      </c>
      <c r="G365" s="15" t="inlineStr">
        <is>
          <t>med@avrora-lab.com</t>
        </is>
      </c>
      <c r="H365" s="15" t="inlineStr">
        <is>
          <t>Компания «АВРОРА СЕРВИС» предлагает анализаторы гликированного гемоглобина HbA1C «ГЕМОСТАР». Анализаторы «ГЕМОСТАР-2» и «ГЕМОСТАР-6» разрабатывались с целью обеспечения оптимального соотношения цена — качество.</t>
        </is>
      </c>
      <c r="I365" s="15" t="inlineStr">
        <is>
          <t>Лабораторное оборудование; Анализаторы; Хроматографы</t>
        </is>
      </c>
      <c r="J365" s="15" t="inlineStr">
        <is>
          <t>Производитель</t>
        </is>
      </c>
      <c r="K365" s="15" t="inlineStr">
        <is>
          <t>OK</t>
        </is>
      </c>
      <c r="L365" s="15" t="inlineStr">
        <is>
          <t>анализаторы, хроматографы и лабораторное оборудование</t>
        </is>
      </c>
      <c r="M365" s="15" t="inlineStr">
        <is>
          <t>Аврора Сервис</t>
        </is>
      </c>
      <c r="N365" s="15" t="inlineStr">
        <is>
          <t>Здравоохранение-2025</t>
        </is>
      </c>
      <c r="O365" s="20" t="inlineStr">
        <is>
          <t>https://icatalog.expocentr.ru/ru/exhibitions/de590dc5-417d-11ee-80ce-a0d3c1fab97f</t>
        </is>
      </c>
    </row>
    <row r="366">
      <c r="A366" s="15" t="inlineStr">
        <is>
          <t>ЭУР-МЕД ДЕНТАЛДЕПО, АО</t>
        </is>
      </c>
      <c r="B366" s="15" t="inlineStr">
        <is>
          <t>5D070</t>
        </is>
      </c>
      <c r="C366" s="15" t="inlineStr">
        <is>
          <t>Россия</t>
        </is>
      </c>
      <c r="D366" s="15" t="inlineStr">
        <is>
          <t>Апрелевка</t>
        </is>
      </c>
      <c r="E366" s="15" t="inlineStr">
        <is>
          <t>Россия, 143360, Московская обл., г. Апрелевка, Наро-Фоминский р-н, ул. Октябрьская, д. 9</t>
        </is>
      </c>
      <c r="F366" s="20" t="inlineStr">
        <is>
          <t>http://www.eurmed.ru</t>
        </is>
      </c>
      <c r="G366" s="15" t="inlineStr">
        <is>
          <t>info@eurmed.ru</t>
        </is>
      </c>
      <c r="H366" s="15" t="inlineStr">
        <is>
          <t>Компания «ЭУР-МЕД Денталдепо» основана в 1995 году; является официальным и эксклюзивным дистрибьютором производителя китайских медицинских автоклавов класса В — ICANCLAVE (РУ на весь ассортимент).</t>
        </is>
      </c>
      <c r="I366" s="15" t="inlineStr">
        <is>
          <t>Стоматологическое оборудование и инструменты; Зуботехническое оборудование и инструменты; Материалы для реставрации зубов; Оборудование и средства борьбы с внутрибольничной инфекцией; Оборудование для дезинфекции; Оборудование для стерилизации</t>
        </is>
      </c>
      <c r="J366" s="15" t="inlineStr">
        <is>
          <t>Дилер</t>
        </is>
      </c>
      <c r="K366" s="15" t="inlineStr">
        <is>
          <t>OK</t>
        </is>
      </c>
      <c r="L366" s="15" t="inlineStr">
        <is>
          <t>оборудование, инструменты, материалы и автоклавы</t>
        </is>
      </c>
      <c r="M366" s="15" t="inlineStr">
        <is>
          <t>Эур-Мед Денталдепо</t>
        </is>
      </c>
      <c r="N366" s="15" t="inlineStr">
        <is>
          <t>Здравоохранение-2025</t>
        </is>
      </c>
      <c r="O366" s="20" t="inlineStr">
        <is>
          <t>https://icatalog.expocentr.ru/ru/exhibitions/de590dc5-417d-11ee-80ce-a0d3c1fab97f</t>
        </is>
      </c>
    </row>
    <row r="367">
      <c r="A367" s="15" t="inlineStr">
        <is>
          <t>РУМЭКС МЕДИКАЛ, ООО</t>
        </is>
      </c>
      <c r="B367" s="15" t="inlineStr">
        <is>
          <t>5B040</t>
        </is>
      </c>
      <c r="C367" s="15" t="inlineStr">
        <is>
          <t>Россия</t>
        </is>
      </c>
      <c r="D367" s="15" t="inlineStr">
        <is>
          <t>Москва</t>
        </is>
      </c>
      <c r="E367" s="15" t="inlineStr">
        <is>
          <t>Россия, 123592, г. Москва, ул. Кулакова, д. 20, стр. 1Б, пом. IV, комн. 15-17, 33</t>
        </is>
      </c>
      <c r="F367" s="20" t="inlineStr">
        <is>
          <t>http://www.rumex.ru</t>
        </is>
      </c>
      <c r="G367" s="15" t="inlineStr">
        <is>
          <t>info@rumex.ru</t>
        </is>
      </c>
      <c r="H367" s="15" t="inlineStr">
        <is>
          <t>Поставщик медицинского оборудования и расходных материалов ведущих мировых производителей. Дистрибьютор плазменных стерилизаторов Sterlink (Plasmapp Co. Ltd., Южная Корея) – стерилизация от 7 минут.</t>
        </is>
      </c>
      <c r="I367" s="15" t="inlineStr">
        <is>
          <t>Оборудование для дезинфекции; Оборудование для стерилизации; Дезинфицирующие средства и материалы</t>
        </is>
      </c>
      <c r="J367" s="15" t="inlineStr">
        <is>
          <t>Дилер</t>
        </is>
      </c>
      <c r="K367" s="15" t="inlineStr">
        <is>
          <t>OK</t>
        </is>
      </c>
      <c r="L367" s="15" t="inlineStr">
        <is>
          <t>медицинское оборудование, расходные материалы, дезинфицирующие средства и материалы</t>
        </is>
      </c>
      <c r="M367" s="15" t="inlineStr">
        <is>
          <t>Румэкс Медикал</t>
        </is>
      </c>
      <c r="N367" s="15" t="inlineStr">
        <is>
          <t>Здравоохранение-2025</t>
        </is>
      </c>
      <c r="O367" s="20" t="inlineStr">
        <is>
          <t>https://icatalog.expocentr.ru/ru/exhibitions/de590dc5-417d-11ee-80ce-a0d3c1fab97f</t>
        </is>
      </c>
    </row>
    <row r="368">
      <c r="A368" s="15" t="inlineStr">
        <is>
          <t>МЕД ТЕКО, ООО</t>
        </is>
      </c>
      <c r="B368" s="15" t="inlineStr">
        <is>
          <t>5C040</t>
        </is>
      </c>
      <c r="C368" s="15" t="inlineStr">
        <is>
          <t>Россия</t>
        </is>
      </c>
      <c r="D368" s="15" t="inlineStr">
        <is>
          <t>Мытищи</t>
        </is>
      </c>
      <c r="E368" s="15" t="inlineStr">
        <is>
          <t>Россия, 141009, Московская обл., г. Мытищи, Олимпийский просп., д. 16, корп. 2</t>
        </is>
      </c>
      <c r="F368" s="20" t="inlineStr">
        <is>
          <t>http://www.medteco.ru</t>
        </is>
      </c>
      <c r="G368" s="15" t="inlineStr">
        <is>
          <t>mrkt2@medteco.ru</t>
        </is>
      </c>
      <c r="H368" s="15" t="inlineStr">
        <is>
          <t>«Мед ТеКо» — российский разработчик и производитель медицинской техники, на рынке с 2001 года. Три направления: физиотерапия, стерилизация, дезинфекция воздуха. Продукция имеет РУ РЗН и сертификаты ИСО 9001, 13485.</t>
        </is>
      </c>
      <c r="I368" s="15" t="inlineStr">
        <is>
          <t>Оборудование для дезинфекции; Оборудование для стерилизации; Физиотерапия и реабилитация; Оборудование для комбинированной физиотерапии; Эндоскопические комплексы и системы; Плазменные хирургические аппараты</t>
        </is>
      </c>
      <c r="J368" s="15" t="inlineStr">
        <is>
          <t>Производитель</t>
        </is>
      </c>
      <c r="K368" s="15" t="inlineStr">
        <is>
          <t>OK</t>
        </is>
      </c>
      <c r="L368" s="15" t="inlineStr">
        <is>
          <t>оборудование для дезинфекции, оборудование для стерилизации, аппараты для физиотерапии, эндоскопические системы и плазменные аппараты</t>
        </is>
      </c>
      <c r="M368" s="15" t="inlineStr">
        <is>
          <t>Мед Теко</t>
        </is>
      </c>
      <c r="N368" s="15" t="inlineStr">
        <is>
          <t>Здравоохранение-2025</t>
        </is>
      </c>
      <c r="O368" s="20" t="inlineStr">
        <is>
          <t>https://icatalog.expocentr.ru/ru/exhibitions/de590dc5-417d-11ee-80ce-a0d3c1fab97f</t>
        </is>
      </c>
    </row>
    <row r="369">
      <c r="A369" s="15" t="inlineStr">
        <is>
          <t>КЛИФФ МЕДИКАЛ, ООО</t>
        </is>
      </c>
      <c r="B369" s="15" t="inlineStr">
        <is>
          <t>5B003</t>
        </is>
      </c>
      <c r="C369" s="15" t="inlineStr">
        <is>
          <t>Россия</t>
        </is>
      </c>
      <c r="D369" s="15" t="inlineStr">
        <is>
          <t>Москва</t>
        </is>
      </c>
      <c r="E369" s="15" t="inlineStr">
        <is>
          <t>Россия, 121170, г. Москва, Кутузовский просп., д. 36, стр. 3</t>
        </is>
      </c>
      <c r="F369" s="20" t="inlineStr">
        <is>
          <t>https://cliffmedical.com</t>
        </is>
      </c>
      <c r="G369" s="15" t="inlineStr">
        <is>
          <t>cliff@cliff.ru</t>
        </is>
      </c>
      <c r="H369" s="15" t="inlineStr">
        <is>
          <t>Cliff Medical сопровождает регистрацию медицинских изделий в Росздравнадзоре на всех этапах — написание документов, испытания, работа с запросами РЗН. Надежный партнер на пути к РУ!</t>
        </is>
      </c>
      <c r="I369" s="15" t="inlineStr">
        <is>
          <t>Стоматологическое оборудование и инструменты; Одноразовые медицинские изделия прочие; Производство медицинских изделий; Лабораторное оборудование; Реагенты и расходные материалы для лабораторной диагностики; Ортопедическое оборудование и инструменты</t>
        </is>
      </c>
      <c r="J369" s="15" t="inlineStr">
        <is>
          <t>Поставщик услуг</t>
        </is>
      </c>
      <c r="K369" s="15" t="inlineStr">
        <is>
          <t>OK</t>
        </is>
      </c>
      <c r="L369" s="15" t="inlineStr">
        <is>
          <t>оборудование, инструменты, реагенты, расходные материалы и изделия</t>
        </is>
      </c>
      <c r="M369" s="15" t="inlineStr">
        <is>
          <t>Клифф Медикал</t>
        </is>
      </c>
      <c r="N369" s="15" t="inlineStr">
        <is>
          <t>Здравоохранение-2025</t>
        </is>
      </c>
      <c r="O369" s="20" t="inlineStr">
        <is>
          <t>https://icatalog.expocentr.ru/ru/exhibitions/de590dc5-417d-11ee-80ce-a0d3c1fab97f</t>
        </is>
      </c>
    </row>
    <row r="370">
      <c r="A370" s="15" t="inlineStr">
        <is>
          <t>ЕЛАТОМСКИЙ ПРИБОРНЫЙ ЗАВОД, АО — ЕЛАМЕД</t>
        </is>
      </c>
      <c r="B370" s="15" t="inlineStr">
        <is>
          <t>5B115</t>
        </is>
      </c>
      <c r="C370" s="15" t="inlineStr">
        <is>
          <t>Россия</t>
        </is>
      </c>
      <c r="D370" s="15" t="n"/>
      <c r="E370" s="15" t="inlineStr">
        <is>
          <t>Россия, 391351, Рязанская обл., м. о. Касимовский, р. п. Елатьма, ул. Янина, д. 25</t>
        </is>
      </c>
      <c r="F370" s="20" t="inlineStr">
        <is>
          <t>http://www.lpu.elamed.com</t>
        </is>
      </c>
      <c r="G370" s="15" t="inlineStr">
        <is>
          <t>lpu@lpu.elamed.com</t>
        </is>
      </c>
      <c r="H370" s="15" t="inlineStr">
        <is>
          <t>Основанная в 1980 году компания «ЕЛАМЕД» – один из лидеров по производству медицинской техники и продукции для комплексного оснащения лечебных учреждений.</t>
        </is>
      </c>
      <c r="I370" s="15" t="inlineStr">
        <is>
          <t>Медицинская мебель; Оборудование для дезинфекции; Инструменты и принадлежности для инъекций  и взятия крови; Проектирование и оснащение медицинских учреждений под ключ; Производство медицинских изделий; Оборудование для магнитотерапии</t>
        </is>
      </c>
      <c r="J370" s="15" t="inlineStr">
        <is>
          <t>Производитель</t>
        </is>
      </c>
      <c r="K370" s="15" t="inlineStr">
        <is>
          <t>OK</t>
        </is>
      </c>
      <c r="L370" s="15" t="inlineStr">
        <is>
          <t>мебель, инструменты, оборудование и изделия</t>
        </is>
      </c>
      <c r="M370" s="15" t="inlineStr">
        <is>
          <t>Еламед</t>
        </is>
      </c>
      <c r="N370" s="15" t="inlineStr">
        <is>
          <t>Здравоохранение-2025</t>
        </is>
      </c>
      <c r="O370" s="20" t="inlineStr">
        <is>
          <t>https://icatalog.expocentr.ru/ru/exhibitions/de590dc5-417d-11ee-80ce-a0d3c1fab97f</t>
        </is>
      </c>
    </row>
    <row r="371">
      <c r="A371" s="15" t="inlineStr">
        <is>
          <t>АНАС, ООО</t>
        </is>
      </c>
      <c r="B371" s="15" t="inlineStr">
        <is>
          <t>5A110</t>
        </is>
      </c>
      <c r="C371" s="15" t="inlineStr">
        <is>
          <t>Россия</t>
        </is>
      </c>
      <c r="D371" s="15" t="inlineStr">
        <is>
          <t>Москва</t>
        </is>
      </c>
      <c r="E371" s="15" t="inlineStr">
        <is>
          <t>Россия, 115035, г. Москва, вн. тер. г. м. о. Замоскворечье, ул. Садовническая, д. 20, стр. 24</t>
        </is>
      </c>
      <c r="F371" s="20" t="inlineStr">
        <is>
          <t>https://anas.ru</t>
        </is>
      </c>
      <c r="G371" s="15" t="inlineStr">
        <is>
          <t>info@anas.ru</t>
        </is>
      </c>
      <c r="H371" s="15" t="inlineStr">
        <is>
          <t>ООО «АНАС» с 2000 года поставляет в Россию медицинское и стоматологическое оборудование. Мы предлагаем высококачественную сертифицированную продукцию и услуги собственного сервисного центра.</t>
        </is>
      </c>
      <c r="I371" s="15" t="inlineStr">
        <is>
          <t>Стоматологическое оборудование и инструменты; Системы и инструменты для дентальной имплантации; Материалы и инструменты для костной пластики и челюстно-лицевой хирургии; Оборудование и средства борьбы с внутрибольничной инфекцией; Оборудование для дезинфекции; Дезинфицирующие средства и материалы</t>
        </is>
      </c>
      <c r="J371" s="15" t="inlineStr">
        <is>
          <t>Дилер</t>
        </is>
      </c>
      <c r="K371" s="15" t="inlineStr">
        <is>
          <t>OK</t>
        </is>
      </c>
      <c r="L371" s="15" t="inlineStr">
        <is>
          <t>оборудование, инструменты, материалы, средства</t>
        </is>
      </c>
      <c r="M371" s="15" t="inlineStr">
        <is>
          <t>Анас</t>
        </is>
      </c>
      <c r="N371" s="15" t="inlineStr">
        <is>
          <t>Здравоохранение-2025</t>
        </is>
      </c>
      <c r="O371" s="20" t="inlineStr">
        <is>
          <t>https://icatalog.expocentr.ru/ru/exhibitions/de590dc5-417d-11ee-80ce-a0d3c1fab97f</t>
        </is>
      </c>
    </row>
    <row r="372">
      <c r="A372" s="15" t="inlineStr">
        <is>
          <t>КОССМЕД</t>
        </is>
      </c>
      <c r="B372" s="15" t="inlineStr">
        <is>
          <t>5B025</t>
        </is>
      </c>
      <c r="C372" s="15" t="inlineStr">
        <is>
          <t>Россия</t>
        </is>
      </c>
      <c r="D372" s="15" t="inlineStr">
        <is>
          <t>Москва</t>
        </is>
      </c>
      <c r="E372" s="15" t="inlineStr">
        <is>
          <t>Россия, 115487, г. Москва, ул. Садовники, д. 2</t>
        </is>
      </c>
      <c r="F372" s="20" t="inlineStr">
        <is>
          <t>http://kossmed.ru</t>
        </is>
      </c>
      <c r="G372" s="15" t="inlineStr">
        <is>
          <t>koss@kossmed.ru</t>
        </is>
      </c>
      <c r="H372" s="15" t="inlineStr">
        <is>
          <t>Производство высокотехнологичного медицинского оборудования и комплексных решений для чистых помещений, востребованных в медицине, фармацевтике и в других отраслях с высокими требованиями к чистоте.</t>
        </is>
      </c>
      <c r="I372" s="15" t="inlineStr">
        <is>
          <t>Оборудование для лечения онкологических заболеваний; Оборудование для пищеблока; Прочее общебольничное оборудование; Оборудование и средства борьбы с внутрибольничной инфекцией; Производство медицинских изделий</t>
        </is>
      </c>
      <c r="J372" s="15" t="inlineStr">
        <is>
          <t>Производитель</t>
        </is>
      </c>
      <c r="K372" s="15" t="inlineStr">
        <is>
          <t>OK</t>
        </is>
      </c>
      <c r="L372" s="15" t="inlineStr">
        <is>
          <t>медицинское оборудование, изделия, средства</t>
        </is>
      </c>
      <c r="M372" s="15" t="inlineStr">
        <is>
          <t>Коссмед</t>
        </is>
      </c>
      <c r="N372" s="15" t="inlineStr">
        <is>
          <t>Здравоохранение-2025</t>
        </is>
      </c>
      <c r="O372" s="20" t="inlineStr">
        <is>
          <t>https://icatalog.expocentr.ru/ru/exhibitions/de590dc5-417d-11ee-80ce-a0d3c1fab97f</t>
        </is>
      </c>
    </row>
    <row r="373">
      <c r="A373" s="15" t="inlineStr">
        <is>
          <t>ИЭК ХОЛДИНГ, АО</t>
        </is>
      </c>
      <c r="B373" s="15" t="inlineStr">
        <is>
          <t>5B014</t>
        </is>
      </c>
      <c r="C373" s="15" t="inlineStr">
        <is>
          <t>Россия</t>
        </is>
      </c>
      <c r="D373" s="15" t="inlineStr">
        <is>
          <t>Подольск</t>
        </is>
      </c>
      <c r="E373" s="15" t="inlineStr">
        <is>
          <t>Россия, 142100, Московская обл., г. Подольск, просп. Ленина, д. 107/49, оф. 457</t>
        </is>
      </c>
      <c r="F373" s="20" t="inlineStr">
        <is>
          <t>http://www.iek.ru</t>
        </is>
      </c>
      <c r="G373" s="15" t="inlineStr">
        <is>
          <t>info@iek.ru</t>
        </is>
      </c>
      <c r="H373" s="15" t="inlineStr">
        <is>
          <t>IEK GROUP поставляет комплексные решения в сфере электротехнического оборудования для оснащения медучреждений: операционных, процедурных, физиотерапевтических кабинетов. Гарантирует надежность и безопасность.</t>
        </is>
      </c>
      <c r="I373" s="15" t="inlineStr">
        <is>
          <t>Осветительные приборы; Прочее общебольничное оборудование; Проектирование, производство, монтаж, валидация чистых операционных и реанимационных; Экологические чистые отделочные и строительные материалы; Комплектующие для производства медицинских изделий</t>
        </is>
      </c>
      <c r="J373" s="15" t="inlineStr">
        <is>
          <t>Производитель</t>
        </is>
      </c>
      <c r="K373" s="15" t="inlineStr">
        <is>
          <t>OK</t>
        </is>
      </c>
      <c r="L373" s="15" t="inlineStr">
        <is>
          <t>электрооборудование, осветительные приборы, строительные материалы и комплектующие</t>
        </is>
      </c>
      <c r="M373" s="15" t="inlineStr">
        <is>
          <t>ИЭК Холдинг</t>
        </is>
      </c>
      <c r="N373" s="15" t="inlineStr">
        <is>
          <t>Здравоохранение-2025</t>
        </is>
      </c>
      <c r="O373" s="20" t="inlineStr">
        <is>
          <t>https://icatalog.expocentr.ru/ru/exhibitions/de590dc5-417d-11ee-80ce-a0d3c1fab97f</t>
        </is>
      </c>
    </row>
    <row r="374">
      <c r="A374" s="15" t="inlineStr">
        <is>
          <t>КЕМПЛАНТ, ООО</t>
        </is>
      </c>
      <c r="B374" s="15" t="inlineStr">
        <is>
          <t>5A045</t>
        </is>
      </c>
      <c r="C374" s="15" t="inlineStr">
        <is>
          <t>Россия</t>
        </is>
      </c>
      <c r="D374" s="15" t="inlineStr">
        <is>
          <t>Новоалтайск</t>
        </is>
      </c>
      <c r="E374" s="15" t="inlineStr">
        <is>
          <t>Россия, 658087, Алтайский край, г. Новоалтайск, ул. Октябренок, зд. 81</t>
        </is>
      </c>
      <c r="F374" s="20" t="inlineStr">
        <is>
          <t>http://www.chemplant.farm</t>
        </is>
      </c>
      <c r="G374" s="15" t="inlineStr">
        <is>
          <t>kovinko_ns@chemplant.farm</t>
        </is>
      </c>
      <c r="H374" s="15" t="inlineStr">
        <is>
          <t>Компания «КемПлант» — российская производственная компания, занимающаяся производством профессиональных дезинфицирующих средств и бытовой химии. Преимущество компании — высокое качество продукции.</t>
        </is>
      </c>
      <c r="I374" s="15" t="inlineStr">
        <is>
          <t>Дезинфицирующие средства и материалы; Расходные материалы для медицинского оборудования; Медицинские порталы; Медицинские газеты и журналы</t>
        </is>
      </c>
      <c r="J374" s="15" t="inlineStr">
        <is>
          <t>Производитель</t>
        </is>
      </c>
      <c r="K374" s="15" t="inlineStr">
        <is>
          <t>OK</t>
        </is>
      </c>
      <c r="L374" s="15" t="inlineStr">
        <is>
          <t>дезинфицирующие средства, бытовая химия и расходные материалы</t>
        </is>
      </c>
      <c r="M374" s="15" t="inlineStr">
        <is>
          <t>Кемплант</t>
        </is>
      </c>
      <c r="N374" s="15" t="inlineStr">
        <is>
          <t>Здравоохранение-2025</t>
        </is>
      </c>
      <c r="O374" s="20" t="inlineStr">
        <is>
          <t>https://icatalog.expocentr.ru/ru/exhibitions/de590dc5-417d-11ee-80ce-a0d3c1fab97f</t>
        </is>
      </c>
    </row>
    <row r="375">
      <c r="A375" s="15" t="inlineStr">
        <is>
          <t>МЕДИЦИНСКИЕ ТЕХНОЛОГИИ, ООО</t>
        </is>
      </c>
      <c r="B375" s="15" t="inlineStr">
        <is>
          <t>5B130</t>
        </is>
      </c>
      <c r="C375" s="15" t="inlineStr">
        <is>
          <t>Россия</t>
        </is>
      </c>
      <c r="D375" s="15" t="inlineStr">
        <is>
          <t>Москва</t>
        </is>
      </c>
      <c r="E375" s="15" t="inlineStr">
        <is>
          <t>Россия, 108811, г. Москва, вн. тер. г. м. о. Солнцево, Киевское ш., 22-й км, д. 4, стр. 2, этаж 2, оф. 375Г</t>
        </is>
      </c>
      <c r="F375" s="20" t="inlineStr">
        <is>
          <t>https://allergychip.ru</t>
        </is>
      </c>
      <c r="G375" s="15" t="inlineStr">
        <is>
          <t>proallergychip@yandex.ru</t>
        </is>
      </c>
      <c r="H375" s="15" t="inlineStr">
        <is>
          <t>Компания ООО «Медицинские технологии» осуществила трансфер европейской методики для высококачественной in vitro-диагностики аллергии, первый российский аллергочип ProAllergy (РЗН 2024/23841).</t>
        </is>
      </c>
      <c r="I375" s="15" t="inlineStr">
        <is>
          <t>Дерматология; Аллергология; Иммунология</t>
        </is>
      </c>
      <c r="J375" s="15" t="inlineStr">
        <is>
          <t>Производитель</t>
        </is>
      </c>
      <c r="K375" s="15" t="inlineStr">
        <is>
          <t>OK</t>
        </is>
      </c>
      <c r="L375" s="15" t="inlineStr">
        <is>
          <t>аллергочипы</t>
        </is>
      </c>
      <c r="M375" s="15" t="inlineStr">
        <is>
          <t>Медицинские Технологии</t>
        </is>
      </c>
      <c r="N375" s="15" t="inlineStr">
        <is>
          <t>Здравоохранение-2025</t>
        </is>
      </c>
      <c r="O375" s="20" t="inlineStr">
        <is>
          <t>https://icatalog.expocentr.ru/ru/exhibitions/de590dc5-417d-11ee-80ce-a0d3c1fab97f</t>
        </is>
      </c>
    </row>
    <row r="376">
      <c r="A376" s="15" t="inlineStr">
        <is>
          <t>ЦЕНТР СОДЕЙСТВИЯ РАЗВИТИЮ ПРЕДПРИНИМАТЕЛЬСТВА НОВОСИБИРСКОЙ ОБЛАСТИ, АНО</t>
        </is>
      </c>
      <c r="B376" s="15" t="inlineStr">
        <is>
          <t>5C030</t>
        </is>
      </c>
      <c r="C376" s="15" t="inlineStr">
        <is>
          <t>Россия</t>
        </is>
      </c>
      <c r="D376" s="15" t="inlineStr">
        <is>
          <t>Новосибирск</t>
        </is>
      </c>
      <c r="E376" s="15" t="inlineStr">
        <is>
          <t>Россия, 630007, г. Новосибирск, ул. Сибревкома, д. 9</t>
        </is>
      </c>
      <c r="F376" s="20" t="inlineStr">
        <is>
          <t>https://mbnso.ru</t>
        </is>
      </c>
      <c r="G376" s="15" t="inlineStr">
        <is>
          <t>info@mbnso.ru</t>
        </is>
      </c>
      <c r="H376" s="15" t="inlineStr">
        <is>
          <t>Услуга государственной поддержки субъектов МСП НСО (ООО «МедиКрафт», ИП Логинова Е.В., ООО «КС Трейд», ИП Редько К.А., ООО "НПК «Андроэксперт», ООО «Сибакадемтехнологии», ООО «К-Медика»).</t>
        </is>
      </c>
      <c r="I376" s="15" t="inlineStr">
        <is>
          <t>Одноразовые медицинские изделия прочие; Расходные материалы для медицинского оборудования; Технологии, оборудование и расходные материалы для спа и велнес; Фито- и ароматерапия; Одноразовые медицинские изделия; ПЦР-диагностика</t>
        </is>
      </c>
      <c r="J376" s="15" t="inlineStr">
        <is>
          <t>Поставщик услуг</t>
        </is>
      </c>
      <c r="K376" s="15" t="inlineStr">
        <is>
          <t>OK</t>
        </is>
      </c>
      <c r="L376" s="15" t="inlineStr">
        <is>
          <t>медицинские изделия, расходные материалы, оборудование и фито-средства</t>
        </is>
      </c>
      <c r="M376" s="15" t="inlineStr">
        <is>
          <t>Центр Новосибирской</t>
        </is>
      </c>
      <c r="N376" s="15" t="inlineStr">
        <is>
          <t>Здравоохранение-2025</t>
        </is>
      </c>
      <c r="O376" s="20" t="inlineStr">
        <is>
          <t>https://icatalog.expocentr.ru/ru/exhibitions/de590dc5-417d-11ee-80ce-a0d3c1fab97f</t>
        </is>
      </c>
    </row>
    <row r="377">
      <c r="A377" s="15" t="inlineStr">
        <is>
          <t>ОРИОН-СИ, ООО</t>
        </is>
      </c>
      <c r="B377" s="15" t="inlineStr">
        <is>
          <t>5B010</t>
        </is>
      </c>
      <c r="C377" s="15" t="inlineStr">
        <is>
          <t>Россия</t>
        </is>
      </c>
      <c r="D377" s="15" t="inlineStr">
        <is>
          <t>Москва</t>
        </is>
      </c>
      <c r="E377" s="15" t="inlineStr">
        <is>
          <t>Россия, 115419, г. Москва, ул. Орджоникидзе, д. 11, стр. 1А, комн. 1, этаж 2, пом. VI</t>
        </is>
      </c>
      <c r="F377" s="20" t="inlineStr">
        <is>
          <t>http://www.orion-si.ru</t>
        </is>
      </c>
      <c r="G377" s="15" t="inlineStr">
        <is>
          <t>orionsi@yandex.ru</t>
        </is>
      </c>
      <c r="H377" s="15" t="inlineStr">
        <is>
          <t>Более 30 лет компания «Орион-СИ» является российским производителем медицинского оборудования на основе озоновых технологий. Основные направления — производство низкотемпературных озоновых стерилизаторов, терапевтических озонаторов и озонаторов для деконтаминации воздушной среды.</t>
        </is>
      </c>
      <c r="I377" s="15" t="inlineStr">
        <is>
          <t>Оборудование и средства борьбы с внутрибольничной инфекцией; Оборудование для стерилизации</t>
        </is>
      </c>
      <c r="J377" s="15" t="inlineStr">
        <is>
          <t>Производитель</t>
        </is>
      </c>
      <c r="K377" s="15" t="inlineStr">
        <is>
          <t>OK</t>
        </is>
      </c>
      <c r="L377" s="15" t="inlineStr">
        <is>
          <t>стерилизаторы, озонаторы</t>
        </is>
      </c>
      <c r="M377" s="15" t="inlineStr">
        <is>
          <t>Орион Си</t>
        </is>
      </c>
      <c r="N377" s="15" t="inlineStr">
        <is>
          <t>Здравоохранение-2025</t>
        </is>
      </c>
      <c r="O377" s="20" t="inlineStr">
        <is>
          <t>https://icatalog.expocentr.ru/ru/exhibitions/de590dc5-417d-11ee-80ce-a0d3c1fab97f</t>
        </is>
      </c>
    </row>
    <row r="378">
      <c r="A378" s="15" t="inlineStr">
        <is>
          <t>ФЕРРОПЛАСТ МЕДИКАЛ, ООО</t>
        </is>
      </c>
      <c r="B378" s="15" t="inlineStr">
        <is>
          <t>5A012</t>
        </is>
      </c>
      <c r="C378" s="15" t="inlineStr">
        <is>
          <t>Россия</t>
        </is>
      </c>
      <c r="D378" s="15" t="n"/>
      <c r="E378" s="15" t="inlineStr">
        <is>
          <t>Россия, 152260, Ярославская обл., Некрасовский р-н, пос. Приволжский</t>
        </is>
      </c>
      <c r="F378" s="20" t="inlineStr">
        <is>
          <t>https://www.ferroplast.ru</t>
        </is>
      </c>
      <c r="G378" s="15" t="inlineStr">
        <is>
          <t>ferroplast@mail.ru</t>
        </is>
      </c>
      <c r="H378" s="15" t="inlineStr">
        <is>
          <t>«Ферропласт Медикал» – российский производитель медицинского оборудования. Наши технологии сочетают методы очистки инструментов, обеспечивающие безопасность и стерильность в медицине и сфере красоты.</t>
        </is>
      </c>
      <c r="I378" s="15" t="inlineStr">
        <is>
          <t>Стоматологическое оборудование и инструменты; Прочее общебольничное оборудование; Оборудование и средства борьбы с внутрибольничной инфекцией; Оборудование для дезинфекции; Оборудование для стерилизации; Стерилизаторы</t>
        </is>
      </c>
      <c r="J378" s="15" t="inlineStr">
        <is>
          <t>Производитель</t>
        </is>
      </c>
      <c r="K378" s="15" t="inlineStr">
        <is>
          <t>OK</t>
        </is>
      </c>
      <c r="L378" s="15" t="inlineStr">
        <is>
          <t>медицинское оборудование, инструменты и стерилизаторы</t>
        </is>
      </c>
      <c r="M378" s="15" t="inlineStr">
        <is>
          <t>Ферропласт Медикал</t>
        </is>
      </c>
      <c r="N378" s="15" t="inlineStr">
        <is>
          <t>Здравоохранение-2025</t>
        </is>
      </c>
      <c r="O378" s="20" t="inlineStr">
        <is>
          <t>https://icatalog.expocentr.ru/ru/exhibitions/de590dc5-417d-11ee-80ce-a0d3c1fab97f</t>
        </is>
      </c>
    </row>
    <row r="379">
      <c r="A379" s="15" t="inlineStr">
        <is>
          <t>АЦЕЯ</t>
        </is>
      </c>
      <c r="B379" s="15" t="inlineStr">
        <is>
          <t>5C080</t>
        </is>
      </c>
      <c r="C379" s="15" t="inlineStr">
        <is>
          <t>Россия</t>
        </is>
      </c>
      <c r="D379" s="15" t="inlineStr">
        <is>
          <t>Москва</t>
        </is>
      </c>
      <c r="E379" s="15" t="inlineStr">
        <is>
          <t>Россия, 105082, г. Москва, вн. тер. г. м. о. Басманный, Переведеновский пер., д. 13, стр. 18, пом. 21Н/3</t>
        </is>
      </c>
      <c r="F379" s="20" t="inlineStr">
        <is>
          <t>http://www.acearussia.com</t>
        </is>
      </c>
      <c r="G379" s="15" t="inlineStr">
        <is>
          <t>marketing@omniaproducts.ru</t>
        </is>
      </c>
      <c r="H379" s="15" t="inlineStr">
        <is>
          <t>«АЦЕЯ» – российское научно-производственное объединение, создающее профессиональныеантисептические, дезинфицирующие и гигиенические средства для медицины, соответствующие мировым стандартам качества.</t>
        </is>
      </c>
      <c r="I379" s="15" t="inlineStr">
        <is>
          <t>Оборудование и средства борьбы с внутрибольничной инфекцией; Средства контроля стерилизации; Средства химической дезинфекции и стерилизации; Средства для чистки и детергенты; Дезинфицирующие средства и материалы; Инструменты и принадлежности для инъекций  и взятия крови</t>
        </is>
      </c>
      <c r="J379" s="15" t="inlineStr">
        <is>
          <t>Производитель</t>
        </is>
      </c>
      <c r="K379" s="15" t="inlineStr">
        <is>
          <t>OK</t>
        </is>
      </c>
      <c r="L379" s="15" t="inlineStr">
        <is>
          <t>средства, материалы, инструменты и принадлежности</t>
        </is>
      </c>
      <c r="M379" s="15" t="inlineStr">
        <is>
          <t>Ацея</t>
        </is>
      </c>
      <c r="N379" s="15" t="inlineStr">
        <is>
          <t>Здравоохранение-2025</t>
        </is>
      </c>
      <c r="O379" s="20" t="inlineStr">
        <is>
          <t>https://icatalog.expocentr.ru/ru/exhibitions/de590dc5-417d-11ee-80ce-a0d3c1fab97f</t>
        </is>
      </c>
    </row>
    <row r="380">
      <c r="A380" s="15" t="inlineStr">
        <is>
          <t>СИРИУС, ООО</t>
        </is>
      </c>
      <c r="B380" s="15" t="inlineStr">
        <is>
          <t>5B125</t>
        </is>
      </c>
      <c r="C380" s="15" t="inlineStr">
        <is>
          <t>Россия</t>
        </is>
      </c>
      <c r="D380" s="15" t="inlineStr">
        <is>
          <t>Москва</t>
        </is>
      </c>
      <c r="E380" s="15" t="inlineStr">
        <is>
          <t>Россия, 127051, г. Москва, Цветной б-р, д. 30, стр. 1, пом. 7, оф. 21</t>
        </is>
      </c>
      <c r="F380" s="20" t="inlineStr">
        <is>
          <t>http://www.siriuschem.ru</t>
        </is>
      </c>
      <c r="G380" s="15" t="inlineStr">
        <is>
          <t>sales@siriuschem.ru</t>
        </is>
      </c>
      <c r="H380" s="15" t="inlineStr">
        <is>
          <t>Производство и продажа дезинфицирующих средств в форме таблеток ТМ «ХлорЭксель»; контрактное производство.</t>
        </is>
      </c>
      <c r="I380" s="15" t="inlineStr">
        <is>
          <t>Средства химической дезинфекции и стерилизации; Дезинфицирующие средства и материалы</t>
        </is>
      </c>
      <c r="J380" s="15" t="inlineStr">
        <is>
          <t>Производитель</t>
        </is>
      </c>
      <c r="K380" s="15" t="inlineStr">
        <is>
          <t>OK</t>
        </is>
      </c>
      <c r="L380" s="15" t="inlineStr">
        <is>
          <t>дезинфицирующие средства и материалы</t>
        </is>
      </c>
      <c r="M380" s="15" t="inlineStr">
        <is>
          <t>Сириус</t>
        </is>
      </c>
      <c r="N380" s="15" t="inlineStr">
        <is>
          <t>Здравоохранение-2025</t>
        </is>
      </c>
      <c r="O380" s="20" t="inlineStr">
        <is>
          <t>https://icatalog.expocentr.ru/ru/exhibitions/de590dc5-417d-11ee-80ce-a0d3c1fab97f</t>
        </is>
      </c>
    </row>
    <row r="381">
      <c r="A381" s="15" t="inlineStr">
        <is>
          <t>БИОВЕРИТАС, ООО</t>
        </is>
      </c>
      <c r="B381" s="15" t="inlineStr">
        <is>
          <t>5B022</t>
        </is>
      </c>
      <c r="C381" s="15" t="inlineStr">
        <is>
          <t>Россия</t>
        </is>
      </c>
      <c r="D381" s="15" t="inlineStr">
        <is>
          <t>Москва</t>
        </is>
      </c>
      <c r="E381" s="15" t="inlineStr">
        <is>
          <t>Россия, 127473, г. Москва, ул. Селезнёвская, д. 11а, стр. 2, пом. 1/2</t>
        </is>
      </c>
      <c r="F381" s="20" t="inlineStr">
        <is>
          <t>https://bioveritas.ru</t>
        </is>
      </c>
      <c r="G381" s="15" t="inlineStr">
        <is>
          <t>contact@bioveritas.ru</t>
        </is>
      </c>
      <c r="H381" s="15" t="inlineStr">
        <is>
          <t>Инновационный электронный атлас анатомии человека. Продвинутый инструмент нового поколения, способный визуализировать анатомическое строение человеческого тела и результаты медицинских исследований.</t>
        </is>
      </c>
      <c r="I381" s="15" t="inlineStr">
        <is>
          <t>Прочие диагностические устройства; Прочее общебольничное оборудование; Архивирование и документирование; IT-инфраструктура / компьютерное оборудование / системы mHealth; Системы eHealth, телемедицина; Вспомогательное оборудование</t>
        </is>
      </c>
      <c r="J381" s="15" t="inlineStr">
        <is>
          <t>Производитель</t>
        </is>
      </c>
      <c r="K381" s="15" t="inlineStr">
        <is>
          <t>OK</t>
        </is>
      </c>
      <c r="L381" s="15" t="inlineStr">
        <is>
          <t>диагностические устройства и оборудование</t>
        </is>
      </c>
      <c r="M381" s="15" t="inlineStr">
        <is>
          <t>Биоверитас</t>
        </is>
      </c>
      <c r="N381" s="15" t="inlineStr">
        <is>
          <t>Здравоохранение-2025</t>
        </is>
      </c>
      <c r="O381" s="20" t="inlineStr">
        <is>
          <t>https://icatalog.expocentr.ru/ru/exhibitions/de590dc5-417d-11ee-80ce-a0d3c1fab97f</t>
        </is>
      </c>
    </row>
    <row r="382">
      <c r="A382" s="15" t="inlineStr">
        <is>
          <t>ADIABATICA</t>
        </is>
      </c>
      <c r="B382" s="15" t="inlineStr">
        <is>
          <t>5A001</t>
        </is>
      </c>
      <c r="C382" s="15" t="inlineStr">
        <is>
          <t>Россия</t>
        </is>
      </c>
      <c r="D382" s="15" t="inlineStr">
        <is>
          <t>Москва</t>
        </is>
      </c>
      <c r="E382" s="15" t="inlineStr">
        <is>
          <t>Россия, 109369, г. Москва, ул. Перерва, д. 32, пом. 20</t>
        </is>
      </c>
      <c r="F382" s="20" t="inlineStr">
        <is>
          <t>http://www.adiabatica.ru</t>
        </is>
      </c>
      <c r="G382" s="15" t="inlineStr">
        <is>
          <t>info@adiabatica.ru</t>
        </is>
      </c>
      <c r="H382" s="15" t="inlineStr">
        <is>
          <t>ADIABATICA — инновационная централизованная система увлажнения воздуха для многоэтажных жилых, медицинских и общественных зданий.</t>
        </is>
      </c>
      <c r="I382" s="15" t="inlineStr">
        <is>
          <t>Проектирование, производство, монтаж, валидация чистых операционных и реанимационных; Спортивные клубы, ассоциации, федерации; Технологии, оборудование и расходные материалы для спа и велнес; Методы и способы усиления иммунитета, повышения защитных функций организма; Социальные инвестиционные проекты, направленные на повышения уровня и качества жизни населения; Экология дома (ионизаторы воздуха, соляные лампы, воздухоочистители, увлажнители, кварцевые лампы и др.)</t>
        </is>
      </c>
      <c r="J382" s="15" t="inlineStr">
        <is>
          <t>Производитель</t>
        </is>
      </c>
      <c r="K382" s="15" t="inlineStr">
        <is>
          <t>OK</t>
        </is>
      </c>
      <c r="L382" s="15" t="inlineStr">
        <is>
          <t>системы увлажнения, воздухоочистители, ионизаторы и лампы</t>
        </is>
      </c>
      <c r="M382" s="15" t="inlineStr">
        <is>
          <t>Adiabatica</t>
        </is>
      </c>
      <c r="N382" s="15" t="inlineStr">
        <is>
          <t>Здравоохранение-2025</t>
        </is>
      </c>
      <c r="O382" s="20" t="inlineStr">
        <is>
          <t>https://icatalog.expocentr.ru/ru/exhibitions/de590dc5-417d-11ee-80ce-a0d3c1fab97f</t>
        </is>
      </c>
    </row>
    <row r="383">
      <c r="A383" s="15" t="inlineStr">
        <is>
          <t>МЕДТЕХНИКА, НПФ, OOO</t>
        </is>
      </c>
      <c r="B383" s="15" t="inlineStr">
        <is>
          <t>5C012</t>
        </is>
      </c>
      <c r="C383" s="15" t="inlineStr">
        <is>
          <t>Россия</t>
        </is>
      </c>
      <c r="D383" s="15" t="inlineStr">
        <is>
          <t>Санкт-Петербург</t>
        </is>
      </c>
      <c r="E383" s="15" t="inlineStr">
        <is>
          <t>Россия, 198516, г. Санкт-Петербург, вн. тер. г. город Петергоф, ул. Конно-Гренадерская, д. 3, литера А, пом. 1-Н, комн. 1-5</t>
        </is>
      </c>
      <c r="F383" s="20" t="inlineStr">
        <is>
          <t>http://www.medtechnics.ru</t>
        </is>
      </c>
      <c r="G383" s="15" t="inlineStr">
        <is>
          <t>secret@medtechnics.ru</t>
        </is>
      </c>
      <c r="H383" s="15" t="inlineStr">
        <is>
          <t>ООО «НПФ «Медтехника» — активно развивающееся инновационно-коммерческое российское предприятие, осуществляющее производство и продажу линейки уникальных медицинских товаров и оборудования c 1995 г.</t>
        </is>
      </c>
      <c r="I383" s="15" t="inlineStr">
        <is>
          <t>Прочее общебольничное оборудование; Холодильники; Спасательное оборудование и снаряжение; Вакуумные экстракторы, аспираторы</t>
        </is>
      </c>
      <c r="J383" s="15" t="inlineStr">
        <is>
          <t>Производитель</t>
        </is>
      </c>
      <c r="K383" s="15" t="inlineStr">
        <is>
          <t>OK</t>
        </is>
      </c>
      <c r="L383" s="15" t="inlineStr">
        <is>
          <t>общебольничное оборудование, холодильники, спасательное снаряжение и аспираторы</t>
        </is>
      </c>
      <c r="M383" s="15" t="inlineStr">
        <is>
          <t>МЕДТЕХНИКА НПФ</t>
        </is>
      </c>
      <c r="N383" s="15" t="inlineStr">
        <is>
          <t>Здравоохранение-2025</t>
        </is>
      </c>
      <c r="O383" s="20" t="inlineStr">
        <is>
          <t>https://icatalog.expocentr.ru/ru/exhibitions/de590dc5-417d-11ee-80ce-a0d3c1fab97f</t>
        </is>
      </c>
    </row>
    <row r="384">
      <c r="A384" s="15" t="inlineStr">
        <is>
          <t>СТЕРИМЕД, ООО</t>
        </is>
      </c>
      <c r="B384" s="15" t="inlineStr">
        <is>
          <t>5A025</t>
        </is>
      </c>
      <c r="C384" s="15" t="inlineStr">
        <is>
          <t>Россия</t>
        </is>
      </c>
      <c r="D384" s="15" t="inlineStr">
        <is>
          <t>Москва</t>
        </is>
      </c>
      <c r="E384" s="15" t="inlineStr">
        <is>
          <t>Россия, 109428, г. Москва, вн. тер. г. м. о. Рязанский, Рязанский просп., д. 10, стр. 18, пом. 35/3</t>
        </is>
      </c>
      <c r="F384" s="20" t="inlineStr">
        <is>
          <t>http://sterimedplus.ru</t>
        </is>
      </c>
      <c r="G384" s="15" t="inlineStr">
        <is>
          <t>s.minakov@sterimedplus.ru</t>
        </is>
      </c>
      <c r="H384" s="15" t="inlineStr">
        <is>
          <t>ООО «Стеримед» является отечественным производителем дезинфицирующих средств. Компания разрабатывает и производит универсальные и специализированные дезинфицирующие средства, кожные антисептики.</t>
        </is>
      </c>
      <c r="I384" s="15" t="inlineStr">
        <is>
          <t>Оборудование и средства борьбы с внутрибольничной инфекцией; Оборудование для дезинфекции; Дезинфицирующие средства и материалы</t>
        </is>
      </c>
      <c r="J384" s="15" t="inlineStr">
        <is>
          <t>Производитель</t>
        </is>
      </c>
      <c r="K384" s="15" t="inlineStr">
        <is>
          <t>OK</t>
        </is>
      </c>
      <c r="L384" s="15" t="inlineStr">
        <is>
          <t>дезинфицирующие средства и кожные антисептики</t>
        </is>
      </c>
      <c r="M384" s="15" t="inlineStr">
        <is>
          <t>Стеримед</t>
        </is>
      </c>
      <c r="N384" s="15" t="inlineStr">
        <is>
          <t>Здравоохранение-2025</t>
        </is>
      </c>
      <c r="O384" s="20" t="inlineStr">
        <is>
          <t>https://icatalog.expocentr.ru/ru/exhibitions/de590dc5-417d-11ee-80ce-a0d3c1fab97f</t>
        </is>
      </c>
    </row>
    <row r="385">
      <c r="A385" s="15" t="inlineStr">
        <is>
          <t>ЦЕНТР ПОДДЕРЖКИ ЭКСПОРТА РЕСПУБЛИКИ ТАТАРСТАН, НМК</t>
        </is>
      </c>
      <c r="B385" s="15" t="inlineStr">
        <is>
          <t>5B060</t>
        </is>
      </c>
      <c r="C385" s="15" t="inlineStr">
        <is>
          <t>Россия</t>
        </is>
      </c>
      <c r="D385" s="15" t="inlineStr">
        <is>
          <t>Казань</t>
        </is>
      </c>
      <c r="E385" s="15" t="inlineStr">
        <is>
          <t>Россия, 420107, Республика Татарстан, г. Казань, ул. Петербургская, д. 28, этаж 1, каб. 18</t>
        </is>
      </c>
      <c r="F385" s="20" t="inlineStr">
        <is>
          <t>https://export-rt.ru</t>
        </is>
      </c>
      <c r="G385" s="15" t="inlineStr">
        <is>
          <t>tatexport@yandex.ru</t>
        </is>
      </c>
      <c r="H385" s="15" t="inlineStr">
        <is>
          <t>Размещены 5 компаний РТ: — ООО «АРФЕН ОСНО», www.arfen.ru;— ООО «НПФ «МЕДКОМ», +7 (843) 537-10-46; — ООО «ПО «ФОТОН ФЛАЙ», www.fotonfly.ru;— ООО «ВИПСОН», +7 (843) 212-51-27;— ООО «ЭЙДОС-БИО МЕД», +7 (843) 227 4063.</t>
        </is>
      </c>
      <c r="I385" s="15" t="inlineStr">
        <is>
          <t>Осветительные приборы; Системы утилизации отходов; Прочее общебольничное оборудование; Производство медицинских изделий; Ортопедическое оборудование и инструменты</t>
        </is>
      </c>
      <c r="J385" s="15" t="inlineStr">
        <is>
          <t>Производитель</t>
        </is>
      </c>
      <c r="K385" s="15" t="inlineStr">
        <is>
          <t>OK</t>
        </is>
      </c>
      <c r="L385" s="15" t="inlineStr">
        <is>
          <t>осветительные приборы, системы утилизации отходов, общебольничное оборудование, медицинские изделия и ортопедические инструменты</t>
        </is>
      </c>
      <c r="M385" s="15" t="inlineStr">
        <is>
          <t>Центр Поддержки</t>
        </is>
      </c>
      <c r="N385" s="15" t="inlineStr">
        <is>
          <t>Здравоохранение-2025</t>
        </is>
      </c>
      <c r="O385" s="20" t="inlineStr">
        <is>
          <t>https://icatalog.expocentr.ru/ru/exhibitions/de590dc5-417d-11ee-80ce-a0d3c1fab97f</t>
        </is>
      </c>
    </row>
    <row r="386">
      <c r="A386" s="15" t="inlineStr">
        <is>
          <t>ЮНИМЕД ЛАБОРАТОРИЗ, АО</t>
        </is>
      </c>
      <c r="B386" s="15" t="inlineStr">
        <is>
          <t>5B130</t>
        </is>
      </c>
      <c r="C386" s="15" t="inlineStr">
        <is>
          <t>Россия</t>
        </is>
      </c>
      <c r="D386" s="15" t="inlineStr">
        <is>
          <t>Москва</t>
        </is>
      </c>
      <c r="E386" s="15" t="inlineStr">
        <is>
          <t>Россия, г. Москва, 4-й Добрынинский пер., д. 4</t>
        </is>
      </c>
      <c r="F386" s="20" t="inlineStr">
        <is>
          <t>https://unimedlab.ru</t>
        </is>
      </c>
      <c r="G386" s="15" t="inlineStr">
        <is>
          <t>kovalevich@unimedlab.ru</t>
        </is>
      </c>
      <c r="H386" s="15" t="inlineStr">
        <is>
          <t>Лаборатория «Юнимед Лабораториз» спроектирована и оснащена в соответствии с европейскими стандартами и удовлетворяет самым жестким требованиям. Уже 25 лет выполняем клинико-диагностические исследования.</t>
        </is>
      </c>
      <c r="I386" s="15" t="inlineStr">
        <is>
          <t>Регистрация медицинских изделий; Реагенты и расходные материалы для лабораторной диагностики; Гематология; Иммунология; Биохимия; ПЦР-диагностика</t>
        </is>
      </c>
      <c r="J386" s="15" t="inlineStr">
        <is>
          <t>Поставщик услуг</t>
        </is>
      </c>
      <c r="K386" s="15" t="inlineStr">
        <is>
          <t>OK</t>
        </is>
      </c>
      <c r="L386" s="15" t="inlineStr">
        <is>
          <t>медицинские изделия и реагенты</t>
        </is>
      </c>
      <c r="M386" s="15" t="inlineStr">
        <is>
          <t>Юнимед Лабораториз</t>
        </is>
      </c>
      <c r="N386" s="15" t="inlineStr">
        <is>
          <t>Здравоохранение-2025</t>
        </is>
      </c>
      <c r="O386" s="20" t="inlineStr">
        <is>
          <t>https://icatalog.expocentr.ru/ru/exhibitions/de590dc5-417d-11ee-80ce-a0d3c1fab97f</t>
        </is>
      </c>
    </row>
    <row r="387">
      <c r="A387" s="15" t="inlineStr">
        <is>
          <t>МЕЛИТТА, НПП, ООО</t>
        </is>
      </c>
      <c r="B387" s="15" t="inlineStr">
        <is>
          <t>5B102</t>
        </is>
      </c>
      <c r="C387" s="15" t="inlineStr">
        <is>
          <t>Россия</t>
        </is>
      </c>
      <c r="D387" s="15" t="inlineStr">
        <is>
          <t>Москва</t>
        </is>
      </c>
      <c r="E387" s="15" t="inlineStr">
        <is>
          <t>Россия, 117997, г. Москва, ул. Миклухо-Маклая, д. 16/10</t>
        </is>
      </c>
      <c r="F387" s="20" t="inlineStr">
        <is>
          <t>http://www.melitta-uv.ru</t>
        </is>
      </c>
      <c r="G387" s="15" t="inlineStr">
        <is>
          <t>mail@melitta-uv.ru</t>
        </is>
      </c>
      <c r="H387" s="15" t="inlineStr">
        <is>
          <t>Компания полного цикла по разработке, серийному производству, внедрению в практическое здравоохранение импульсных ксеноновых ультрафиолетовых установок для обеззараживания воздуха и поверхностей.</t>
        </is>
      </c>
      <c r="I387" s="15" t="inlineStr">
        <is>
          <t>Оборудование и средства борьбы с внутрибольничной инфекцией; Оборудование для дезинфекции</t>
        </is>
      </c>
      <c r="J387" s="15" t="inlineStr">
        <is>
          <t>Производитель</t>
        </is>
      </c>
      <c r="K387" s="15" t="inlineStr">
        <is>
          <t>OK</t>
        </is>
      </c>
      <c r="L387" s="15" t="inlineStr">
        <is>
          <t>установки</t>
        </is>
      </c>
      <c r="M387" s="15" t="inlineStr">
        <is>
          <t>Мелитта</t>
        </is>
      </c>
      <c r="N387" s="15" t="inlineStr">
        <is>
          <t>Здравоохранение-2025</t>
        </is>
      </c>
      <c r="O387" s="20" t="inlineStr">
        <is>
          <t>https://icatalog.expocentr.ru/ru/exhibitions/de590dc5-417d-11ee-80ce-a0d3c1fab97f</t>
        </is>
      </c>
    </row>
    <row r="388">
      <c r="A388" s="15" t="inlineStr">
        <is>
          <t>РЕНМЕДПРОМ — ЦИФРОВЫЕ ТЕХНОЛОГИИ, ООО</t>
        </is>
      </c>
      <c r="B388" s="15" t="inlineStr">
        <is>
          <t>5B038</t>
        </is>
      </c>
      <c r="C388" s="15" t="inlineStr">
        <is>
          <t>Россия</t>
        </is>
      </c>
      <c r="D388" s="15" t="inlineStr">
        <is>
          <t>Москва</t>
        </is>
      </c>
      <c r="E388" s="15" t="inlineStr">
        <is>
          <t>Россия, 119330, г. Москва, вн. тер. г. м. о. Раменки, ул. Мосфильмовская, д. 17Б, пом. 89</t>
        </is>
      </c>
      <c r="F388" s="20" t="inlineStr">
        <is>
          <t>http://www.renmedprom.ru</t>
        </is>
      </c>
      <c r="G388" s="15" t="inlineStr">
        <is>
          <t>main@renmedprom.ru</t>
        </is>
      </c>
      <c r="H388" s="15" t="inlineStr">
        <is>
          <t>ООО «РЕНМЕДПРОМ-ЦТ» — российский разработчик и производитель рентгенодиагностического оборудования и программных решений для высокотехнологичной медицинской помощи.</t>
        </is>
      </c>
      <c r="I388" s="15" t="inlineStr">
        <is>
          <t>Рентгеновские диагностические установки, передвижные и стационарные; Маммографы; Флюорографы</t>
        </is>
      </c>
      <c r="J388" s="15" t="inlineStr">
        <is>
          <t>Производитель</t>
        </is>
      </c>
      <c r="K388" s="15" t="inlineStr">
        <is>
          <t>OK</t>
        </is>
      </c>
      <c r="L388" s="15" t="inlineStr">
        <is>
          <t>рентгеновские установки, маммографы и флюорографы</t>
        </is>
      </c>
      <c r="M388" s="15" t="inlineStr">
        <is>
          <t>Ренмедпром</t>
        </is>
      </c>
      <c r="N388" s="15" t="inlineStr">
        <is>
          <t>Здравоохранение-2025</t>
        </is>
      </c>
      <c r="O388" s="20" t="inlineStr">
        <is>
          <t>https://icatalog.expocentr.ru/ru/exhibitions/de590dc5-417d-11ee-80ce-a0d3c1fab97f</t>
        </is>
      </c>
    </row>
    <row r="389">
      <c r="A389" s="15" t="inlineStr">
        <is>
          <t>ДИАКОН-ДС, АО</t>
        </is>
      </c>
      <c r="B389" s="15" t="inlineStr">
        <is>
          <t>5B038</t>
        </is>
      </c>
      <c r="C389" s="15" t="inlineStr">
        <is>
          <t>Россия</t>
        </is>
      </c>
      <c r="D389" s="15" t="inlineStr">
        <is>
          <t>Пущино</t>
        </is>
      </c>
      <c r="E389" s="15" t="inlineStr">
        <is>
          <t>Россия, 142290, Московская обл., г. Пущино, ул. Грузовая, д. 1а</t>
        </is>
      </c>
      <c r="F389" s="20" t="inlineStr">
        <is>
          <t>http://www.diakon-ds.ru</t>
        </is>
      </c>
      <c r="G389" s="15" t="inlineStr">
        <is>
          <t>dds@diakon-ds.ru</t>
        </is>
      </c>
      <c r="H389" s="15" t="inlineStr">
        <is>
          <t>«ДИАКОН-ДС» — современная высокотехнологичная компания, работающая в сфере производства медицинских изделий для in vitro-диагностики: реагентов для клинической химии, гемостаза, гематологии и медицинской техники.</t>
        </is>
      </c>
      <c r="I389" s="15" t="inlineStr">
        <is>
          <t>Реагенты и расходные материалы для лабораторной диагностики; Гематология; Клиническая химия</t>
        </is>
      </c>
      <c r="J389" s="15" t="inlineStr">
        <is>
          <t>Производитель</t>
        </is>
      </c>
      <c r="K389" s="15" t="inlineStr">
        <is>
          <t>OK</t>
        </is>
      </c>
      <c r="L389" s="15" t="inlineStr">
        <is>
          <t>реагенты и медицинская техника</t>
        </is>
      </c>
      <c r="M389" s="15" t="inlineStr">
        <is>
          <t>Диакон-ДС</t>
        </is>
      </c>
      <c r="N389" s="15" t="inlineStr">
        <is>
          <t>Здравоохранение-2025</t>
        </is>
      </c>
      <c r="O389" s="20" t="inlineStr">
        <is>
          <t>https://icatalog.expocentr.ru/ru/exhibitions/de590dc5-417d-11ee-80ce-a0d3c1fab97f</t>
        </is>
      </c>
    </row>
    <row r="390">
      <c r="A390" s="15" t="inlineStr">
        <is>
          <t>МОДУС, ЗАО</t>
        </is>
      </c>
      <c r="B390" s="15" t="inlineStr">
        <is>
          <t>5B038</t>
        </is>
      </c>
      <c r="C390" s="15" t="inlineStr">
        <is>
          <t>Россия</t>
        </is>
      </c>
      <c r="D390" s="15" t="inlineStr">
        <is>
          <t>Москва</t>
        </is>
      </c>
      <c r="E390" s="15" t="inlineStr">
        <is>
          <t>Россия, 123056, г. Москва, ул. Фучика, д. 17/19</t>
        </is>
      </c>
      <c r="F390" s="20" t="inlineStr">
        <is>
          <t>https://tianoks.ru</t>
        </is>
      </c>
      <c r="G390" s="15" t="inlineStr">
        <is>
          <t>zaomodus@yandex.ru</t>
        </is>
      </c>
      <c r="H390" s="15" t="inlineStr">
        <is>
          <t>«МОДУС» — дистрибьютор АО «Росатом», поставщик аппаратов для терапии оксидом азота «ТИАНОКС» с целью оснащения учреждений в рамках нацпроекта «Семья». На стенде представлено оборудование по профилю «неонатология».</t>
        </is>
      </c>
      <c r="I390" s="15" t="inlineStr">
        <is>
          <t>Инкубаторы и открытые реанимационные системы; Оборудование и материалы для неонатального скрининга; Аппараты для искусственной вентиляции легких</t>
        </is>
      </c>
      <c r="J390" s="15" t="inlineStr">
        <is>
          <t>Дилер</t>
        </is>
      </c>
      <c r="K390" s="15" t="inlineStr">
        <is>
          <t>OK</t>
        </is>
      </c>
      <c r="L390" s="15" t="inlineStr">
        <is>
          <t>аппараты для терапии, инкубаторы, реанимационные системы, и оборудование для скрининга</t>
        </is>
      </c>
      <c r="M390" s="15" t="inlineStr">
        <is>
          <t>Модус</t>
        </is>
      </c>
      <c r="N390" s="15" t="inlineStr">
        <is>
          <t>Здравоохранение-2025</t>
        </is>
      </c>
      <c r="O390" s="20" t="inlineStr">
        <is>
          <t>https://icatalog.expocentr.ru/ru/exhibitions/de590dc5-417d-11ee-80ce-a0d3c1fab97f</t>
        </is>
      </c>
    </row>
    <row r="391">
      <c r="A391" s="15" t="inlineStr">
        <is>
          <t>МЕДИЦИНСКАЯ ТЕХНИКА ПЛЮС, ООО</t>
        </is>
      </c>
      <c r="B391" s="15" t="inlineStr">
        <is>
          <t>5B038</t>
        </is>
      </c>
      <c r="C391" s="15" t="inlineStr">
        <is>
          <t>Россия</t>
        </is>
      </c>
      <c r="D391" s="15" t="inlineStr">
        <is>
          <t>Москва</t>
        </is>
      </c>
      <c r="E391" s="15" t="inlineStr">
        <is>
          <t>Россия, 127473, г. Москва, 1-й Щемиловский пер., д. 17, стр. 1</t>
        </is>
      </c>
      <c r="F391" s="20" t="inlineStr">
        <is>
          <t>https://umetex.com/ru/</t>
        </is>
      </c>
      <c r="G391" s="15" t="inlineStr">
        <is>
          <t>info@umetex.com</t>
        </is>
      </c>
      <c r="H391" s="15" t="inlineStr">
        <is>
          <t>С 2003 года группа компаний UMETEX занимается комплексным обеспечением государственных и частных медицинских организаций передовым оборудованием и расходными материалами.</t>
        </is>
      </c>
      <c r="I391" s="15" t="inlineStr">
        <is>
          <t>Оборудование для урологической диагностики; Инструменты урологические; Отоскопы и лор-инструменты; Проктология; Эстетическая медицина и косметология; Ортопедия и травматология</t>
        </is>
      </c>
      <c r="J391" s="15" t="inlineStr">
        <is>
          <t>Дилер</t>
        </is>
      </c>
      <c r="K391" s="15" t="inlineStr">
        <is>
          <t>OK</t>
        </is>
      </c>
      <c r="L391" s="15" t="inlineStr">
        <is>
          <t>оборудование и расходные материалы</t>
        </is>
      </c>
      <c r="M391" s="15" t="inlineStr">
        <is>
          <t>Медицинская Техника Плюс</t>
        </is>
      </c>
      <c r="N391" s="15" t="inlineStr">
        <is>
          <t>Здравоохранение-2025</t>
        </is>
      </c>
      <c r="O391" s="20" t="inlineStr">
        <is>
          <t>https://icatalog.expocentr.ru/ru/exhibitions/de590dc5-417d-11ee-80ce-a0d3c1fab97f</t>
        </is>
      </c>
    </row>
    <row r="392">
      <c r="A392" s="15" t="inlineStr">
        <is>
          <t>САМАРСКАЯ ОБЛАСТЬ</t>
        </is>
      </c>
      <c r="B392" s="15" t="inlineStr">
        <is>
          <t>5B020</t>
        </is>
      </c>
      <c r="C392" s="15" t="inlineStr">
        <is>
          <t>Россия</t>
        </is>
      </c>
      <c r="D392" s="15" t="inlineStr">
        <is>
          <t>Самара</t>
        </is>
      </c>
      <c r="E392" s="15" t="inlineStr">
        <is>
          <t>Россия, г. Самара, ул. Молодогвардейская, д. 211, оф. 211 (центр «Мой бизнес»)</t>
        </is>
      </c>
      <c r="F392" s="20" t="inlineStr">
        <is>
          <t>http://vk.com/rus63com</t>
        </is>
      </c>
      <c r="G392" s="15" t="inlineStr">
        <is>
          <t>cpesamara163@mail.ru</t>
        </is>
      </c>
      <c r="H392" s="15" t="inlineStr">
        <is>
          <t>На коллективном стенде Самарской области представлены ООО «Медтехлинк», ООО «МСК», ООО «Протон», ООО «СЗМИ», ООО «СамАрс» — компании, работающие в сфере медоборудования, строительства медобъектов, производства перчаток и питания.</t>
        </is>
      </c>
      <c r="I392" s="15" t="inlineStr">
        <is>
          <t>Одноразовые медицинские изделия прочие; Комплектующие для производства медицинских изделий; Биологически активные добавки к пище; Хирургическое оборудование</t>
        </is>
      </c>
      <c r="J392" s="15" t="inlineStr">
        <is>
          <t>Производитель</t>
        </is>
      </c>
      <c r="K392" s="15" t="inlineStr">
        <is>
          <t>OK</t>
        </is>
      </c>
      <c r="L392" s="15" t="inlineStr">
        <is>
          <t>медоборудование, перчатки, комплектующие и добавки к пище</t>
        </is>
      </c>
      <c r="M392" s="15" t="inlineStr">
        <is>
          <t>Самарская Область</t>
        </is>
      </c>
      <c r="N392" s="15" t="inlineStr">
        <is>
          <t>Здравоохранение-2025</t>
        </is>
      </c>
      <c r="O392" s="20" t="inlineStr">
        <is>
          <t>https://icatalog.expocentr.ru/ru/exhibitions/de590dc5-417d-11ee-80ce-a0d3c1fab97f</t>
        </is>
      </c>
    </row>
    <row r="393">
      <c r="A393" s="15" t="inlineStr">
        <is>
          <t>ТЕКОМАКС-МСК, ООО</t>
        </is>
      </c>
      <c r="B393" s="15" t="inlineStr">
        <is>
          <t>5C015</t>
        </is>
      </c>
      <c r="C393" s="15" t="inlineStr">
        <is>
          <t>Россия</t>
        </is>
      </c>
      <c r="D393" s="15" t="inlineStr">
        <is>
          <t>Москва</t>
        </is>
      </c>
      <c r="E393" s="15" t="inlineStr">
        <is>
          <t>Россия, 124498, г. Москва, г. Зеленоград, Георгиевский просп., д. 5, стр. 1, комн. 56</t>
        </is>
      </c>
      <c r="F393" s="20" t="inlineStr">
        <is>
          <t>http://www.tekomax.com</t>
        </is>
      </c>
      <c r="G393" s="15" t="inlineStr">
        <is>
          <t>info@tekomax.com</t>
        </is>
      </c>
      <c r="H393" s="15" t="inlineStr">
        <is>
          <t>Поставщик и производитель операционных светодиодных светильников, кислородных концентраторов для подключения к аппаратам ИВЛ, НДА. Проектирование и монтаж систем медицинского газоснабжения.</t>
        </is>
      </c>
      <c r="I393" s="15" t="inlineStr">
        <is>
          <t>Осветительные приборы; Оборудование для медицинских газов; Операционные столы; Осветители хирургические</t>
        </is>
      </c>
      <c r="J393" s="15" t="inlineStr">
        <is>
          <t>Производитель</t>
        </is>
      </c>
      <c r="K393" s="15" t="inlineStr">
        <is>
          <t>OK</t>
        </is>
      </c>
      <c r="L393" s="15" t="inlineStr">
        <is>
          <t>светильники, концентраторы, столы и оборудование</t>
        </is>
      </c>
      <c r="M393" s="15" t="inlineStr">
        <is>
          <t>Текомакс Мск</t>
        </is>
      </c>
      <c r="N393" s="15" t="inlineStr">
        <is>
          <t>Здравоохранение-2025</t>
        </is>
      </c>
      <c r="O393" s="20" t="inlineStr">
        <is>
          <t>https://icatalog.expocentr.ru/ru/exhibitions/de590dc5-417d-11ee-80ce-a0d3c1fab97f</t>
        </is>
      </c>
    </row>
    <row r="394">
      <c r="A394" s="15" t="inlineStr">
        <is>
          <t>ЮГАСЕПТ, ООО</t>
        </is>
      </c>
      <c r="B394" s="15" t="inlineStr">
        <is>
          <t>5A070</t>
        </is>
      </c>
      <c r="C394" s="15" t="inlineStr">
        <is>
          <t>Россия</t>
        </is>
      </c>
      <c r="D394" s="15" t="inlineStr">
        <is>
          <t>Тольятти</t>
        </is>
      </c>
      <c r="E394" s="15" t="inlineStr">
        <is>
          <t>Россия, 445044, Самарская обл., г. Тольятти, б-р Космонавтов, д. 16, кв. 45</t>
        </is>
      </c>
      <c r="F394" s="20" t="inlineStr">
        <is>
          <t>http://www.ugasept.ru</t>
        </is>
      </c>
      <c r="G394" s="15" t="inlineStr">
        <is>
          <t>uga_sept@mail.ru</t>
        </is>
      </c>
      <c r="H394" s="15" t="inlineStr">
        <is>
          <t>Компания «Югасепт» — производитель дезинфицирующих спиртовых салфеток. Успешный поставщик, надежный партнер, высокое качество поставляемой продукции.</t>
        </is>
      </c>
      <c r="I394" s="15" t="inlineStr">
        <is>
          <t>Дезинфицирующие средства и материалы</t>
        </is>
      </c>
      <c r="J394" s="15" t="inlineStr">
        <is>
          <t>Производитель</t>
        </is>
      </c>
      <c r="K394" s="15" t="inlineStr">
        <is>
          <t>OK</t>
        </is>
      </c>
      <c r="L394" s="15" t="inlineStr">
        <is>
          <t>дезинфицирующие средства и материалы</t>
        </is>
      </c>
      <c r="M394" s="15" t="inlineStr">
        <is>
          <t>Югасепт</t>
        </is>
      </c>
      <c r="N394" s="15" t="inlineStr">
        <is>
          <t>Здравоохранение-2025</t>
        </is>
      </c>
      <c r="O394" s="20" t="inlineStr">
        <is>
          <t>https://icatalog.expocentr.ru/ru/exhibitions/de590dc5-417d-11ee-80ce-a0d3c1fab97f</t>
        </is>
      </c>
    </row>
    <row r="395">
      <c r="A395" s="15" t="inlineStr">
        <is>
          <t>РИВЬЕРА БИОТЕК</t>
        </is>
      </c>
      <c r="B395" s="15" t="inlineStr">
        <is>
          <t>5B050</t>
        </is>
      </c>
      <c r="C395" s="15" t="inlineStr">
        <is>
          <t>Россия</t>
        </is>
      </c>
      <c r="D395" s="15" t="inlineStr">
        <is>
          <t>Краснодар</t>
        </is>
      </c>
      <c r="E395" s="15" t="inlineStr">
        <is>
          <t>Россия, 350059, г. Краснодар, ул. Онежская, д. 64, пом. 6</t>
        </is>
      </c>
      <c r="F395" s="20" t="inlineStr">
        <is>
          <t>http://www.rivierabiotech.com</t>
        </is>
      </c>
      <c r="G395" s="15" t="inlineStr">
        <is>
          <t>info@rivierabiotech.ru</t>
        </is>
      </c>
      <c r="H395" s="15" t="inlineStr">
        <is>
          <t>Продажа пустых капсул, сырья и оборудования для производства БАД и лекарственных средств.</t>
        </is>
      </c>
      <c r="I395" s="15" t="inlineStr">
        <is>
          <t>Производство медицинских изделий; Комплектующие для производства медицинских изделий; Оборудование для криотерапии; Лекарственные средства; Биологически активные добавки к пище</t>
        </is>
      </c>
      <c r="J395" s="15" t="inlineStr">
        <is>
          <t>Дилер</t>
        </is>
      </c>
      <c r="K395" s="15" t="inlineStr">
        <is>
          <t>OK</t>
        </is>
      </c>
      <c r="L395" s="15" t="inlineStr">
        <is>
          <t>капсулы, сырье, оборудование, изделия и добавки</t>
        </is>
      </c>
      <c r="M395" s="15" t="inlineStr">
        <is>
          <t>Ривьера Биотек</t>
        </is>
      </c>
      <c r="N395" s="15" t="inlineStr">
        <is>
          <t>Здравоохранение-2025</t>
        </is>
      </c>
      <c r="O395" s="20" t="inlineStr">
        <is>
          <t>https://icatalog.expocentr.ru/ru/exhibitions/de590dc5-417d-11ee-80ce-a0d3c1fab97f</t>
        </is>
      </c>
    </row>
    <row r="396">
      <c r="A396" s="15" t="inlineStr">
        <is>
          <t>Doctor Linden</t>
        </is>
      </c>
      <c r="B396" s="15" t="inlineStr">
        <is>
          <t>5B050</t>
        </is>
      </c>
      <c r="C396" s="15" t="inlineStr">
        <is>
          <t>Россия</t>
        </is>
      </c>
      <c r="D396" s="15" t="inlineStr">
        <is>
          <t>Краснодар</t>
        </is>
      </c>
      <c r="E396" s="15" t="inlineStr">
        <is>
          <t>Россия, 350000, г. Краснодар, ул. Зиповская, д. 36</t>
        </is>
      </c>
      <c r="F396" s="20" t="inlineStr">
        <is>
          <t>https://www.dr-linden.ru</t>
        </is>
      </c>
      <c r="G396" s="15" t="inlineStr">
        <is>
          <t>lindenbydoc@gmail.com</t>
        </is>
      </c>
      <c r="H396" s="15" t="inlineStr">
        <is>
          <t>Dr.Linden — больше, чем медицинская одежда. Бренд, созданный врачом для врачей. Создаем современный корпоративный стиль медицинских клиник!</t>
        </is>
      </c>
      <c r="I396" s="15" t="inlineStr">
        <is>
          <t>Стоматологическое оборудование и инструменты; Одежда и белье для пациентов и медицинского персонала; Прочее общебольничное оборудование; Гигиенические изделия для больниц; Производство медицинских изделий; Рентгеновские диагностические установки, передвижные и стационарные</t>
        </is>
      </c>
      <c r="J396" s="15" t="inlineStr">
        <is>
          <t>Производитель</t>
        </is>
      </c>
      <c r="K396" s="15" t="inlineStr">
        <is>
          <t>OK</t>
        </is>
      </c>
      <c r="L396" s="15" t="inlineStr">
        <is>
          <t>медицинская одежда, стоматологическое оборудование, гигиенические изделия и рентгеновские установки</t>
        </is>
      </c>
      <c r="M396" s="15" t="inlineStr">
        <is>
          <t>Doctor Linden</t>
        </is>
      </c>
      <c r="N396" s="15" t="inlineStr">
        <is>
          <t>Здравоохранение-2025</t>
        </is>
      </c>
      <c r="O396" s="20" t="inlineStr">
        <is>
          <t>https://icatalog.expocentr.ru/ru/exhibitions/de590dc5-417d-11ee-80ce-a0d3c1fab97f</t>
        </is>
      </c>
    </row>
    <row r="397">
      <c r="A397" s="15" t="inlineStr">
        <is>
          <t>АНАПСКАЯ КОСМЕТИКА</t>
        </is>
      </c>
      <c r="B397" s="15" t="inlineStr">
        <is>
          <t>5B050</t>
        </is>
      </c>
      <c r="C397" s="15" t="inlineStr">
        <is>
          <t>Россия</t>
        </is>
      </c>
      <c r="D397" s="15" t="n"/>
      <c r="E397" s="15" t="inlineStr">
        <is>
          <t>Россия, 353411, Краснодарский край, Анапский р-н, с. Супсех, ул. Космонавта Волкова, д. 14</t>
        </is>
      </c>
      <c r="F397" s="20" t="inlineStr">
        <is>
          <t>https://fitstyle.ru/anapskaya-kosmetika</t>
        </is>
      </c>
      <c r="G397" s="15" t="inlineStr">
        <is>
          <t>vdovina@fitstyle.ru</t>
        </is>
      </c>
      <c r="H397" s="15" t="inlineStr">
        <is>
          <t>Компания производит косметические средства под брендами «Анапская косметика» и Fitstyle. Реализуется на сайте Fitstyle.ru и на маркетплейсах, а также в фирменных магазинах, в аптечных сетях.</t>
        </is>
      </c>
      <c r="I397" s="15" t="inlineStr">
        <is>
          <t>Эстетическая медицина и косметология; Косметические препараты; Лечебная косметика; Фито- и ароматерапия; Профилактическая медицина, увеличение продолжительности жизни; Закаливание</t>
        </is>
      </c>
      <c r="J397" s="15" t="inlineStr">
        <is>
          <t>Производитель</t>
        </is>
      </c>
      <c r="K397" s="15" t="inlineStr">
        <is>
          <t>OK</t>
        </is>
      </c>
      <c r="L397" s="15" t="inlineStr">
        <is>
          <t>косметические средства, косметические препараты и лечебная косметика</t>
        </is>
      </c>
      <c r="M397" s="15" t="inlineStr">
        <is>
          <t>Анапская Косметика</t>
        </is>
      </c>
      <c r="N397" s="15" t="inlineStr">
        <is>
          <t>Здравоохранение-2025</t>
        </is>
      </c>
      <c r="O397" s="20" t="inlineStr">
        <is>
          <t>https://icatalog.expocentr.ru/ru/exhibitions/de590dc5-417d-11ee-80ce-a0d3c1fab97f</t>
        </is>
      </c>
    </row>
    <row r="398">
      <c r="A398" s="15" t="inlineStr">
        <is>
          <t>СКОЛКОВО</t>
        </is>
      </c>
      <c r="B398" s="15" t="inlineStr">
        <is>
          <t>5B038</t>
        </is>
      </c>
      <c r="C398" s="15" t="inlineStr">
        <is>
          <t>Россия</t>
        </is>
      </c>
      <c r="D398" s="15" t="n"/>
      <c r="E398" s="15" t="inlineStr">
        <is>
          <t>Россия</t>
        </is>
      </c>
      <c r="F398" s="20" t="inlineStr">
        <is>
          <t>https://sk.ru</t>
        </is>
      </c>
      <c r="G398" s="15" t="inlineStr">
        <is>
          <t>skfoundation@sk.ru</t>
        </is>
      </c>
      <c r="H398" s="15" t="inlineStr">
        <is>
          <t>Сколково (Группа ВЭБ.РФ) – крупнейший инновационный центр России. Стартапы экосистемы «Сколково» поставляют отечественную высокотехнологичную продукцию для медицины, промышленности, транспорта и т. д.</t>
        </is>
      </c>
      <c r="I398" s="15" t="inlineStr">
        <is>
          <t>Прочие диагностические устройства; Физиотерапия и реабилитация; Реабилитационное оборудование</t>
        </is>
      </c>
      <c r="J398" s="15" t="inlineStr">
        <is>
          <t>Производитель</t>
        </is>
      </c>
      <c r="K398" s="15" t="inlineStr">
        <is>
          <t>OK</t>
        </is>
      </c>
      <c r="L398" s="15" t="inlineStr">
        <is>
          <t>диагностические устройства, оборудование для физиотерапии и реабилитационное оборудование</t>
        </is>
      </c>
      <c r="M398" s="15" t="inlineStr">
        <is>
          <t>Сколково</t>
        </is>
      </c>
      <c r="N398" s="15" t="inlineStr">
        <is>
          <t>Здравоохранение-2025</t>
        </is>
      </c>
      <c r="O398" s="20" t="inlineStr">
        <is>
          <t>https://icatalog.expocentr.ru/ru/exhibitions/de590dc5-417d-11ee-80ce-a0d3c1fab97f</t>
        </is>
      </c>
    </row>
    <row r="399">
      <c r="A399" s="15" t="inlineStr">
        <is>
          <t>ПАПИЙОН</t>
        </is>
      </c>
      <c r="B399" s="15" t="inlineStr">
        <is>
          <t>5B038</t>
        </is>
      </c>
      <c r="C399" s="15" t="inlineStr">
        <is>
          <t>Россия</t>
        </is>
      </c>
      <c r="D399" s="15" t="n"/>
      <c r="E399" s="15" t="inlineStr">
        <is>
          <t>Россия</t>
        </is>
      </c>
      <c r="F399" s="20" t="inlineStr">
        <is>
          <t>http://papillon.health</t>
        </is>
      </c>
      <c r="G399" s="15" t="n"/>
      <c r="H399" s="15" t="inlineStr">
        <is>
          <t>Мультимодальная платформа многофункциональных кроватей «Папийон» представляет собой линейку модернизированных кроватей-трансформеров, усовершенствованных с учетом требований современного функционала.</t>
        </is>
      </c>
      <c r="I399" s="15" t="inlineStr">
        <is>
          <t>Медицинская мебель; Кушетки медицинские</t>
        </is>
      </c>
      <c r="J399" s="15" t="inlineStr">
        <is>
          <t>Производитель</t>
        </is>
      </c>
      <c r="K399" s="15" t="inlineStr">
        <is>
          <t>OK</t>
        </is>
      </c>
      <c r="L399" s="15" t="inlineStr">
        <is>
          <t>кровати, кушетки и мебель</t>
        </is>
      </c>
      <c r="M399" s="15" t="inlineStr">
        <is>
          <t>Папийон</t>
        </is>
      </c>
      <c r="N399" s="15" t="inlineStr">
        <is>
          <t>Здравоохранение-2025</t>
        </is>
      </c>
      <c r="O399" s="20" t="inlineStr">
        <is>
          <t>https://icatalog.expocentr.ru/ru/exhibitions/de590dc5-417d-11ee-80ce-a0d3c1fab97f</t>
        </is>
      </c>
    </row>
    <row r="400">
      <c r="A400" s="15" t="inlineStr">
        <is>
          <t>СЕНСОМЕД</t>
        </is>
      </c>
      <c r="B400" s="15" t="inlineStr">
        <is>
          <t>5B038</t>
        </is>
      </c>
      <c r="C400" s="15" t="inlineStr">
        <is>
          <t>Россия</t>
        </is>
      </c>
      <c r="D400" s="15" t="n"/>
      <c r="E400" s="15" t="inlineStr">
        <is>
          <t>Россия</t>
        </is>
      </c>
      <c r="F400" s="20" t="inlineStr">
        <is>
          <t>https://sensorehab.com/ru</t>
        </is>
      </c>
      <c r="G400" s="15" t="inlineStr">
        <is>
          <t>info@sensorehab.com</t>
        </is>
      </c>
      <c r="H400" s="15" t="inlineStr">
        <is>
          <t>SensoRehab – это программно-аппаратный комплекс для реабилитации пациентов с нейрокогнитивными нарушениями с применением сенсорной перчатки и технологий виртуальной реальности.</t>
        </is>
      </c>
      <c r="I400" s="15" t="inlineStr">
        <is>
          <t>Физиотерапия и реабилитация; Оборудование для комбинированной физиотерапии; Реабилитационное оборудование; Тренажеры</t>
        </is>
      </c>
      <c r="J400" s="15" t="inlineStr">
        <is>
          <t>Производитель</t>
        </is>
      </c>
      <c r="K400" s="15" t="inlineStr">
        <is>
          <t>OK</t>
        </is>
      </c>
      <c r="L400" s="15" t="inlineStr">
        <is>
          <t>реабилитационное оборудование, тренажеры и перчатки</t>
        </is>
      </c>
      <c r="M400" s="15" t="inlineStr">
        <is>
          <t>Сенсомед</t>
        </is>
      </c>
      <c r="N400" s="15" t="inlineStr">
        <is>
          <t>Здравоохранение-2025</t>
        </is>
      </c>
      <c r="O400" s="20" t="inlineStr">
        <is>
          <t>https://icatalog.expocentr.ru/ru/exhibitions/de590dc5-417d-11ee-80ce-a0d3c1fab97f</t>
        </is>
      </c>
    </row>
    <row r="401">
      <c r="A401" s="15" t="inlineStr">
        <is>
          <t>САЙНТИФИК КОМПЛАЙНС (СК)</t>
        </is>
      </c>
      <c r="B401" s="15" t="inlineStr">
        <is>
          <t>5B038</t>
        </is>
      </c>
      <c r="C401" s="15" t="inlineStr">
        <is>
          <t>Россия</t>
        </is>
      </c>
      <c r="D401" s="15" t="n"/>
      <c r="E401" s="15" t="inlineStr">
        <is>
          <t>Россия</t>
        </is>
      </c>
      <c r="F401" s="20" t="inlineStr">
        <is>
          <t>https://scientific-compliance.ru</t>
        </is>
      </c>
      <c r="G401" s="15" t="inlineStr">
        <is>
          <t>a.poluyanov@scientific-compliance.ru</t>
        </is>
      </c>
      <c r="H401" s="15" t="inlineStr">
        <is>
          <t>Физиологически релевантный тестер — 6 (ФРТ-6) позволяет изучить «поведение» таблетки, капсулы в условиях, близких к реальным условиям ЖКТ человека, и предсказать фармакокинетические профили.</t>
        </is>
      </c>
      <c r="I401" s="15" t="inlineStr">
        <is>
          <t>Лабораторное оборудование; Анализаторы</t>
        </is>
      </c>
      <c r="J401" s="15" t="inlineStr">
        <is>
          <t>Производитель</t>
        </is>
      </c>
      <c r="K401" s="15" t="inlineStr">
        <is>
          <t>OK</t>
        </is>
      </c>
      <c r="L401" s="15" t="inlineStr">
        <is>
          <t>оборудование, анализаторы, тестеры</t>
        </is>
      </c>
      <c r="M401" s="15" t="inlineStr">
        <is>
          <t>Сайнтифик Комплайнс (СК)</t>
        </is>
      </c>
      <c r="N401" s="15" t="inlineStr">
        <is>
          <t>Здравоохранение-2025</t>
        </is>
      </c>
      <c r="O401" s="20" t="inlineStr">
        <is>
          <t>https://icatalog.expocentr.ru/ru/exhibitions/de590dc5-417d-11ee-80ce-a0d3c1fab97f</t>
        </is>
      </c>
    </row>
    <row r="402">
      <c r="A402" s="15" t="inlineStr">
        <is>
          <t>ТЕХПРОДЗДРАВ, НПО</t>
        </is>
      </c>
      <c r="B402" s="15" t="inlineStr">
        <is>
          <t>5B038</t>
        </is>
      </c>
      <c r="C402" s="15" t="inlineStr">
        <is>
          <t>Россия</t>
        </is>
      </c>
      <c r="D402" s="15" t="n"/>
      <c r="E402" s="15" t="inlineStr">
        <is>
          <t>Россия</t>
        </is>
      </c>
      <c r="F402" s="20" t="inlineStr">
        <is>
          <t>https://npotpz.ru</t>
        </is>
      </c>
      <c r="G402" s="15" t="n"/>
      <c r="H402" s="15" t="inlineStr">
        <is>
          <t>Изделия с микросферами «Артрейд» — инновационные медицинские изделия для лечения и профилактики заболеваний сердечно-сосудистой системы и опорно-двигательного аппарата.</t>
        </is>
      </c>
      <c r="I402" s="15" t="inlineStr">
        <is>
          <t>Реабилитационное оборудование; Тренажеры; Оборудование для компрессионной терапии; Профилактическая медицина, увеличение продолжительности жизни; Ортопедия и травматология</t>
        </is>
      </c>
      <c r="J402" s="15" t="inlineStr">
        <is>
          <t>Производитель</t>
        </is>
      </c>
      <c r="K402" s="15" t="inlineStr">
        <is>
          <t>OK</t>
        </is>
      </c>
      <c r="L402" s="15" t="inlineStr">
        <is>
          <t>медицинские изделия, реабилитационное оборудование, тренажеры и оборудование для терапии</t>
        </is>
      </c>
      <c r="M402" s="15" t="inlineStr">
        <is>
          <t>ТЕХПРОДЗДРАВ, НПО</t>
        </is>
      </c>
      <c r="N402" s="15" t="inlineStr">
        <is>
          <t>Здравоохранение-2025</t>
        </is>
      </c>
      <c r="O402" s="20" t="inlineStr">
        <is>
          <t>https://icatalog.expocentr.ru/ru/exhibitions/de590dc5-417d-11ee-80ce-a0d3c1fab97f</t>
        </is>
      </c>
    </row>
    <row r="403">
      <c r="A403" s="15" t="inlineStr">
        <is>
          <t>ФИТОФАРМ, ООО</t>
        </is>
      </c>
      <c r="B403" s="15" t="inlineStr">
        <is>
          <t>5B050</t>
        </is>
      </c>
      <c r="C403" s="15" t="inlineStr">
        <is>
          <t>Россия</t>
        </is>
      </c>
      <c r="D403" s="15" t="inlineStr">
        <is>
          <t>Анапа</t>
        </is>
      </c>
      <c r="E403" s="15" t="inlineStr">
        <is>
          <t>Россия, Краснодарский край, г. Анапа, ул. Парковая, д. 57</t>
        </is>
      </c>
      <c r="F403" s="20" t="inlineStr">
        <is>
          <t>https://fitofarm.ru</t>
        </is>
      </c>
      <c r="G403" s="15" t="inlineStr">
        <is>
          <t>sales@fitofarm.ru</t>
        </is>
      </c>
      <c r="H403" s="15" t="inlineStr">
        <is>
          <t>ПКФ «Фитофарм» (ООО) ведет свою историю с 1992 г. и более 30 лет входит в число лидирующих предприятий России, занятых производством медикаментов из лекарственного растительного сырья.</t>
        </is>
      </c>
      <c r="I403" s="15" t="inlineStr">
        <is>
          <t>Фито- и ароматерапия</t>
        </is>
      </c>
      <c r="J403" s="15" t="inlineStr">
        <is>
          <t>Производитель</t>
        </is>
      </c>
      <c r="K403" s="15" t="inlineStr">
        <is>
          <t>OK</t>
        </is>
      </c>
      <c r="L403" s="15" t="inlineStr">
        <is>
          <t>медикаменты, растительное сырье</t>
        </is>
      </c>
      <c r="M403" s="15" t="inlineStr">
        <is>
          <t>Фитофарм</t>
        </is>
      </c>
      <c r="N403" s="15" t="inlineStr">
        <is>
          <t>Здравоохранение-2025</t>
        </is>
      </c>
      <c r="O403" s="20" t="inlineStr">
        <is>
          <t>https://icatalog.expocentr.ru/ru/exhibitions/de590dc5-417d-11ee-80ce-a0d3c1fab97f</t>
        </is>
      </c>
    </row>
    <row r="404">
      <c r="A404" s="15" t="inlineStr">
        <is>
          <t>ХИМАВТОМАТИКА, НПО, АО</t>
        </is>
      </c>
      <c r="B404" s="15" t="inlineStr">
        <is>
          <t>5B021</t>
        </is>
      </c>
      <c r="C404" s="15" t="inlineStr">
        <is>
          <t>Россия</t>
        </is>
      </c>
      <c r="D404" s="15" t="inlineStr">
        <is>
          <t>Москва</t>
        </is>
      </c>
      <c r="E404" s="15" t="inlineStr">
        <is>
          <t>Россия, 129226, г. Москва, ул. Сельскохозяйственная, д. 12а</t>
        </is>
      </c>
      <c r="F404" s="20" t="inlineStr">
        <is>
          <t>https://chimavtomatika.ru</t>
        </is>
      </c>
      <c r="G404" s="15" t="inlineStr">
        <is>
          <t>mail@chimavtomatika.ru</t>
        </is>
      </c>
      <c r="H404" s="15" t="inlineStr">
        <is>
          <t>Основным видом деятельности АО НПО «Химавтоматика» являются научные исследования и разработки, а также производство систем технологического и экологического контроля, аналитических приборов, медицинской техники.</t>
        </is>
      </c>
      <c r="I404" s="15" t="inlineStr">
        <is>
          <t>Оборудование для дезинфекции; Оборудование для стерилизации</t>
        </is>
      </c>
      <c r="J404" s="15" t="inlineStr">
        <is>
          <t>Производитель</t>
        </is>
      </c>
      <c r="K404" s="15" t="inlineStr">
        <is>
          <t>OK</t>
        </is>
      </c>
      <c r="L404" s="15" t="inlineStr">
        <is>
          <t>аналитические приборы, медицинская техника и оборудование</t>
        </is>
      </c>
      <c r="M404" s="15" t="inlineStr">
        <is>
          <t>Химавтоматика, НПО</t>
        </is>
      </c>
      <c r="N404" s="15" t="inlineStr">
        <is>
          <t>Здравоохранение-2025</t>
        </is>
      </c>
      <c r="O404" s="20" t="inlineStr">
        <is>
          <t>https://icatalog.expocentr.ru/ru/exhibitions/de590dc5-417d-11ee-80ce-a0d3c1fab97f</t>
        </is>
      </c>
    </row>
    <row r="405">
      <c r="A405" s="15" t="inlineStr">
        <is>
          <t>ЦЕНТР ИНЖИНИРИНГА И ИННОВАЦИЙ ТОМСКОЙ ОБЛАСТИ, АНО</t>
        </is>
      </c>
      <c r="B405" s="15" t="inlineStr">
        <is>
          <t>5B045</t>
        </is>
      </c>
      <c r="C405" s="15" t="inlineStr">
        <is>
          <t>Россия</t>
        </is>
      </c>
      <c r="D405" s="15" t="inlineStr">
        <is>
          <t>Томск</t>
        </is>
      </c>
      <c r="E405" s="15" t="inlineStr">
        <is>
          <t>Россия, 634034, г. Томск, ул. Белинского, д. 60, этаж 3</t>
        </is>
      </c>
      <c r="F405" s="20" t="inlineStr">
        <is>
          <t>https://www.engineering.tomsk.ru/about/</t>
        </is>
      </c>
      <c r="G405" s="15" t="inlineStr">
        <is>
          <t>info@engineering.tomsk.ru</t>
        </is>
      </c>
      <c r="H405" s="15" t="inlineStr">
        <is>
          <t>АНО «ЦИИТО» организовывает коллективный стенд для инновационных технологических компаний и вузов Томской области с целью демонстрации разработок и формирования стратегических партнерств.</t>
        </is>
      </c>
      <c r="I405" s="15" t="inlineStr">
        <is>
          <t>Производство медицинских изделий; Передвижные пункты первичной (скорой) медицинской помощи; Средства для оказания экстренной медицинской помощи; Комплекты реанимационного оборудования; Принадлежности для хирургических аппаратов</t>
        </is>
      </c>
      <c r="J405" s="15" t="inlineStr">
        <is>
          <t>Производитель</t>
        </is>
      </c>
      <c r="K405" s="15" t="inlineStr">
        <is>
          <t>OK</t>
        </is>
      </c>
      <c r="L405" s="15" t="inlineStr">
        <is>
          <t>медицинские изделия, передвижные пункты, комплекты оборудования и принадлежности</t>
        </is>
      </c>
      <c r="M405" s="15" t="inlineStr">
        <is>
          <t>Центр Инжиниринга</t>
        </is>
      </c>
      <c r="N405" s="15" t="inlineStr">
        <is>
          <t>Здравоохранение-2025</t>
        </is>
      </c>
      <c r="O405" s="20" t="inlineStr">
        <is>
          <t>https://icatalog.expocentr.ru/ru/exhibitions/de590dc5-417d-11ee-80ce-a0d3c1fab97f</t>
        </is>
      </c>
    </row>
    <row r="406">
      <c r="A406" s="15" t="inlineStr">
        <is>
          <t>ПРОХИМ, ООО</t>
        </is>
      </c>
      <c r="B406" s="15" t="inlineStr">
        <is>
          <t>5B030</t>
        </is>
      </c>
      <c r="C406" s="15" t="inlineStr">
        <is>
          <t>Россия</t>
        </is>
      </c>
      <c r="D406" s="15" t="inlineStr">
        <is>
          <t>Орёл</t>
        </is>
      </c>
      <c r="E406" s="15" t="inlineStr">
        <is>
          <t>Россия, 302008,, г. Орёл, ул. Машиностроительная, д. 6, корп. 2, пом. 2</t>
        </is>
      </c>
      <c r="F406" s="20" t="inlineStr">
        <is>
          <t>https://prokhim.ru</t>
        </is>
      </c>
      <c r="G406" s="15" t="inlineStr">
        <is>
          <t>info@prokhim.ru</t>
        </is>
      </c>
      <c r="H406" s="15" t="inlineStr">
        <is>
          <t>Компания производит оборудование для прачечных и химчисток. Основанный в 2002 году завод уже более 18 лет занимается разработкой, серийным выпуском и комплексными продажами данного оборудования.</t>
        </is>
      </c>
      <c r="I406" s="15" t="inlineStr">
        <is>
          <t>Оборудование для прачечных; Прочее общебольничное оборудование; Чистые помещения; Проектирование и оснащение медицинских учреждений под ключ</t>
        </is>
      </c>
      <c r="J406" s="15" t="inlineStr">
        <is>
          <t>Производитель</t>
        </is>
      </c>
      <c r="K406" s="15" t="inlineStr">
        <is>
          <t>OK</t>
        </is>
      </c>
      <c r="L406" s="15" t="inlineStr">
        <is>
          <t>оборудование для прачечных, общебольничное оборудование</t>
        </is>
      </c>
      <c r="M406" s="15" t="inlineStr">
        <is>
          <t>Прохим</t>
        </is>
      </c>
      <c r="N406" s="15" t="inlineStr">
        <is>
          <t>Здравоохранение-2025</t>
        </is>
      </c>
      <c r="O406" s="20" t="inlineStr">
        <is>
          <t>https://icatalog.expocentr.ru/ru/exhibitions/de590dc5-417d-11ee-80ce-a0d3c1fab97f</t>
        </is>
      </c>
    </row>
    <row r="407">
      <c r="A407" s="15" t="inlineStr">
        <is>
          <t>АЛЬСАРИЯ, ООО</t>
        </is>
      </c>
      <c r="B407" s="15" t="inlineStr">
        <is>
          <t>5B030</t>
        </is>
      </c>
      <c r="C407" s="15" t="inlineStr">
        <is>
          <t>Россия</t>
        </is>
      </c>
      <c r="D407" s="15" t="inlineStr">
        <is>
          <t>Орёл</t>
        </is>
      </c>
      <c r="E407" s="15" t="inlineStr">
        <is>
          <t>Россия, 302008, г. Орёл, ул. Высоковольтная, стр. 2а</t>
        </is>
      </c>
      <c r="F407" s="20" t="inlineStr">
        <is>
          <t>https://alsariya.com</t>
        </is>
      </c>
      <c r="G407" s="15" t="inlineStr">
        <is>
          <t>alsariya@mail.ru</t>
        </is>
      </c>
      <c r="H407" s="15" t="inlineStr">
        <is>
          <t>«АЛЬСАРИЯ» — ведущая российская компания по производству товаров медицинского и бытового назначения с использованием инновационной технологии микросфер.</t>
        </is>
      </c>
      <c r="I407" s="15" t="inlineStr">
        <is>
          <t>Косметические препараты; Традиционные методы диагностики (диагностика нарушения сна, компьютерная оптическая топография и др.); Медицинские изделия для домашнего применения</t>
        </is>
      </c>
      <c r="J407" s="15" t="inlineStr">
        <is>
          <t>Производитель</t>
        </is>
      </c>
      <c r="K407" s="15" t="inlineStr">
        <is>
          <t>OK</t>
        </is>
      </c>
      <c r="L407" s="15" t="inlineStr">
        <is>
          <t>косметические препараты, медицинские изделия и товары для дома</t>
        </is>
      </c>
      <c r="M407" s="15" t="inlineStr">
        <is>
          <t>Альсария</t>
        </is>
      </c>
      <c r="N407" s="15" t="inlineStr">
        <is>
          <t>Здравоохранение-2025</t>
        </is>
      </c>
      <c r="O407" s="20" t="inlineStr">
        <is>
          <t>https://icatalog.expocentr.ru/ru/exhibitions/de590dc5-417d-11ee-80ce-a0d3c1fab97f</t>
        </is>
      </c>
    </row>
    <row r="408">
      <c r="A408" s="15" t="inlineStr">
        <is>
          <t>МОСКОВСКИЙ ИННОВАЦИОННЫЙ КЛАСТЕР, ФОНД</t>
        </is>
      </c>
      <c r="B408" s="15" t="inlineStr">
        <is>
          <t>5B128</t>
        </is>
      </c>
      <c r="C408" s="15" t="inlineStr">
        <is>
          <t>Россия</t>
        </is>
      </c>
      <c r="D408" s="15" t="inlineStr">
        <is>
          <t>Москва</t>
        </is>
      </c>
      <c r="E408" s="15" t="inlineStr">
        <is>
          <t>Россия, 125009, г. Москва, вн. тер. г. м. о. Арбат, ул. Воздвиженка, д. 4/7, стр. 2</t>
        </is>
      </c>
      <c r="F408" s="20" t="inlineStr">
        <is>
          <t>http://i.moscow</t>
        </is>
      </c>
      <c r="G408" s="15" t="inlineStr">
        <is>
          <t>info@cluster.mos.ru</t>
        </is>
      </c>
      <c r="H408" s="15" t="inlineStr">
        <is>
          <t>Московский инновационный кластер — экосистема для кооперации крупного бизнеса, технологических компаний, научных организаций и вузов с целью разработки и внедрения передовых инновационных продуктов.</t>
        </is>
      </c>
      <c r="I408" s="15" t="inlineStr">
        <is>
          <t>Прочие диагностические устройства; Компьютерные томографы; Фитнес и спорт; Медицинские изделия для домашнего применения; Прочие изделия для лабораторий; Оборудование для заготовки и хранения донорской крови и ее компонентов</t>
        </is>
      </c>
      <c r="J408" s="15" t="inlineStr">
        <is>
          <t>Поставщик услуг</t>
        </is>
      </c>
      <c r="K408" s="15" t="inlineStr">
        <is>
          <t>OK</t>
        </is>
      </c>
      <c r="L408" s="15" t="inlineStr">
        <is>
          <t>устройства, томографы, изделия и оборудование</t>
        </is>
      </c>
      <c r="M408" s="15" t="inlineStr">
        <is>
          <t>Московский Инновационный Кластер</t>
        </is>
      </c>
      <c r="N408" s="15" t="inlineStr">
        <is>
          <t>Здравоохранение-2025</t>
        </is>
      </c>
      <c r="O408" s="20" t="inlineStr">
        <is>
          <t>https://icatalog.expocentr.ru/ru/exhibitions/de590dc5-417d-11ee-80ce-a0d3c1fab97f</t>
        </is>
      </c>
    </row>
    <row r="409">
      <c r="A409" s="15" t="inlineStr">
        <is>
          <t>УМНЫЕ МЕДИЦИНСКИЕ ТЕХНОЛОГИИ, ООО (УМТ, ООО)</t>
        </is>
      </c>
      <c r="B409" s="15" t="inlineStr">
        <is>
          <t>5B110</t>
        </is>
      </c>
      <c r="C409" s="15" t="inlineStr">
        <is>
          <t>Россия</t>
        </is>
      </c>
      <c r="D409" s="15" t="inlineStr">
        <is>
          <t>Иваново</t>
        </is>
      </c>
      <c r="E409" s="15" t="inlineStr">
        <is>
          <t>Россия, г. Иваново, ул. Витебская, д. 24</t>
        </is>
      </c>
      <c r="F409" s="20" t="inlineStr">
        <is>
          <t>http://www.smartmedical.tech</t>
        </is>
      </c>
      <c r="G409" s="15" t="inlineStr">
        <is>
          <t>nikiforov.innovation@gmail.com</t>
        </is>
      </c>
      <c r="H409" s="15" t="inlineStr">
        <is>
          <t>Texel — решения для спортивной и восстановительной медицины: персональные анатомические текстильные электроды, беспроводные электростимуляторы и охлаждающие бандажи.</t>
        </is>
      </c>
      <c r="I409" s="15" t="inlineStr">
        <is>
          <t>Оборудование для вибротерапии и массажа; Оборудование для электротерапии; Оборудование для комбинированной физиотерапии; Оборудование для криотерапии; Средства для спорта, отдыха, досуга</t>
        </is>
      </c>
      <c r="J409" s="15" t="inlineStr">
        <is>
          <t>Производитель</t>
        </is>
      </c>
      <c r="K409" s="15" t="inlineStr">
        <is>
          <t>OK</t>
        </is>
      </c>
      <c r="L409" s="15" t="inlineStr">
        <is>
          <t>электроды, электростимуляторы и бандажи</t>
        </is>
      </c>
      <c r="M409" s="15" t="inlineStr">
        <is>
          <t>УМТ</t>
        </is>
      </c>
      <c r="N409" s="15" t="inlineStr">
        <is>
          <t>Здравоохранение-2025</t>
        </is>
      </c>
      <c r="O409" s="20" t="inlineStr">
        <is>
          <t>https://icatalog.expocentr.ru/ru/exhibitions/de590dc5-417d-11ee-80ce-a0d3c1fab97f</t>
        </is>
      </c>
    </row>
    <row r="410">
      <c r="A410" s="15" t="inlineStr">
        <is>
          <t>MEDLEX</t>
        </is>
      </c>
      <c r="B410" s="15" t="inlineStr">
        <is>
          <t>5B050</t>
        </is>
      </c>
      <c r="C410" s="15" t="inlineStr">
        <is>
          <t>Россия</t>
        </is>
      </c>
      <c r="D410" s="15" t="inlineStr">
        <is>
          <t>Краснодар</t>
        </is>
      </c>
      <c r="E410" s="15" t="inlineStr">
        <is>
          <t>Россия, 350010, г. Краснодар, ул. Зиповская, д. 5, корп. 33</t>
        </is>
      </c>
      <c r="F410" s="20" t="inlineStr">
        <is>
          <t>https://medlex.ru</t>
        </is>
      </c>
      <c r="G410" s="15" t="inlineStr">
        <is>
          <t>info@medlex.ru</t>
        </is>
      </c>
      <c r="H410" s="15" t="inlineStr">
        <is>
          <t>Направления:— производство дезинфицирующих и моющих средств;— оснащение учреждений медицинским и общебольничным оборудованием;— поставка химических реактивов, мерной и химико-лабораторной посуды.</t>
        </is>
      </c>
      <c r="I410" s="15" t="inlineStr">
        <is>
          <t>Средства химической дезинфекции и стерилизации; Дезинфицирующие средства и материалы; Расходные материалы для медицинских приборов; Гигиенические изделия для больниц; Одноразовые медицинские изделия прочие; Расходные материалы для медицинского оборудования</t>
        </is>
      </c>
      <c r="J410" s="15" t="inlineStr">
        <is>
          <t>Производитель</t>
        </is>
      </c>
      <c r="K410" s="15" t="inlineStr">
        <is>
          <t>OK</t>
        </is>
      </c>
      <c r="L410" s="15" t="inlineStr">
        <is>
          <t>дезинфицирующие средства, моющие средства, оборудование и реактивы</t>
        </is>
      </c>
      <c r="M410" s="15" t="inlineStr">
        <is>
          <t>Medlex</t>
        </is>
      </c>
      <c r="N410" s="15" t="inlineStr">
        <is>
          <t>Здравоохранение-2025</t>
        </is>
      </c>
      <c r="O410" s="20" t="inlineStr">
        <is>
          <t>https://icatalog.expocentr.ru/ru/exhibitions/de590dc5-417d-11ee-80ce-a0d3c1fab97f</t>
        </is>
      </c>
    </row>
    <row r="411">
      <c r="A411" s="15" t="inlineStr">
        <is>
          <t>ЛИДЕРПЛАСТ, ООО</t>
        </is>
      </c>
      <c r="B411" s="15" t="inlineStr">
        <is>
          <t>5B050</t>
        </is>
      </c>
      <c r="C411" s="15" t="inlineStr">
        <is>
          <t>Россия</t>
        </is>
      </c>
      <c r="D411" s="15" t="inlineStr">
        <is>
          <t>Краснодар</t>
        </is>
      </c>
      <c r="E411" s="15" t="inlineStr">
        <is>
          <t>Россия, 350058, г. Краснодар, ул. Старокубанская, д. 114, литера А1, оф. 508</t>
        </is>
      </c>
      <c r="F411" s="20" t="inlineStr">
        <is>
          <t>http://www.ldplast.ru/</t>
        </is>
      </c>
      <c r="G411" s="15" t="inlineStr">
        <is>
          <t>sales@ldplast.ru</t>
        </is>
      </c>
      <c r="H411" s="15" t="inlineStr">
        <is>
          <t>ООО «ЛП» с 2011 года производит высококачественные полимерные пленки (ПВХ, ПЭТ, ПВХ/ПЕ, ПЭТ/ПЕ) для пищевой, строительной и фармацевтической отраслей, учитывая особенности и запросы каждого клиента.</t>
        </is>
      </c>
      <c r="I411" s="15" t="inlineStr">
        <is>
          <t>Медицинская упаковка; Расходные материалы для медицинского оборудования; Поставка медицинского оборудования и расходных материалов; Комплектующие для производства медицинских изделий</t>
        </is>
      </c>
      <c r="J411" s="15" t="inlineStr">
        <is>
          <t>Производитель</t>
        </is>
      </c>
      <c r="K411" s="15" t="inlineStr">
        <is>
          <t>OK</t>
        </is>
      </c>
      <c r="L411" s="15" t="inlineStr">
        <is>
          <t>пленки, упаковка, комплектующие и расходные материалы</t>
        </is>
      </c>
      <c r="M411" s="15" t="inlineStr">
        <is>
          <t>Лидерпласт</t>
        </is>
      </c>
      <c r="N411" s="15" t="inlineStr">
        <is>
          <t>Здравоохранение-2025</t>
        </is>
      </c>
      <c r="O411" s="20" t="inlineStr">
        <is>
          <t>https://icatalog.expocentr.ru/ru/exhibitions/de590dc5-417d-11ee-80ce-a0d3c1fab97f</t>
        </is>
      </c>
    </row>
    <row r="412">
      <c r="A412" s="15" t="inlineStr">
        <is>
          <t>ТОЛКАЧЕВА И.В., ИП</t>
        </is>
      </c>
      <c r="B412" s="15" t="inlineStr">
        <is>
          <t>5B110</t>
        </is>
      </c>
      <c r="C412" s="15" t="inlineStr">
        <is>
          <t>Россия</t>
        </is>
      </c>
      <c r="D412" s="15" t="inlineStr">
        <is>
          <t>Тейково</t>
        </is>
      </c>
      <c r="E412" s="15" t="inlineStr">
        <is>
          <t>Россия, Ивановская обл., г. Тейково, ул. местечко Лифаново, д. 6</t>
        </is>
      </c>
      <c r="F412" s="20" t="inlineStr">
        <is>
          <t>http://pupro.ru</t>
        </is>
      </c>
      <c r="G412" s="15" t="inlineStr">
        <is>
          <t>mozgovaia_n@pupro.ru</t>
        </is>
      </c>
      <c r="H412" s="15" t="inlineStr">
        <is>
          <t>Команда профессиональных химиков с 10-летним опытом в области создания полиуретанов для ортопедической продукции. Разработчики и производители криогеля (больше никакого льда, соляных грелок).</t>
        </is>
      </c>
      <c r="I412" s="15" t="inlineStr">
        <is>
          <t>Комплектующие для производства медицинских изделий; Оборудование для термотерапии; Оборудование для комбинированной физиотерапии; Оборудование для криотерапии; Ортопедические бандажи и корсеты; Ортопедическое оборудование и инструменты</t>
        </is>
      </c>
      <c r="J412" s="15" t="inlineStr">
        <is>
          <t>Производитель</t>
        </is>
      </c>
      <c r="K412" s="15" t="inlineStr">
        <is>
          <t>OK</t>
        </is>
      </c>
      <c r="L412" s="15" t="inlineStr">
        <is>
          <t>криогель, полиуретаны, ортопедические бандажи, корсеты и оборудование</t>
        </is>
      </c>
      <c r="M412" s="15" t="inlineStr">
        <is>
          <t>ИП Толкачева</t>
        </is>
      </c>
      <c r="N412" s="15" t="inlineStr">
        <is>
          <t>Здравоохранение-2025</t>
        </is>
      </c>
      <c r="O412" s="20" t="inlineStr">
        <is>
          <t>https://icatalog.expocentr.ru/ru/exhibitions/de590dc5-417d-11ee-80ce-a0d3c1fab97f</t>
        </is>
      </c>
    </row>
    <row r="413">
      <c r="A413" s="15" t="inlineStr">
        <is>
          <t>ВИЗИОНЕРО, OOO</t>
        </is>
      </c>
      <c r="B413" s="15" t="inlineStr">
        <is>
          <t>5B038</t>
        </is>
      </c>
      <c r="C413" s="15" t="inlineStr">
        <is>
          <t>Россия</t>
        </is>
      </c>
      <c r="D413" s="15" t="inlineStr">
        <is>
          <t>Санкт-Петербург</t>
        </is>
      </c>
      <c r="E413" s="15" t="inlineStr">
        <is>
          <t>Россия, г. Санкт-Петербург, Коломяжский пр., д. 18</t>
        </is>
      </c>
      <c r="F413" s="20" t="inlineStr">
        <is>
          <t>http://visionero.ru</t>
        </is>
      </c>
      <c r="G413" s="15" t="inlineStr">
        <is>
          <t>event@visionero.ru</t>
        </is>
      </c>
      <c r="H413" s="15" t="inlineStr">
        <is>
          <t>«Сенсория» – интерактивный комплекс реабилитации, диагностики и аналитики. Разработан компанией Visionero для медицинских и социальных учреждений России.</t>
        </is>
      </c>
      <c r="I413" s="15" t="inlineStr">
        <is>
          <t>Физиотерапия и реабилитация; Терапевтическое оборудование; Реабилитационное оборудование; Тренажеры</t>
        </is>
      </c>
      <c r="J413" s="15" t="inlineStr">
        <is>
          <t>Производитель</t>
        </is>
      </c>
      <c r="K413" s="15" t="inlineStr">
        <is>
          <t>OK</t>
        </is>
      </c>
      <c r="L413" s="15" t="inlineStr">
        <is>
          <t>оборудование, тренажеры, комплексы</t>
        </is>
      </c>
      <c r="M413" s="15" t="inlineStr">
        <is>
          <t>Визионеро</t>
        </is>
      </c>
      <c r="N413" s="15" t="inlineStr">
        <is>
          <t>Здравоохранение-2025</t>
        </is>
      </c>
      <c r="O413" s="20" t="inlineStr">
        <is>
          <t>https://icatalog.expocentr.ru/ru/exhibitions/de590dc5-417d-11ee-80ce-a0d3c1fab97f</t>
        </is>
      </c>
    </row>
    <row r="414">
      <c r="A414" s="15" t="inlineStr">
        <is>
          <t>АРХИТЕКТОР КРАСОТЫ, ООО</t>
        </is>
      </c>
      <c r="B414" s="15" t="inlineStr">
        <is>
          <t>11C001</t>
        </is>
      </c>
      <c r="C414" s="15" t="inlineStr">
        <is>
          <t>Россия</t>
        </is>
      </c>
      <c r="D414" s="15" t="inlineStr">
        <is>
          <t>Сарапул</t>
        </is>
      </c>
      <c r="E414" s="15" t="inlineStr">
        <is>
          <t>Россия, 427961, Удмуртская Республика, г. Сарапул, ул. Жуковского, д. 9</t>
        </is>
      </c>
      <c r="F414" s="20" t="inlineStr">
        <is>
          <t>http://www.cryotone.ru</t>
        </is>
      </c>
      <c r="G414" s="15" t="inlineStr">
        <is>
          <t>mitya.morozov.82@mail.ru</t>
        </is>
      </c>
      <c r="H414" s="15" t="inlineStr">
        <is>
          <t>Компания «Архитектор красоты» — производитель инновационного оборудования для криолиполиза Delet X. Эффективные решения, современное качество, поддержка и обучение для специалистов индустрии красоты.</t>
        </is>
      </c>
      <c r="I414" s="15" t="inlineStr">
        <is>
          <t>Спа-отель; Клиника эстетической медицины; Похудение; Программы красоты и коррекции фигуры; Программы снижения веса; Криотерапия</t>
        </is>
      </c>
      <c r="J414" s="15" t="inlineStr">
        <is>
          <t>Производитель</t>
        </is>
      </c>
      <c r="K414" s="15" t="inlineStr">
        <is>
          <t>OK</t>
        </is>
      </c>
      <c r="L414" s="15" t="inlineStr">
        <is>
          <t>оборудование</t>
        </is>
      </c>
      <c r="M414" s="15" t="inlineStr">
        <is>
          <t>Архитектор Красоты</t>
        </is>
      </c>
      <c r="N414" s="15" t="inlineStr">
        <is>
          <t>MedTravelExpo-2025</t>
        </is>
      </c>
      <c r="O414" s="20" t="inlineStr">
        <is>
          <t>https://icatalog.expocentr.ru/ru/exhibitions/9daad3de-f999-11ef-80ce-a0d3c1fab97f</t>
        </is>
      </c>
    </row>
    <row r="415">
      <c r="A415" s="15" t="inlineStr">
        <is>
          <t>БИОМЕРА, ООО</t>
        </is>
      </c>
      <c r="B415" s="15" t="inlineStr">
        <is>
          <t>11C040</t>
        </is>
      </c>
      <c r="C415" s="15" t="inlineStr">
        <is>
          <t>Россия</t>
        </is>
      </c>
      <c r="D415" s="15" t="inlineStr">
        <is>
          <t>Москва</t>
        </is>
      </c>
      <c r="E415" s="15" t="inlineStr">
        <is>
          <t>Россия, 115419, г. Москва, вн. тер. г. м. о. Донской, 2-й Рощинский пр-д, д. 8, стр. 3</t>
        </is>
      </c>
      <c r="F415" s="20" t="inlineStr">
        <is>
          <t>http://www.biomera.ru</t>
        </is>
      </c>
      <c r="G415" s="15" t="inlineStr">
        <is>
          <t>info@biomera.ru</t>
        </is>
      </c>
      <c r="H415" s="15" t="inlineStr">
        <is>
          <t>Официальный представитель российского производителя универсальных стабилометрических систем и медицинских весов для реабилитации и диагностики. Оборудование зарегистрировано в РПП.</t>
        </is>
      </c>
      <c r="I415" s="15" t="inlineStr">
        <is>
          <t>Кардиохирургия; Неврология; Ортопедия, эндопротезирование; Педиатрия; Реабилитация; Восстановительная медицина</t>
        </is>
      </c>
      <c r="J415" s="15" t="inlineStr">
        <is>
          <t>Дилер</t>
        </is>
      </c>
      <c r="K415" s="15" t="inlineStr">
        <is>
          <t>OK</t>
        </is>
      </c>
      <c r="L415" s="15" t="inlineStr">
        <is>
          <t>стабилометрические системы и медицинские весы</t>
        </is>
      </c>
      <c r="M415" s="15" t="inlineStr">
        <is>
          <t>Биомера</t>
        </is>
      </c>
      <c r="N415" s="15" t="inlineStr">
        <is>
          <t>MedTravelExpo-2025</t>
        </is>
      </c>
      <c r="O415" s="20" t="inlineStr">
        <is>
          <t>https://icatalog.expocentr.ru/ru/exhibitions/9daad3de-f999-11ef-80ce-a0d3c1fab97f</t>
        </is>
      </c>
    </row>
    <row r="416">
      <c r="A416" s="15" t="inlineStr">
        <is>
          <t>ПСКОВСКИЙ ОБЛАСТНОЙ СОВЕТ ПРОФЕССИОНАЛЬНЫХ СОЮЗОВ</t>
        </is>
      </c>
      <c r="B416" s="15" t="inlineStr">
        <is>
          <t>11C006</t>
        </is>
      </c>
      <c r="C416" s="15" t="inlineStr">
        <is>
          <t>Россия</t>
        </is>
      </c>
      <c r="D416" s="15" t="inlineStr">
        <is>
          <t>Псков</t>
        </is>
      </c>
      <c r="E416" s="15" t="inlineStr">
        <is>
          <t>Россия, 180000, г. Псков, ул. Советская, д. 15</t>
        </is>
      </c>
      <c r="F416" s="20" t="inlineStr">
        <is>
          <t>http://www.sovprof.ru</t>
        </is>
      </c>
      <c r="G416" s="15" t="inlineStr">
        <is>
          <t>marketing@pskov-kurort.ru</t>
        </is>
      </c>
      <c r="H416" s="15" t="inlineStr">
        <is>
          <t>Отдых и лечение в профсоюзных санаториях Псковской области. Минеральные воды и лечебная грязь.</t>
        </is>
      </c>
      <c r="I416" s="15" t="inlineStr">
        <is>
          <t>Санаторий; Курорт; Санаторно-курортный комплекс</t>
        </is>
      </c>
      <c r="J416" s="15" t="inlineStr">
        <is>
          <t>Поставщик услуг</t>
        </is>
      </c>
      <c r="K416" s="15" t="inlineStr">
        <is>
          <t>OK</t>
        </is>
      </c>
      <c r="L416" s="15" t="inlineStr">
        <is>
          <t>минеральные воды и лечебная грязь</t>
        </is>
      </c>
      <c r="M416" s="15" t="inlineStr">
        <is>
          <t>Псковский Совет</t>
        </is>
      </c>
      <c r="N416" s="15" t="inlineStr">
        <is>
          <t>MedTravelExpo-2025</t>
        </is>
      </c>
      <c r="O416" s="20" t="inlineStr">
        <is>
          <t>https://icatalog.expocentr.ru/ru/exhibitions/9daad3de-f999-11ef-80ce-a0d3c1fab97f</t>
        </is>
      </c>
    </row>
    <row r="417">
      <c r="A417" s="15" t="inlineStr">
        <is>
          <t>ЦЕНТР НЕЙРОТЕХНОЛОГИЙ СНА И БОДРСТВОВАНИЯ (ЦНСиБ), ООО</t>
        </is>
      </c>
      <c r="B417" s="15" t="inlineStr">
        <is>
          <t>11B060</t>
        </is>
      </c>
      <c r="C417" s="15" t="inlineStr">
        <is>
          <t>Россия</t>
        </is>
      </c>
      <c r="D417" s="15" t="inlineStr">
        <is>
          <t>Москва</t>
        </is>
      </c>
      <c r="E417" s="15" t="inlineStr">
        <is>
          <t>Россия, 121205, г. Москва, тер. Инновационного центра «Сколково», Большой б-р, д. 42, стр. 1, пом. 268, рабочее место 3</t>
        </is>
      </c>
      <c r="F417" s="20" t="inlineStr">
        <is>
          <t>https://deep.online/ru</t>
        </is>
      </c>
      <c r="G417" s="15" t="inlineStr">
        <is>
          <t>mail@deep-care.online</t>
        </is>
      </c>
      <c r="H417" s="15" t="inlineStr">
        <is>
          <t>Центр нейротехнологий сна и бодрствования (ЦНСиБ), компания-резидент кластера «Биомед» «Сколково», создала бесконтактный прибор для борьбы с бессонницей и улучшения качества сна — «Кубик сна deep».</t>
        </is>
      </c>
      <c r="I417" s="15" t="inlineStr">
        <is>
          <t>Санаторно-курортный комплекс; Реабилитационный центр; Программы «Долголетие»</t>
        </is>
      </c>
      <c r="J417" s="15" t="inlineStr">
        <is>
          <t>Производитель</t>
        </is>
      </c>
      <c r="K417" s="15" t="inlineStr">
        <is>
          <t>OK</t>
        </is>
      </c>
      <c r="L417" s="15" t="inlineStr">
        <is>
          <t>приборы</t>
        </is>
      </c>
      <c r="M417" s="15" t="inlineStr">
        <is>
          <t>ЦНСиБ</t>
        </is>
      </c>
      <c r="N417" s="15" t="inlineStr">
        <is>
          <t>MedTravelExpo-2025</t>
        </is>
      </c>
      <c r="O417" s="20" t="inlineStr">
        <is>
          <t>https://icatalog.expocentr.ru/ru/exhibitions/9daad3de-f999-11ef-80ce-a0d3c1fab97f</t>
        </is>
      </c>
    </row>
    <row r="418">
      <c r="A418" s="15" t="inlineStr">
        <is>
          <t>ФОНД РАЗВИТИЯ ОТЕЧЕСТВЕННОЙ НАУКИ, ТЕХНИКИ И МЕДИЦИНЫ (ФРОНТМЕД)</t>
        </is>
      </c>
      <c r="B418" s="15" t="inlineStr">
        <is>
          <t>11C009</t>
        </is>
      </c>
      <c r="C418" s="15" t="inlineStr">
        <is>
          <t>Россия</t>
        </is>
      </c>
      <c r="D418" s="15" t="inlineStr">
        <is>
          <t>Москва</t>
        </is>
      </c>
      <c r="E418" s="15" t="inlineStr">
        <is>
          <t>Россия, 123610, г. Москва, Краснопресненская наб., д. 12, пом. 1/18</t>
        </is>
      </c>
      <c r="F418" s="20" t="inlineStr">
        <is>
          <t>https://frontmed.ru</t>
        </is>
      </c>
      <c r="G418" s="15" t="inlineStr">
        <is>
          <t>frontmed@frontmed.ru</t>
        </is>
      </c>
      <c r="H418" s="15" t="inlineStr">
        <is>
          <t>Фонд «ФРОНТМЕД» финансирует передовые исследования в области нейронаук, поддерживает молодых ученых и врачей, а также обеспечивает научные учреждения инновационным оборудованием.</t>
        </is>
      </c>
      <c r="I418" s="15" t="inlineStr">
        <is>
          <t>Услуги для бизнеса; Неврология; Болезни нервной системы; Реабилитация; Программы  «Антистресс»; Программы «Долголетие»</t>
        </is>
      </c>
      <c r="J418" s="15" t="inlineStr">
        <is>
          <t>Поставщик услуг</t>
        </is>
      </c>
      <c r="K418" s="15" t="inlineStr">
        <is>
          <t>OK</t>
        </is>
      </c>
      <c r="L418" s="15" t="inlineStr">
        <is>
          <t>инновационное оборудование</t>
        </is>
      </c>
      <c r="M418" s="15" t="inlineStr">
        <is>
          <t>ФРОНТМЕД</t>
        </is>
      </c>
      <c r="N418" s="15" t="inlineStr">
        <is>
          <t>MedTravelExpo-2025</t>
        </is>
      </c>
      <c r="O418" s="20" t="inlineStr">
        <is>
          <t>https://icatalog.expocentr.ru/ru/exhibitions/9daad3de-f999-11ef-80ce-a0d3c1fab97f</t>
        </is>
      </c>
    </row>
    <row r="419">
      <c r="A419" s="15" t="inlineStr">
        <is>
          <t>БЬЮТИЛАЙНЕР ГРУПП</t>
        </is>
      </c>
      <c r="B419" s="15" t="inlineStr">
        <is>
          <t>11A015</t>
        </is>
      </c>
      <c r="C419" s="15" t="inlineStr">
        <is>
          <t>Россия</t>
        </is>
      </c>
      <c r="D419" s="15" t="inlineStr">
        <is>
          <t>Москва</t>
        </is>
      </c>
      <c r="E419" s="15" t="inlineStr">
        <is>
          <t>Россия, 105523, г. Москва</t>
        </is>
      </c>
      <c r="F419" s="20" t="inlineStr">
        <is>
          <t>http://beautylinergroup.ru</t>
        </is>
      </c>
      <c r="G419" s="15" t="inlineStr">
        <is>
          <t>info@beautylizer.ru</t>
        </is>
      </c>
      <c r="H419" s="15" t="inlineStr">
        <is>
          <t>Beautyliner Group — российский производитель медицинского оборудования. С 2006 года компания создает решения для эстетической медицины, сочетая инновации, безопасность и доказанную эффективность.</t>
        </is>
      </c>
      <c r="I419" s="15" t="inlineStr">
        <is>
          <t>Реабилитация; Вибромассаж; Массаж; Вибротерапия, вибромассаж; Механотерапия; Другое</t>
        </is>
      </c>
      <c r="J419" s="15" t="inlineStr">
        <is>
          <t>Производитель</t>
        </is>
      </c>
      <c r="K419" s="15" t="inlineStr">
        <is>
          <t>OK</t>
        </is>
      </c>
      <c r="L419" s="15" t="inlineStr">
        <is>
          <t>медицинское оборудование</t>
        </is>
      </c>
      <c r="M419" s="15" t="inlineStr">
        <is>
          <t>Бьютилайнер Групп</t>
        </is>
      </c>
      <c r="N419" s="15" t="inlineStr">
        <is>
          <t>MedTravelExpo-2025</t>
        </is>
      </c>
      <c r="O419" s="20" t="inlineStr">
        <is>
          <t>https://icatalog.expocentr.ru/ru/exhibitions/9daad3de-f999-11ef-80ce-a0d3c1fab97f</t>
        </is>
      </c>
    </row>
    <row r="420">
      <c r="A420" s="15" t="inlineStr">
        <is>
          <t>ВАКУУМ ВИТАЛИТИ, ООО</t>
        </is>
      </c>
      <c r="B420" s="15" t="inlineStr">
        <is>
          <t>11B055</t>
        </is>
      </c>
      <c r="C420" s="15" t="inlineStr">
        <is>
          <t>Россия</t>
        </is>
      </c>
      <c r="D420" s="15" t="inlineStr">
        <is>
          <t>Москва</t>
        </is>
      </c>
      <c r="E420" s="15" t="inlineStr">
        <is>
          <t>Россия, 108842, г. Москва, Десеновское пос., ул. Кварцевая, д. 3, корп. 1, кв. 130</t>
        </is>
      </c>
      <c r="F420" s="20" t="inlineStr">
        <is>
          <t>http://vacuvit.com</t>
        </is>
      </c>
      <c r="G420" s="15" t="inlineStr">
        <is>
          <t>vacuvit@yandex.ru</t>
        </is>
      </c>
      <c r="H420" s="15" t="inlineStr">
        <is>
          <t>Компания по разработке и созданию оборудования для оздоровления, профилактики и диагностики заболеваний опорно-двигательного аппарата и внутренних органов по признанной запатентованной методике.</t>
        </is>
      </c>
      <c r="I420" s="15" t="inlineStr">
        <is>
          <t>Санаторий; Оздоровительный  центр; Реабилитационный центр; Неврология; Оздоровление; Другое</t>
        </is>
      </c>
      <c r="J420" s="15" t="inlineStr">
        <is>
          <t>Производитель</t>
        </is>
      </c>
      <c r="K420" s="15" t="inlineStr">
        <is>
          <t>OK</t>
        </is>
      </c>
      <c r="L420" s="15" t="inlineStr">
        <is>
          <t>оборудование</t>
        </is>
      </c>
      <c r="M420" s="15" t="inlineStr">
        <is>
          <t>Вакуум Виталити</t>
        </is>
      </c>
      <c r="N420" s="15" t="inlineStr">
        <is>
          <t>MedTravelExpo-2025</t>
        </is>
      </c>
      <c r="O420" s="20" t="inlineStr">
        <is>
          <t>https://icatalog.expocentr.ru/ru/exhibitions/9daad3de-f999-11ef-80ce-a0d3c1fab97f</t>
        </is>
      </c>
    </row>
    <row r="421">
      <c r="A421" s="15" t="inlineStr">
        <is>
          <t>АЛЬПЕН ФАРМА, ООО</t>
        </is>
      </c>
      <c r="B421" s="15" t="inlineStr">
        <is>
          <t>11A070</t>
        </is>
      </c>
      <c r="C421" s="15" t="inlineStr">
        <is>
          <t>Россия</t>
        </is>
      </c>
      <c r="D421" s="15" t="inlineStr">
        <is>
          <t>Москва</t>
        </is>
      </c>
      <c r="E421" s="15" t="inlineStr">
        <is>
          <t>Россия, 105082, г. Москва, ул. Фридриха Энгельса, д. 75, стр. 10</t>
        </is>
      </c>
      <c r="F421" s="20" t="inlineStr">
        <is>
          <t>http://www.alpenpharma.ru</t>
        </is>
      </c>
      <c r="G421" s="15" t="inlineStr">
        <is>
          <t>info.russia@alpenpharma.ru</t>
        </is>
      </c>
      <c r="H421" s="15" t="inlineStr">
        <is>
          <t>«Альпен Фарма» — фармацевтическая компания, представляет продукцию Etherapy®: концентраты для ванн, массажное масло, сульфидно-иловую грязь, фангопарафин. Etherapy® — искусство ванн с настоящей пользой!</t>
        </is>
      </c>
      <c r="I421" s="15" t="inlineStr">
        <is>
          <t>Санаторий; Спа-велнес-центр; Санаторно-курортный комплекс; Детский санаторий; Сульфидные иловые грязи; Другое</t>
        </is>
      </c>
      <c r="J421" s="15" t="inlineStr">
        <is>
          <t>Производитель</t>
        </is>
      </c>
      <c r="K421" s="15" t="inlineStr">
        <is>
          <t>OK</t>
        </is>
      </c>
      <c r="L421" s="15" t="inlineStr">
        <is>
          <t>концентраты, масло, грязи и фангопарафин</t>
        </is>
      </c>
      <c r="M421" s="15" t="inlineStr">
        <is>
          <t>Альпен Фарма</t>
        </is>
      </c>
      <c r="N421" s="15" t="inlineStr">
        <is>
          <t>MedTravelExpo-2025</t>
        </is>
      </c>
      <c r="O421" s="20" t="inlineStr">
        <is>
          <t>https://icatalog.expocentr.ru/ru/exhibitions/9daad3de-f999-11ef-80ce-a0d3c1fab97f</t>
        </is>
      </c>
    </row>
    <row r="422">
      <c r="A422" s="15" t="inlineStr">
        <is>
          <t>ДЕНТДИЛЕР</t>
        </is>
      </c>
      <c r="B422" s="15" t="inlineStr">
        <is>
          <t>11B030</t>
        </is>
      </c>
      <c r="C422" s="15" t="inlineStr">
        <is>
          <t>Россия</t>
        </is>
      </c>
      <c r="D422" s="15" t="inlineStr">
        <is>
          <t>Москва</t>
        </is>
      </c>
      <c r="E422" s="15" t="inlineStr">
        <is>
          <t>Россия, г. Москва, ул. Мосфильмовская, д. 42, стр. 1, оф. 2</t>
        </is>
      </c>
      <c r="F422" s="20" t="inlineStr">
        <is>
          <t>https://dentdealer.ru</t>
        </is>
      </c>
      <c r="G422" s="15" t="inlineStr">
        <is>
          <t>info@dentdealer.ru</t>
        </is>
      </c>
      <c r="H422" s="15" t="inlineStr">
        <is>
          <t>Компания «Дентдилер» является эксклюзивным представителем компании Medipac (Греция), Purgo Biologics Inc. (Южная Корея), ORODENT (Италия) в России. Целью нашей компании является повышение качества стоматологического лечения путем внедрения только лучших современных и прогрессивных высококачественных стоматологических материалов и инструментов и обеспечение их доступности для широкого круга специалистов: стоматологических клиник, зуботехнических лабораторий и CAD/CAM фрезерных центров.</t>
        </is>
      </c>
      <c r="I422" s="15" t="inlineStr">
        <is>
          <t>Стоматологическая клиника; Стоматология; Стоматология</t>
        </is>
      </c>
      <c r="J422" s="15" t="inlineStr">
        <is>
          <t>Дилер</t>
        </is>
      </c>
      <c r="K422" s="15" t="inlineStr">
        <is>
          <t>OK</t>
        </is>
      </c>
      <c r="L422" s="15" t="inlineStr">
        <is>
          <t>материалы и инструменты</t>
        </is>
      </c>
      <c r="M422" s="15" t="inlineStr">
        <is>
          <t>Дентдилер</t>
        </is>
      </c>
      <c r="N422" s="15" t="inlineStr">
        <is>
          <t>MedTravelExpo-2025</t>
        </is>
      </c>
      <c r="O422" s="20" t="inlineStr">
        <is>
          <t>https://icatalog.expocentr.ru/ru/exhibitions/9daad3de-f999-11ef-80ce-a0d3c1fab97f</t>
        </is>
      </c>
    </row>
    <row r="423">
      <c r="A423" s="15" t="inlineStr">
        <is>
          <t>АГРОФИРМА «ТУРГЕНЕВСКАЯ», ООО</t>
        </is>
      </c>
      <c r="B423" s="15" t="inlineStr">
        <is>
          <t>11C050</t>
        </is>
      </c>
      <c r="C423" s="15" t="inlineStr">
        <is>
          <t>Россия</t>
        </is>
      </c>
      <c r="D423" s="15" t="n"/>
      <c r="E423" s="15" t="inlineStr">
        <is>
          <t>Россия, 298463, Республика Крым, Бахчисарайский р-н, с. Тургеневка, пер. Урожайный, д. 5</t>
        </is>
      </c>
      <c r="F423" s="20" t="inlineStr">
        <is>
          <t>https://agroturg.ru</t>
        </is>
      </c>
      <c r="G423" s="15" t="inlineStr">
        <is>
          <t>info@agroturg.ru</t>
        </is>
      </c>
      <c r="H423" s="15" t="inlineStr">
        <is>
          <t>Агрофирма «Тургеневская» с 2000 г. занимается выращиванием и первичной переработкой эфиромасличных культур, производит натуральные эфирные масла и гидролаты.</t>
        </is>
      </c>
      <c r="I423" s="15" t="inlineStr">
        <is>
          <t>Санаторий; Другие учреждения; Курорт; Санаторно-курортный комплекс; Гостинично-оздоровительный комплекс (ГОК); Лечебно-оздоровительный комплекс (ЛОК)</t>
        </is>
      </c>
      <c r="J423" s="15" t="inlineStr">
        <is>
          <t>Производитель</t>
        </is>
      </c>
      <c r="K423" s="15" t="inlineStr">
        <is>
          <t>OK</t>
        </is>
      </c>
      <c r="L423" s="15" t="inlineStr">
        <is>
          <t>эфирные масла и гидролаты</t>
        </is>
      </c>
      <c r="M423" s="15" t="inlineStr">
        <is>
          <t>Агрофирма Тургеневская</t>
        </is>
      </c>
      <c r="N423" s="15" t="inlineStr">
        <is>
          <t>MedTravelExpo-2025</t>
        </is>
      </c>
      <c r="O423" s="20" t="inlineStr">
        <is>
          <t>https://icatalog.expocentr.ru/ru/exhibitions/9daad3de-f999-11ef-80ce-a0d3c1fab97f</t>
        </is>
      </c>
    </row>
    <row r="424">
      <c r="A424" s="15" t="inlineStr">
        <is>
          <t>РОЙМАКС, ООО</t>
        </is>
      </c>
      <c r="B424" s="15" t="inlineStr">
        <is>
          <t>11B030</t>
        </is>
      </c>
      <c r="C424" s="15" t="inlineStr">
        <is>
          <t>Россия</t>
        </is>
      </c>
      <c r="D424" s="15" t="inlineStr">
        <is>
          <t>Москва</t>
        </is>
      </c>
      <c r="E424" s="15" t="inlineStr">
        <is>
          <t>Россия, 119331, г. Москва, просп. Вернадского, д. 29, этаж 4, комн. 16</t>
        </is>
      </c>
      <c r="F424" s="20" t="inlineStr">
        <is>
          <t>https://roimax.ru</t>
        </is>
      </c>
      <c r="G424" s="15" t="inlineStr">
        <is>
          <t>roimax@inbox.ru</t>
        </is>
      </c>
      <c r="H424" s="15" t="inlineStr">
        <is>
          <t>ООО «Роймакс» основано в 2017 г. Комплексное обеспечение медицинских учреждений расходными материалами и техникой отечественного и зарубежного производства, включая инновационные разработки.</t>
        </is>
      </c>
      <c r="I424" s="15" t="inlineStr">
        <is>
          <t>Госпиталь; Стоматологическая клиника; Поликлиника; Родильный дом; Скорая  медицинская помощь; Больница</t>
        </is>
      </c>
      <c r="J424" s="15" t="inlineStr">
        <is>
          <t>Дилер</t>
        </is>
      </c>
      <c r="K424" s="15" t="inlineStr">
        <is>
          <t>OK</t>
        </is>
      </c>
      <c r="L424" s="15" t="inlineStr">
        <is>
          <t>расходные материалы и техника</t>
        </is>
      </c>
      <c r="M424" s="15" t="inlineStr">
        <is>
          <t>Роймакс</t>
        </is>
      </c>
      <c r="N424" s="15" t="inlineStr">
        <is>
          <t>MedTravelExpo-2025</t>
        </is>
      </c>
      <c r="O424" s="20" t="inlineStr">
        <is>
          <t>https://icatalog.expocentr.ru/ru/exhibitions/9daad3de-f999-11ef-80ce-a0d3c1fab97f</t>
        </is>
      </c>
    </row>
    <row r="425">
      <c r="A425" s="15" t="inlineStr">
        <is>
          <t>ВИТА ТЕХНИКА УРАЛ, ООО</t>
        </is>
      </c>
      <c r="B425" s="15" t="inlineStr">
        <is>
          <t>11A210</t>
        </is>
      </c>
      <c r="C425" s="15" t="inlineStr">
        <is>
          <t>Россия</t>
        </is>
      </c>
      <c r="D425" s="15" t="inlineStr">
        <is>
          <t>Заречный</t>
        </is>
      </c>
      <c r="E425" s="15" t="inlineStr">
        <is>
          <t>Россия, 624250, Свердловская обл., г. Заречный, ул. Мира, д. 35, пом. 112</t>
        </is>
      </c>
      <c r="F425" s="20" t="inlineStr">
        <is>
          <t>http://www.vt66.ru</t>
        </is>
      </c>
      <c r="G425" s="15" t="inlineStr">
        <is>
          <t>info@vt66.ru</t>
        </is>
      </c>
      <c r="H425" s="15" t="inlineStr">
        <is>
          <t>«Вита Техника»: 26 лет с санаториями!ТОП проектов:— журнал «Санаторно-курортная отрасль»;— оснащение санаториев медоборудованием;— Евразийский форум для санаториев и курортов «Санкур-эволюция».</t>
        </is>
      </c>
      <c r="I425" s="15" t="inlineStr">
        <is>
          <t>Санаторий; Санаторий-профилакторий; Лечебно-оздоровительный комплекс (ЛОК); Детский санаторий; Оздоровительный  центр; Реабилитационный центр</t>
        </is>
      </c>
      <c r="J425" s="15" t="inlineStr">
        <is>
          <t>Поставщик услуг</t>
        </is>
      </c>
      <c r="K425" s="15" t="inlineStr">
        <is>
          <t>OK</t>
        </is>
      </c>
      <c r="L425" s="15" t="inlineStr">
        <is>
          <t>медоборудование</t>
        </is>
      </c>
      <c r="M425" s="15" t="inlineStr">
        <is>
          <t>Вита Техника Урал</t>
        </is>
      </c>
      <c r="N425" s="15" t="inlineStr">
        <is>
          <t>MedTravelExpo-2025</t>
        </is>
      </c>
      <c r="O425" s="20" t="inlineStr">
        <is>
          <t>https://icatalog.expocentr.ru/ru/exhibitions/9daad3de-f999-11ef-80ce-a0d3c1fab97f</t>
        </is>
      </c>
    </row>
    <row r="426">
      <c r="A426" s="15" t="inlineStr">
        <is>
          <t>МРИЯ, САНАТОРНО-КУРОРТНЫЙ КОМПЛЕКС</t>
        </is>
      </c>
      <c r="B426" s="15" t="inlineStr">
        <is>
          <t>11C050</t>
        </is>
      </c>
      <c r="C426" s="15" t="inlineStr">
        <is>
          <t>Россия</t>
        </is>
      </c>
      <c r="D426" s="15" t="n"/>
      <c r="E426" s="15" t="inlineStr">
        <is>
          <t>Россия</t>
        </is>
      </c>
      <c r="F426" s="20" t="inlineStr">
        <is>
          <t>http://www.mriyaresort.com</t>
        </is>
      </c>
      <c r="G426" s="19" t="n"/>
      <c r="H426" s="15" t="n"/>
      <c r="I426" s="15" t="n"/>
      <c r="J426" s="15" t="n"/>
      <c r="K426" s="15" t="n"/>
      <c r="L426" s="15" t="n"/>
      <c r="M426" s="15" t="n"/>
      <c r="N426" s="15" t="n"/>
      <c r="O426" s="15" t="n"/>
    </row>
    <row r="432">
      <c r="G432" s="22" t="n"/>
    </row>
    <row r="433">
      <c r="G433" s="22" t="n"/>
    </row>
    <row r="434">
      <c r="G434" s="22" t="n"/>
    </row>
    <row r="435">
      <c r="G435" s="22" t="n"/>
    </row>
    <row r="436">
      <c r="G436" s="22" t="n"/>
    </row>
    <row r="437">
      <c r="G437" s="22" t="n"/>
    </row>
    <row r="438">
      <c r="G438" s="22" t="n"/>
    </row>
    <row r="439">
      <c r="G439" s="22" t="n"/>
    </row>
    <row r="440">
      <c r="G440" s="22" t="n"/>
    </row>
    <row r="441">
      <c r="G441" s="22" t="n"/>
    </row>
    <row r="442">
      <c r="G442" s="22" t="n"/>
    </row>
    <row r="443">
      <c r="G443" s="22" t="n"/>
    </row>
    <row r="444">
      <c r="G444" s="22" t="n"/>
    </row>
    <row r="445">
      <c r="G445" s="22" t="n"/>
    </row>
    <row r="446">
      <c r="G446" s="22" t="n"/>
    </row>
    <row r="447">
      <c r="G447" s="22" t="n"/>
    </row>
    <row r="448">
      <c r="G448" s="22" t="n"/>
    </row>
    <row r="449">
      <c r="G449" s="22" t="n"/>
    </row>
    <row r="450">
      <c r="G450" s="22" t="n"/>
    </row>
    <row r="451">
      <c r="G451" s="22" t="n"/>
    </row>
    <row r="452">
      <c r="G452" s="22" t="n"/>
    </row>
    <row r="453">
      <c r="G453" s="22" t="n"/>
    </row>
    <row r="454">
      <c r="G454" s="22" t="n"/>
    </row>
    <row r="455">
      <c r="G455" s="22" t="n"/>
    </row>
    <row r="456">
      <c r="G456" s="22" t="n"/>
    </row>
    <row r="457">
      <c r="G457" s="22" t="n"/>
    </row>
    <row r="458">
      <c r="G458" s="22" t="n"/>
    </row>
    <row r="459">
      <c r="G459" s="22" t="n"/>
    </row>
    <row r="460">
      <c r="G460" s="22" t="n"/>
    </row>
    <row r="461">
      <c r="G461" s="22" t="n"/>
    </row>
    <row r="462">
      <c r="G462" s="22" t="n"/>
    </row>
    <row r="463">
      <c r="G463" s="22" t="n"/>
    </row>
    <row r="464">
      <c r="G464" s="22" t="n"/>
    </row>
    <row r="465">
      <c r="G465" s="22" t="n"/>
    </row>
    <row r="466">
      <c r="G466" s="22" t="n"/>
    </row>
    <row r="467">
      <c r="G467" s="22" t="n"/>
    </row>
    <row r="468">
      <c r="G468" s="22" t="n"/>
    </row>
    <row r="469">
      <c r="G469" s="22" t="n"/>
    </row>
    <row r="470">
      <c r="G470" s="22" t="n"/>
    </row>
    <row r="471">
      <c r="G471" s="22" t="n"/>
    </row>
    <row r="472">
      <c r="G472" s="22" t="n"/>
    </row>
    <row r="473">
      <c r="G473" s="22" t="n"/>
    </row>
    <row r="474">
      <c r="G474" s="22" t="n"/>
    </row>
    <row r="475">
      <c r="G475" s="22" t="n"/>
    </row>
    <row r="476">
      <c r="G476" s="22" t="n"/>
    </row>
    <row r="477">
      <c r="G477" s="22" t="n"/>
    </row>
  </sheetData>
  <autoFilter ref="A1:O426"/>
  <conditionalFormatting sqref="G1:G1048576">
    <cfRule type="duplicateValues" priority="1" dxfId="0"/>
  </conditionalFormatting>
  <hyperlinks>
    <hyperlink xmlns:r="http://schemas.openxmlformats.org/officeDocument/2006/relationships" ref="O2" r:id="rId1"/>
    <hyperlink xmlns:r="http://schemas.openxmlformats.org/officeDocument/2006/relationships" ref="F3" display="http://www.projecttrade.ru/" r:id="rId2"/>
    <hyperlink xmlns:r="http://schemas.openxmlformats.org/officeDocument/2006/relationships" ref="O3" r:id="rId3"/>
    <hyperlink xmlns:r="http://schemas.openxmlformats.org/officeDocument/2006/relationships" ref="F4" display="http://www.mtl.ru/" r:id="rId4"/>
    <hyperlink xmlns:r="http://schemas.openxmlformats.org/officeDocument/2006/relationships" ref="O4" r:id="rId5"/>
    <hyperlink xmlns:r="http://schemas.openxmlformats.org/officeDocument/2006/relationships" ref="F5" display="http://www.expert-tomograph.ru/" r:id="rId6"/>
    <hyperlink xmlns:r="http://schemas.openxmlformats.org/officeDocument/2006/relationships" ref="O5" r:id="rId7"/>
    <hyperlink xmlns:r="http://schemas.openxmlformats.org/officeDocument/2006/relationships" ref="F6" display="http://www.btlnet.com/" r:id="rId8"/>
    <hyperlink xmlns:r="http://schemas.openxmlformats.org/officeDocument/2006/relationships" ref="O6" r:id="rId9"/>
    <hyperlink xmlns:r="http://schemas.openxmlformats.org/officeDocument/2006/relationships" ref="F7" display="http://www.bonss-russia.ru/" r:id="rId10"/>
    <hyperlink xmlns:r="http://schemas.openxmlformats.org/officeDocument/2006/relationships" ref="O7" r:id="rId11"/>
    <hyperlink xmlns:r="http://schemas.openxmlformats.org/officeDocument/2006/relationships" ref="F8" display="https://neurosoft.com/" r:id="rId12"/>
    <hyperlink xmlns:r="http://schemas.openxmlformats.org/officeDocument/2006/relationships" ref="O8" r:id="rId13"/>
    <hyperlink xmlns:r="http://schemas.openxmlformats.org/officeDocument/2006/relationships" ref="F9" display="http://www.helpic.ru/" r:id="rId14"/>
    <hyperlink xmlns:r="http://schemas.openxmlformats.org/officeDocument/2006/relationships" ref="O9" r:id="rId15"/>
    <hyperlink xmlns:r="http://schemas.openxmlformats.org/officeDocument/2006/relationships" ref="F10" display="http://www.medcomp.ru/" r:id="rId16"/>
    <hyperlink xmlns:r="http://schemas.openxmlformats.org/officeDocument/2006/relationships" ref="O10" r:id="rId17"/>
    <hyperlink xmlns:r="http://schemas.openxmlformats.org/officeDocument/2006/relationships" ref="F11" display="http://www.lmed.ru/" r:id="rId18"/>
    <hyperlink xmlns:r="http://schemas.openxmlformats.org/officeDocument/2006/relationships" ref="O11" r:id="rId19"/>
    <hyperlink xmlns:r="http://schemas.openxmlformats.org/officeDocument/2006/relationships" ref="F12" display="http://www.adanirus.ru/" r:id="rId20"/>
    <hyperlink xmlns:r="http://schemas.openxmlformats.org/officeDocument/2006/relationships" ref="O12" r:id="rId21"/>
    <hyperlink xmlns:r="http://schemas.openxmlformats.org/officeDocument/2006/relationships" ref="F13" display="http://www.reninnmed.com/" r:id="rId22"/>
    <hyperlink xmlns:r="http://schemas.openxmlformats.org/officeDocument/2006/relationships" ref="O13" r:id="rId23"/>
    <hyperlink xmlns:r="http://schemas.openxmlformats.org/officeDocument/2006/relationships" ref="F14" display="http://www.mk-klever.ru/" r:id="rId24"/>
    <hyperlink xmlns:r="http://schemas.openxmlformats.org/officeDocument/2006/relationships" ref="O14" r:id="rId25"/>
    <hyperlink xmlns:r="http://schemas.openxmlformats.org/officeDocument/2006/relationships" ref="F15" display="http://www.elmed-kzn.ru/" r:id="rId26"/>
    <hyperlink xmlns:r="http://schemas.openxmlformats.org/officeDocument/2006/relationships" ref="O15" r:id="rId27"/>
    <hyperlink xmlns:r="http://schemas.openxmlformats.org/officeDocument/2006/relationships" ref="F16" display="http://www.medison.ru/" r:id="rId28"/>
    <hyperlink xmlns:r="http://schemas.openxmlformats.org/officeDocument/2006/relationships" ref="O16" r:id="rId29"/>
    <hyperlink xmlns:r="http://schemas.openxmlformats.org/officeDocument/2006/relationships" ref="F17" display="http://sonomedica.ru/" r:id="rId30"/>
    <hyperlink xmlns:r="http://schemas.openxmlformats.org/officeDocument/2006/relationships" ref="O17" r:id="rId31"/>
    <hyperlink xmlns:r="http://schemas.openxmlformats.org/officeDocument/2006/relationships" ref="F18" display="http://medeq.ru/" r:id="rId32"/>
    <hyperlink xmlns:r="http://schemas.openxmlformats.org/officeDocument/2006/relationships" ref="O18" r:id="rId33"/>
    <hyperlink xmlns:r="http://schemas.openxmlformats.org/officeDocument/2006/relationships" ref="F19" display="http://uspekh.ru/" r:id="rId34"/>
    <hyperlink xmlns:r="http://schemas.openxmlformats.org/officeDocument/2006/relationships" ref="O19" r:id="rId35"/>
    <hyperlink xmlns:r="http://schemas.openxmlformats.org/officeDocument/2006/relationships" ref="F20" display="http://www.mosnerv.ru/" r:id="rId36"/>
    <hyperlink xmlns:r="http://schemas.openxmlformats.org/officeDocument/2006/relationships" ref="O20" r:id="rId37"/>
    <hyperlink xmlns:r="http://schemas.openxmlformats.org/officeDocument/2006/relationships" ref="F21" display="http://innobiosystems.com/" r:id="rId38"/>
    <hyperlink xmlns:r="http://schemas.openxmlformats.org/officeDocument/2006/relationships" ref="O21" r:id="rId39"/>
    <hyperlink xmlns:r="http://schemas.openxmlformats.org/officeDocument/2006/relationships" ref="F22" display="http://www.miocard.ru/" r:id="rId40"/>
    <hyperlink xmlns:r="http://schemas.openxmlformats.org/officeDocument/2006/relationships" ref="O22" r:id="rId41"/>
    <hyperlink xmlns:r="http://schemas.openxmlformats.org/officeDocument/2006/relationships" ref="F23" display="https://focal-spot.ru/" r:id="rId42"/>
    <hyperlink xmlns:r="http://schemas.openxmlformats.org/officeDocument/2006/relationships" ref="O23" r:id="rId43"/>
    <hyperlink xmlns:r="http://schemas.openxmlformats.org/officeDocument/2006/relationships" ref="F24" display="https://medcustoms.ru/" r:id="rId44"/>
    <hyperlink xmlns:r="http://schemas.openxmlformats.org/officeDocument/2006/relationships" ref="O24" r:id="rId45"/>
    <hyperlink xmlns:r="http://schemas.openxmlformats.org/officeDocument/2006/relationships" ref="F25" display="http://medstrategy.ru/" r:id="rId46"/>
    <hyperlink xmlns:r="http://schemas.openxmlformats.org/officeDocument/2006/relationships" ref="O25" r:id="rId47"/>
    <hyperlink xmlns:r="http://schemas.openxmlformats.org/officeDocument/2006/relationships" ref="F26" display="https://avamedica.ru/" r:id="rId48"/>
    <hyperlink xmlns:r="http://schemas.openxmlformats.org/officeDocument/2006/relationships" ref="O26" r:id="rId49"/>
    <hyperlink xmlns:r="http://schemas.openxmlformats.org/officeDocument/2006/relationships" ref="F27" display="http://www.sonorus.ru/" r:id="rId50"/>
    <hyperlink xmlns:r="http://schemas.openxmlformats.org/officeDocument/2006/relationships" ref="G27" r:id="rId51"/>
    <hyperlink xmlns:r="http://schemas.openxmlformats.org/officeDocument/2006/relationships" ref="O27" r:id="rId52"/>
    <hyperlink xmlns:r="http://schemas.openxmlformats.org/officeDocument/2006/relationships" ref="F28" display="https://rusmedcompany.ru/" r:id="rId53"/>
    <hyperlink xmlns:r="http://schemas.openxmlformats.org/officeDocument/2006/relationships" ref="O28" r:id="rId54"/>
    <hyperlink xmlns:r="http://schemas.openxmlformats.org/officeDocument/2006/relationships" ref="F29" display="http://www.mitsar-eeg.ru/" r:id="rId55"/>
    <hyperlink xmlns:r="http://schemas.openxmlformats.org/officeDocument/2006/relationships" ref="O29" r:id="rId56"/>
    <hyperlink xmlns:r="http://schemas.openxmlformats.org/officeDocument/2006/relationships" ref="F30" display="http://www.astrocard-meditek.ru/" r:id="rId57"/>
    <hyperlink xmlns:r="http://schemas.openxmlformats.org/officeDocument/2006/relationships" ref="O30" r:id="rId58"/>
    <hyperlink xmlns:r="http://schemas.openxmlformats.org/officeDocument/2006/relationships" ref="F31" display="http://www.spectrumllc.org/" r:id="rId59"/>
    <hyperlink xmlns:r="http://schemas.openxmlformats.org/officeDocument/2006/relationships" ref="O31" r:id="rId60"/>
    <hyperlink xmlns:r="http://schemas.openxmlformats.org/officeDocument/2006/relationships" ref="F32" display="http://zaslon.ru/" r:id="rId61"/>
    <hyperlink xmlns:r="http://schemas.openxmlformats.org/officeDocument/2006/relationships" ref="O32" r:id="rId62"/>
    <hyperlink xmlns:r="http://schemas.openxmlformats.org/officeDocument/2006/relationships" ref="F33" display="http://dm-group.org/" r:id="rId63"/>
    <hyperlink xmlns:r="http://schemas.openxmlformats.org/officeDocument/2006/relationships" ref="O33" r:id="rId64"/>
    <hyperlink xmlns:r="http://schemas.openxmlformats.org/officeDocument/2006/relationships" ref="F34" display="http://www.medscanner.ru/" r:id="rId65"/>
    <hyperlink xmlns:r="http://schemas.openxmlformats.org/officeDocument/2006/relationships" ref="O34" r:id="rId66"/>
    <hyperlink xmlns:r="http://schemas.openxmlformats.org/officeDocument/2006/relationships" ref="F35" display="https://franom.ru/" r:id="rId67"/>
    <hyperlink xmlns:r="http://schemas.openxmlformats.org/officeDocument/2006/relationships" ref="O35" r:id="rId68"/>
    <hyperlink xmlns:r="http://schemas.openxmlformats.org/officeDocument/2006/relationships" ref="F36" display="http://www.sante.ru/" r:id="rId69"/>
    <hyperlink xmlns:r="http://schemas.openxmlformats.org/officeDocument/2006/relationships" ref="O36" r:id="rId70"/>
    <hyperlink xmlns:r="http://schemas.openxmlformats.org/officeDocument/2006/relationships" ref="F37" display="https://www.premium-a.ru/" r:id="rId71"/>
    <hyperlink xmlns:r="http://schemas.openxmlformats.org/officeDocument/2006/relationships" ref="O37" r:id="rId72"/>
    <hyperlink xmlns:r="http://schemas.openxmlformats.org/officeDocument/2006/relationships" ref="F38" display="http://rg.sedspb.ru/" r:id="rId73"/>
    <hyperlink xmlns:r="http://schemas.openxmlformats.org/officeDocument/2006/relationships" ref="O38" r:id="rId74"/>
    <hyperlink xmlns:r="http://schemas.openxmlformats.org/officeDocument/2006/relationships" ref="F39" display="https://activ-medica.ru/" r:id="rId75"/>
    <hyperlink xmlns:r="http://schemas.openxmlformats.org/officeDocument/2006/relationships" ref="O39" r:id="rId76"/>
    <hyperlink xmlns:r="http://schemas.openxmlformats.org/officeDocument/2006/relationships" ref="F40" display="http://zerts.ru/" r:id="rId77"/>
    <hyperlink xmlns:r="http://schemas.openxmlformats.org/officeDocument/2006/relationships" ref="O40" r:id="rId78"/>
    <hyperlink xmlns:r="http://schemas.openxmlformats.org/officeDocument/2006/relationships" ref="F41" display="http://www.tako-line.ru/" r:id="rId79"/>
    <hyperlink xmlns:r="http://schemas.openxmlformats.org/officeDocument/2006/relationships" ref="O41" r:id="rId80"/>
    <hyperlink xmlns:r="http://schemas.openxmlformats.org/officeDocument/2006/relationships" ref="F42" display="http://www.aktubrentgen.ru/" r:id="rId81"/>
    <hyperlink xmlns:r="http://schemas.openxmlformats.org/officeDocument/2006/relationships" ref="O42" r:id="rId82"/>
    <hyperlink xmlns:r="http://schemas.openxmlformats.org/officeDocument/2006/relationships" ref="O43" r:id="rId83"/>
    <hyperlink xmlns:r="http://schemas.openxmlformats.org/officeDocument/2006/relationships" ref="F44" display="http://www.heine-opto.ru/" r:id="rId84"/>
    <hyperlink xmlns:r="http://schemas.openxmlformats.org/officeDocument/2006/relationships" ref="O44" r:id="rId85"/>
    <hyperlink xmlns:r="http://schemas.openxmlformats.org/officeDocument/2006/relationships" ref="F45" display="http://www.elmedica.ru/" r:id="rId86"/>
    <hyperlink xmlns:r="http://schemas.openxmlformats.org/officeDocument/2006/relationships" ref="O45" r:id="rId87"/>
    <hyperlink xmlns:r="http://schemas.openxmlformats.org/officeDocument/2006/relationships" ref="F46" display="http://iae.it/" r:id="rId88"/>
    <hyperlink xmlns:r="http://schemas.openxmlformats.org/officeDocument/2006/relationships" ref="O46" r:id="rId89"/>
    <hyperlink xmlns:r="http://schemas.openxmlformats.org/officeDocument/2006/relationships" ref="F47" display="http://www.endocentr.tech/" r:id="rId90"/>
    <hyperlink xmlns:r="http://schemas.openxmlformats.org/officeDocument/2006/relationships" ref="O47" r:id="rId91"/>
    <hyperlink xmlns:r="http://schemas.openxmlformats.org/officeDocument/2006/relationships" ref="F48" display="https://webclinic.ru/" r:id="rId92"/>
    <hyperlink xmlns:r="http://schemas.openxmlformats.org/officeDocument/2006/relationships" ref="O48" r:id="rId93"/>
    <hyperlink xmlns:r="http://schemas.openxmlformats.org/officeDocument/2006/relationships" ref="F49" display="https://swissspinesolution.ru/" r:id="rId94"/>
    <hyperlink xmlns:r="http://schemas.openxmlformats.org/officeDocument/2006/relationships" ref="O49" r:id="rId95"/>
    <hyperlink xmlns:r="http://schemas.openxmlformats.org/officeDocument/2006/relationships" ref="F50" display="https://els-med.ru/" r:id="rId96"/>
    <hyperlink xmlns:r="http://schemas.openxmlformats.org/officeDocument/2006/relationships" ref="O50" r:id="rId97"/>
    <hyperlink xmlns:r="http://schemas.openxmlformats.org/officeDocument/2006/relationships" ref="F51" display="https://sonder-tula.ru/" r:id="rId98"/>
    <hyperlink xmlns:r="http://schemas.openxmlformats.org/officeDocument/2006/relationships" ref="O51" r:id="rId99"/>
    <hyperlink xmlns:r="http://schemas.openxmlformats.org/officeDocument/2006/relationships" ref="F52" display="http://www.analitika-m.ru/" r:id="rId100"/>
    <hyperlink xmlns:r="http://schemas.openxmlformats.org/officeDocument/2006/relationships" ref="O52" r:id="rId101"/>
    <hyperlink xmlns:r="http://schemas.openxmlformats.org/officeDocument/2006/relationships" ref="F53" display="http://med-nnz.ru/" r:id="rId102"/>
    <hyperlink xmlns:r="http://schemas.openxmlformats.org/officeDocument/2006/relationships" ref="O53" r:id="rId103"/>
    <hyperlink xmlns:r="http://schemas.openxmlformats.org/officeDocument/2006/relationships" ref="F54" display="https://rustomograf.ru/" r:id="rId104"/>
    <hyperlink xmlns:r="http://schemas.openxmlformats.org/officeDocument/2006/relationships" ref="O54" r:id="rId105"/>
    <hyperlink xmlns:r="http://schemas.openxmlformats.org/officeDocument/2006/relationships" ref="F55" display="http://www.oooinvent.ru/" r:id="rId106"/>
    <hyperlink xmlns:r="http://schemas.openxmlformats.org/officeDocument/2006/relationships" ref="O55" r:id="rId107"/>
    <hyperlink xmlns:r="http://schemas.openxmlformats.org/officeDocument/2006/relationships" ref="F56" display="http://www.doza.ru/" r:id="rId108"/>
    <hyperlink xmlns:r="http://schemas.openxmlformats.org/officeDocument/2006/relationships" ref="O56" r:id="rId109"/>
    <hyperlink xmlns:r="http://schemas.openxmlformats.org/officeDocument/2006/relationships" ref="F57" display="http://www.argus-ds.ru/" r:id="rId110"/>
    <hyperlink xmlns:r="http://schemas.openxmlformats.org/officeDocument/2006/relationships" ref="O57" r:id="rId111"/>
    <hyperlink xmlns:r="http://schemas.openxmlformats.org/officeDocument/2006/relationships" ref="F58" display="http://tomograph.pro/" r:id="rId112"/>
    <hyperlink xmlns:r="http://schemas.openxmlformats.org/officeDocument/2006/relationships" ref="O58" r:id="rId113"/>
    <hyperlink xmlns:r="http://schemas.openxmlformats.org/officeDocument/2006/relationships" ref="F59" display="http://www.medsystems.ru/" r:id="rId114"/>
    <hyperlink xmlns:r="http://schemas.openxmlformats.org/officeDocument/2006/relationships" ref="O59" r:id="rId115"/>
    <hyperlink xmlns:r="http://schemas.openxmlformats.org/officeDocument/2006/relationships" ref="F60" display="http://www.medliga.ru/" r:id="rId116"/>
    <hyperlink xmlns:r="http://schemas.openxmlformats.org/officeDocument/2006/relationships" ref="O60" r:id="rId117"/>
    <hyperlink xmlns:r="http://schemas.openxmlformats.org/officeDocument/2006/relationships" ref="F61" display="https://eurotech.ru/" r:id="rId118"/>
    <hyperlink xmlns:r="http://schemas.openxmlformats.org/officeDocument/2006/relationships" ref="O61" r:id="rId119"/>
    <hyperlink xmlns:r="http://schemas.openxmlformats.org/officeDocument/2006/relationships" ref="F62" display="https://ctccapital.ru/" r:id="rId120"/>
    <hyperlink xmlns:r="http://schemas.openxmlformats.org/officeDocument/2006/relationships" ref="O62" r:id="rId121"/>
    <hyperlink xmlns:r="http://schemas.openxmlformats.org/officeDocument/2006/relationships" ref="F63" display="http://www.pole96.ru/" r:id="rId122"/>
    <hyperlink xmlns:r="http://schemas.openxmlformats.org/officeDocument/2006/relationships" ref="O63" r:id="rId123"/>
    <hyperlink xmlns:r="http://schemas.openxmlformats.org/officeDocument/2006/relationships" ref="F64" display="http://www.cryotec.ru/" r:id="rId124"/>
    <hyperlink xmlns:r="http://schemas.openxmlformats.org/officeDocument/2006/relationships" ref="O64" r:id="rId125"/>
    <hyperlink xmlns:r="http://schemas.openxmlformats.org/officeDocument/2006/relationships" ref="F65" display="https://medicalcom.ru/" r:id="rId126"/>
    <hyperlink xmlns:r="http://schemas.openxmlformats.org/officeDocument/2006/relationships" ref="O65" r:id="rId127"/>
    <hyperlink xmlns:r="http://schemas.openxmlformats.org/officeDocument/2006/relationships" ref="F66" display="http://www.inmed.ru/" r:id="rId128"/>
    <hyperlink xmlns:r="http://schemas.openxmlformats.org/officeDocument/2006/relationships" ref="O66" r:id="rId129"/>
    <hyperlink xmlns:r="http://schemas.openxmlformats.org/officeDocument/2006/relationships" ref="F67" display="https://goldident.ru/" r:id="rId130"/>
    <hyperlink xmlns:r="http://schemas.openxmlformats.org/officeDocument/2006/relationships" ref="O67" r:id="rId131"/>
    <hyperlink xmlns:r="http://schemas.openxmlformats.org/officeDocument/2006/relationships" ref="F68" display="http://www.mttechnica.ru/" r:id="rId132"/>
    <hyperlink xmlns:r="http://schemas.openxmlformats.org/officeDocument/2006/relationships" ref="O68" r:id="rId133"/>
    <hyperlink xmlns:r="http://schemas.openxmlformats.org/officeDocument/2006/relationships" ref="F69" display="http://www.anokmt.ru/" r:id="rId134"/>
    <hyperlink xmlns:r="http://schemas.openxmlformats.org/officeDocument/2006/relationships" ref="O69" r:id="rId135"/>
    <hyperlink xmlns:r="http://schemas.openxmlformats.org/officeDocument/2006/relationships" ref="O70" r:id="rId136"/>
    <hyperlink xmlns:r="http://schemas.openxmlformats.org/officeDocument/2006/relationships" ref="F71" display="https://gkvector.com/" r:id="rId137"/>
    <hyperlink xmlns:r="http://schemas.openxmlformats.org/officeDocument/2006/relationships" ref="O71" r:id="rId138"/>
    <hyperlink xmlns:r="http://schemas.openxmlformats.org/officeDocument/2006/relationships" ref="F72" display="http://www.rpharm.ru/" r:id="rId139"/>
    <hyperlink xmlns:r="http://schemas.openxmlformats.org/officeDocument/2006/relationships" ref="O72" r:id="rId140"/>
    <hyperlink xmlns:r="http://schemas.openxmlformats.org/officeDocument/2006/relationships" ref="F73" display="https://southmedica.ru/" r:id="rId141"/>
    <hyperlink xmlns:r="http://schemas.openxmlformats.org/officeDocument/2006/relationships" ref="O73" r:id="rId142"/>
    <hyperlink xmlns:r="http://schemas.openxmlformats.org/officeDocument/2006/relationships" ref="F74" display="https://siti-med.com/" r:id="rId143"/>
    <hyperlink xmlns:r="http://schemas.openxmlformats.org/officeDocument/2006/relationships" ref="O74" r:id="rId144"/>
    <hyperlink xmlns:r="http://schemas.openxmlformats.org/officeDocument/2006/relationships" ref="F75" display="https://cpm.center/" r:id="rId145"/>
    <hyperlink xmlns:r="http://schemas.openxmlformats.org/officeDocument/2006/relationships" ref="O75" r:id="rId146"/>
    <hyperlink xmlns:r="http://schemas.openxmlformats.org/officeDocument/2006/relationships" ref="F76" display="http://formed.ru/" r:id="rId147"/>
    <hyperlink xmlns:r="http://schemas.openxmlformats.org/officeDocument/2006/relationships" ref="O76" r:id="rId148"/>
    <hyperlink xmlns:r="http://schemas.openxmlformats.org/officeDocument/2006/relationships" ref="F77" display="https://cordismed.ru/" r:id="rId149"/>
    <hyperlink xmlns:r="http://schemas.openxmlformats.org/officeDocument/2006/relationships" ref="O77" r:id="rId150"/>
    <hyperlink xmlns:r="http://schemas.openxmlformats.org/officeDocument/2006/relationships" ref="F78" display="http://www.grandmedgroup.ru/" r:id="rId151"/>
    <hyperlink xmlns:r="http://schemas.openxmlformats.org/officeDocument/2006/relationships" ref="O78" r:id="rId152"/>
    <hyperlink xmlns:r="http://schemas.openxmlformats.org/officeDocument/2006/relationships" ref="F79" display="http://www.electronxray.com/" r:id="rId153"/>
    <hyperlink xmlns:r="http://schemas.openxmlformats.org/officeDocument/2006/relationships" ref="O79" r:id="rId154"/>
    <hyperlink xmlns:r="http://schemas.openxmlformats.org/officeDocument/2006/relationships" ref="F80" display="http://www.357.pro/" r:id="rId155"/>
    <hyperlink xmlns:r="http://schemas.openxmlformats.org/officeDocument/2006/relationships" ref="O80" r:id="rId156"/>
    <hyperlink xmlns:r="http://schemas.openxmlformats.org/officeDocument/2006/relationships" ref="F81" display="http://www.paritet-moscow.ru/" r:id="rId157"/>
    <hyperlink xmlns:r="http://schemas.openxmlformats.org/officeDocument/2006/relationships" ref="O81" r:id="rId158"/>
    <hyperlink xmlns:r="http://schemas.openxmlformats.org/officeDocument/2006/relationships" ref="F82" display="https://medal.group/" r:id="rId159"/>
    <hyperlink xmlns:r="http://schemas.openxmlformats.org/officeDocument/2006/relationships" ref="O82" r:id="rId160"/>
    <hyperlink xmlns:r="http://schemas.openxmlformats.org/officeDocument/2006/relationships" ref="F83" display="http://www.bimcvol.ru/" r:id="rId161"/>
    <hyperlink xmlns:r="http://schemas.openxmlformats.org/officeDocument/2006/relationships" ref="O83" r:id="rId162"/>
    <hyperlink xmlns:r="http://schemas.openxmlformats.org/officeDocument/2006/relationships" ref="F84" display="http://endomedi.ru/" r:id="rId163"/>
    <hyperlink xmlns:r="http://schemas.openxmlformats.org/officeDocument/2006/relationships" ref="O84" r:id="rId164"/>
    <hyperlink xmlns:r="http://schemas.openxmlformats.org/officeDocument/2006/relationships" ref="F85" display="https://medteh.ru/" r:id="rId165"/>
    <hyperlink xmlns:r="http://schemas.openxmlformats.org/officeDocument/2006/relationships" ref="O85" r:id="rId166"/>
    <hyperlink xmlns:r="http://schemas.openxmlformats.org/officeDocument/2006/relationships" ref="F86" display="http://www.infomed.com.ru/" r:id="rId167"/>
    <hyperlink xmlns:r="http://schemas.openxmlformats.org/officeDocument/2006/relationships" ref="O86" r:id="rId168"/>
    <hyperlink xmlns:r="http://schemas.openxmlformats.org/officeDocument/2006/relationships" ref="F87" display="http://gmgrus.ru/" r:id="rId169"/>
    <hyperlink xmlns:r="http://schemas.openxmlformats.org/officeDocument/2006/relationships" ref="O87" r:id="rId170"/>
    <hyperlink xmlns:r="http://schemas.openxmlformats.org/officeDocument/2006/relationships" ref="F88" display="http://www.pharmster.com/" r:id="rId171"/>
    <hyperlink xmlns:r="http://schemas.openxmlformats.org/officeDocument/2006/relationships" ref="O88" r:id="rId172"/>
    <hyperlink xmlns:r="http://schemas.openxmlformats.org/officeDocument/2006/relationships" ref="O89" r:id="rId173"/>
    <hyperlink xmlns:r="http://schemas.openxmlformats.org/officeDocument/2006/relationships" ref="F90" display="http://www.avtodom73.ru/" r:id="rId174"/>
    <hyperlink xmlns:r="http://schemas.openxmlformats.org/officeDocument/2006/relationships" ref="O90" r:id="rId175"/>
    <hyperlink xmlns:r="http://schemas.openxmlformats.org/officeDocument/2006/relationships" ref="O91" r:id="rId176"/>
    <hyperlink xmlns:r="http://schemas.openxmlformats.org/officeDocument/2006/relationships" ref="F92" display="http://www.endo.video/" r:id="rId177"/>
    <hyperlink xmlns:r="http://schemas.openxmlformats.org/officeDocument/2006/relationships" ref="O92" r:id="rId178"/>
    <hyperlink xmlns:r="http://schemas.openxmlformats.org/officeDocument/2006/relationships" ref="F93" display="http://www.medical112.ru/" r:id="rId179"/>
    <hyperlink xmlns:r="http://schemas.openxmlformats.org/officeDocument/2006/relationships" ref="O93" r:id="rId180"/>
    <hyperlink xmlns:r="http://schemas.openxmlformats.org/officeDocument/2006/relationships" ref="F94" display="http://www.ophimed.ru/" r:id="rId181"/>
    <hyperlink xmlns:r="http://schemas.openxmlformats.org/officeDocument/2006/relationships" ref="O94" r:id="rId182"/>
    <hyperlink xmlns:r="http://schemas.openxmlformats.org/officeDocument/2006/relationships" ref="F95" display="http://www.omt-ural.ru/" r:id="rId183"/>
    <hyperlink xmlns:r="http://schemas.openxmlformats.org/officeDocument/2006/relationships" ref="O95" r:id="rId184"/>
    <hyperlink xmlns:r="http://schemas.openxmlformats.org/officeDocument/2006/relationships" ref="F96" display="http://www.stormoff.com/" r:id="rId185"/>
    <hyperlink xmlns:r="http://schemas.openxmlformats.org/officeDocument/2006/relationships" ref="O96" r:id="rId186"/>
    <hyperlink xmlns:r="http://schemas.openxmlformats.org/officeDocument/2006/relationships" ref="F97" display="https://zelmedservice.ru/" r:id="rId187"/>
    <hyperlink xmlns:r="http://schemas.openxmlformats.org/officeDocument/2006/relationships" ref="O97" r:id="rId188"/>
    <hyperlink xmlns:r="http://schemas.openxmlformats.org/officeDocument/2006/relationships" ref="F98" display="http://technomedgroup.ru/" r:id="rId189"/>
    <hyperlink xmlns:r="http://schemas.openxmlformats.org/officeDocument/2006/relationships" ref="O98" r:id="rId190"/>
    <hyperlink xmlns:r="http://schemas.openxmlformats.org/officeDocument/2006/relationships" ref="F99" display="https://kc-prof.ru/" r:id="rId191"/>
    <hyperlink xmlns:r="http://schemas.openxmlformats.org/officeDocument/2006/relationships" ref="O99" r:id="rId192"/>
    <hyperlink xmlns:r="http://schemas.openxmlformats.org/officeDocument/2006/relationships" ref="F100" display="https://mrtprofi.ru/" r:id="rId193"/>
    <hyperlink xmlns:r="http://schemas.openxmlformats.org/officeDocument/2006/relationships" ref="O100" r:id="rId194"/>
    <hyperlink xmlns:r="http://schemas.openxmlformats.org/officeDocument/2006/relationships" ref="O101" r:id="rId195"/>
    <hyperlink xmlns:r="http://schemas.openxmlformats.org/officeDocument/2006/relationships" ref="F102" display="http://www.evropamedical.ru/" r:id="rId196"/>
    <hyperlink xmlns:r="http://schemas.openxmlformats.org/officeDocument/2006/relationships" ref="O102" r:id="rId197"/>
    <hyperlink xmlns:r="http://schemas.openxmlformats.org/officeDocument/2006/relationships" ref="F103" display="https://akross-auto.ru/" r:id="rId198"/>
    <hyperlink xmlns:r="http://schemas.openxmlformats.org/officeDocument/2006/relationships" ref="O103" r:id="rId199"/>
    <hyperlink xmlns:r="http://schemas.openxmlformats.org/officeDocument/2006/relationships" ref="F104" display="http://mtmedical.net/" r:id="rId200"/>
    <hyperlink xmlns:r="http://schemas.openxmlformats.org/officeDocument/2006/relationships" ref="O104" r:id="rId201"/>
    <hyperlink xmlns:r="http://schemas.openxmlformats.org/officeDocument/2006/relationships" ref="F105" display="https://dali-medical.com/" r:id="rId202"/>
    <hyperlink xmlns:r="http://schemas.openxmlformats.org/officeDocument/2006/relationships" ref="O105" r:id="rId203"/>
    <hyperlink xmlns:r="http://schemas.openxmlformats.org/officeDocument/2006/relationships" ref="F106" display="http://www.bioline.ru/" r:id="rId204"/>
    <hyperlink xmlns:r="http://schemas.openxmlformats.org/officeDocument/2006/relationships" ref="O106" r:id="rId205"/>
    <hyperlink xmlns:r="http://schemas.openxmlformats.org/officeDocument/2006/relationships" ref="F107" display="http://www.stkraft.com/" r:id="rId206"/>
    <hyperlink xmlns:r="http://schemas.openxmlformats.org/officeDocument/2006/relationships" ref="O107" r:id="rId207"/>
    <hyperlink xmlns:r="http://schemas.openxmlformats.org/officeDocument/2006/relationships" ref="F108" display="https://www.mkbfakel.ru/" r:id="rId208"/>
    <hyperlink xmlns:r="http://schemas.openxmlformats.org/officeDocument/2006/relationships" ref="O108" r:id="rId209"/>
    <hyperlink xmlns:r="http://schemas.openxmlformats.org/officeDocument/2006/relationships" ref="F109" display="https://zavod-iskra.ru/" r:id="rId210"/>
    <hyperlink xmlns:r="http://schemas.openxmlformats.org/officeDocument/2006/relationships" ref="O109" r:id="rId211"/>
    <hyperlink xmlns:r="http://schemas.openxmlformats.org/officeDocument/2006/relationships" ref="F110" display="https://rehabtex.ru/" r:id="rId212"/>
    <hyperlink xmlns:r="http://schemas.openxmlformats.org/officeDocument/2006/relationships" ref="O110" r:id="rId213"/>
    <hyperlink xmlns:r="http://schemas.openxmlformats.org/officeDocument/2006/relationships" ref="F111" display="http://4clinic.ru/" r:id="rId214"/>
    <hyperlink xmlns:r="http://schemas.openxmlformats.org/officeDocument/2006/relationships" ref="O111" r:id="rId215"/>
    <hyperlink xmlns:r="http://schemas.openxmlformats.org/officeDocument/2006/relationships" ref="F112" display="http://www.trimm.ru/" r:id="rId216"/>
    <hyperlink xmlns:r="http://schemas.openxmlformats.org/officeDocument/2006/relationships" ref="O112" r:id="rId217"/>
    <hyperlink xmlns:r="http://schemas.openxmlformats.org/officeDocument/2006/relationships" ref="F113" display="http://treaton.ru/" r:id="rId218"/>
    <hyperlink xmlns:r="http://schemas.openxmlformats.org/officeDocument/2006/relationships" ref="O113" r:id="rId219"/>
    <hyperlink xmlns:r="http://schemas.openxmlformats.org/officeDocument/2006/relationships" ref="F114" display="https://www.vniiimt.ru/" r:id="rId220"/>
    <hyperlink xmlns:r="http://schemas.openxmlformats.org/officeDocument/2006/relationships" ref="O114" r:id="rId221"/>
    <hyperlink xmlns:r="http://schemas.openxmlformats.org/officeDocument/2006/relationships" ref="F115" display="https://www.regmed.ru/" r:id="rId222"/>
    <hyperlink xmlns:r="http://schemas.openxmlformats.org/officeDocument/2006/relationships" ref="O115" r:id="rId223"/>
    <hyperlink xmlns:r="http://schemas.openxmlformats.org/officeDocument/2006/relationships" ref="F116" display="https://tumbotino.ru/" r:id="rId224"/>
    <hyperlink xmlns:r="http://schemas.openxmlformats.org/officeDocument/2006/relationships" ref="O116" r:id="rId225"/>
    <hyperlink xmlns:r="http://schemas.openxmlformats.org/officeDocument/2006/relationships" ref="O117" r:id="rId226"/>
    <hyperlink xmlns:r="http://schemas.openxmlformats.org/officeDocument/2006/relationships" ref="F118" display="https://medatrium.ru/" r:id="rId227"/>
    <hyperlink xmlns:r="http://schemas.openxmlformats.org/officeDocument/2006/relationships" ref="O118" r:id="rId228"/>
    <hyperlink xmlns:r="http://schemas.openxmlformats.org/officeDocument/2006/relationships" ref="F119" display="http://www.vital-spb.ru/" r:id="rId229"/>
    <hyperlink xmlns:r="http://schemas.openxmlformats.org/officeDocument/2006/relationships" ref="O119" r:id="rId230"/>
    <hyperlink xmlns:r="http://schemas.openxmlformats.org/officeDocument/2006/relationships" ref="F120" display="https://negatoscope.ru/" r:id="rId231"/>
    <hyperlink xmlns:r="http://schemas.openxmlformats.org/officeDocument/2006/relationships" ref="O120" r:id="rId232"/>
    <hyperlink xmlns:r="http://schemas.openxmlformats.org/officeDocument/2006/relationships" ref="F121" display="http://www.bplab.ru/" r:id="rId233"/>
    <hyperlink xmlns:r="http://schemas.openxmlformats.org/officeDocument/2006/relationships" ref="O121" r:id="rId234"/>
    <hyperlink xmlns:r="http://schemas.openxmlformats.org/officeDocument/2006/relationships" ref="O122" r:id="rId235"/>
    <hyperlink xmlns:r="http://schemas.openxmlformats.org/officeDocument/2006/relationships" ref="F123" display="http://vmt-neuro.ru/" r:id="rId236"/>
    <hyperlink xmlns:r="http://schemas.openxmlformats.org/officeDocument/2006/relationships" ref="O123" r:id="rId237"/>
    <hyperlink xmlns:r="http://schemas.openxmlformats.org/officeDocument/2006/relationships" ref="F124" display="http://www.zimmer-medsys.ru/" r:id="rId238"/>
    <hyperlink xmlns:r="http://schemas.openxmlformats.org/officeDocument/2006/relationships" ref="O124" r:id="rId239"/>
    <hyperlink xmlns:r="http://schemas.openxmlformats.org/officeDocument/2006/relationships" ref="F125" display="http://www.st-nn.ru/" r:id="rId240"/>
    <hyperlink xmlns:r="http://schemas.openxmlformats.org/officeDocument/2006/relationships" ref="O125" r:id="rId241"/>
    <hyperlink xmlns:r="http://schemas.openxmlformats.org/officeDocument/2006/relationships" ref="F126" display="http://polytechmed.ru/" r:id="rId242"/>
    <hyperlink xmlns:r="http://schemas.openxmlformats.org/officeDocument/2006/relationships" ref="O126" r:id="rId243"/>
    <hyperlink xmlns:r="http://schemas.openxmlformats.org/officeDocument/2006/relationships" ref="F127" display="https://lektrava.ru/" r:id="rId244"/>
    <hyperlink xmlns:r="http://schemas.openxmlformats.org/officeDocument/2006/relationships" ref="O127" r:id="rId245"/>
    <hyperlink xmlns:r="http://schemas.openxmlformats.org/officeDocument/2006/relationships" ref="F128" display="http://www.medmarin.com/" r:id="rId246"/>
    <hyperlink xmlns:r="http://schemas.openxmlformats.org/officeDocument/2006/relationships" ref="O128" r:id="rId247"/>
    <hyperlink xmlns:r="http://schemas.openxmlformats.org/officeDocument/2006/relationships" ref="F129" display="http://www.mediko.ru/" r:id="rId248"/>
    <hyperlink xmlns:r="http://schemas.openxmlformats.org/officeDocument/2006/relationships" ref="O129" r:id="rId249"/>
    <hyperlink xmlns:r="http://schemas.openxmlformats.org/officeDocument/2006/relationships" ref="F130" display="http://www.tves.com.ru/" r:id="rId250"/>
    <hyperlink xmlns:r="http://schemas.openxmlformats.org/officeDocument/2006/relationships" ref="O130" r:id="rId251"/>
    <hyperlink xmlns:r="http://schemas.openxmlformats.org/officeDocument/2006/relationships" ref="F131" display="http://www.endomed.biz/" r:id="rId252"/>
    <hyperlink xmlns:r="http://schemas.openxmlformats.org/officeDocument/2006/relationships" ref="O131" r:id="rId253"/>
    <hyperlink xmlns:r="http://schemas.openxmlformats.org/officeDocument/2006/relationships" ref="F132" display="http://www.neofytos.ru/" r:id="rId254"/>
    <hyperlink xmlns:r="http://schemas.openxmlformats.org/officeDocument/2006/relationships" ref="O132" r:id="rId255"/>
    <hyperlink xmlns:r="http://schemas.openxmlformats.org/officeDocument/2006/relationships" ref="F133" display="http://www.dzmo.ru/" r:id="rId256"/>
    <hyperlink xmlns:r="http://schemas.openxmlformats.org/officeDocument/2006/relationships" ref="O133" r:id="rId257"/>
    <hyperlink xmlns:r="http://schemas.openxmlformats.org/officeDocument/2006/relationships" ref="F134" display="http://www.medimcom.ru/" r:id="rId258"/>
    <hyperlink xmlns:r="http://schemas.openxmlformats.org/officeDocument/2006/relationships" ref="O134" r:id="rId259"/>
    <hyperlink xmlns:r="http://schemas.openxmlformats.org/officeDocument/2006/relationships" ref="F135" display="http://www.newmedcom.ru/" r:id="rId260"/>
    <hyperlink xmlns:r="http://schemas.openxmlformats.org/officeDocument/2006/relationships" ref="O135" r:id="rId261"/>
    <hyperlink xmlns:r="http://schemas.openxmlformats.org/officeDocument/2006/relationships" ref="F136" display="https://loewensteinmedical.com/" r:id="rId262"/>
    <hyperlink xmlns:r="http://schemas.openxmlformats.org/officeDocument/2006/relationships" ref="O136" r:id="rId263"/>
    <hyperlink xmlns:r="http://schemas.openxmlformats.org/officeDocument/2006/relationships" ref="F137" display="http://www.skrz.ru/" r:id="rId264"/>
    <hyperlink xmlns:r="http://schemas.openxmlformats.org/officeDocument/2006/relationships" ref="O137" r:id="rId265"/>
    <hyperlink xmlns:r="http://schemas.openxmlformats.org/officeDocument/2006/relationships" ref="F138" display="http://www.velment.ru/" r:id="rId266"/>
    <hyperlink xmlns:r="http://schemas.openxmlformats.org/officeDocument/2006/relationships" ref="O138" r:id="rId267"/>
    <hyperlink xmlns:r="http://schemas.openxmlformats.org/officeDocument/2006/relationships" ref="F139" display="http://www.medelia.ru/" r:id="rId268"/>
    <hyperlink xmlns:r="http://schemas.openxmlformats.org/officeDocument/2006/relationships" ref="O139" r:id="rId269"/>
    <hyperlink xmlns:r="http://schemas.openxmlformats.org/officeDocument/2006/relationships" ref="F140" display="http://www.med-engineering.ru/" r:id="rId270"/>
    <hyperlink xmlns:r="http://schemas.openxmlformats.org/officeDocument/2006/relationships" ref="O140" r:id="rId271"/>
    <hyperlink xmlns:r="http://schemas.openxmlformats.org/officeDocument/2006/relationships" ref="F141" display="https://endomarket.ru/" r:id="rId272"/>
    <hyperlink xmlns:r="http://schemas.openxmlformats.org/officeDocument/2006/relationships" ref="O141" r:id="rId273"/>
    <hyperlink xmlns:r="http://schemas.openxmlformats.org/officeDocument/2006/relationships" ref="F142" display="http://www.telsi.ru/" r:id="rId274"/>
    <hyperlink xmlns:r="http://schemas.openxmlformats.org/officeDocument/2006/relationships" ref="O142" r:id="rId275"/>
    <hyperlink xmlns:r="http://schemas.openxmlformats.org/officeDocument/2006/relationships" ref="F143" display="https://innodrive.ru/" r:id="rId276"/>
    <hyperlink xmlns:r="http://schemas.openxmlformats.org/officeDocument/2006/relationships" ref="O143" r:id="rId277"/>
    <hyperlink xmlns:r="http://schemas.openxmlformats.org/officeDocument/2006/relationships" ref="F144" display="http://www.35med.ru/" r:id="rId278"/>
    <hyperlink xmlns:r="http://schemas.openxmlformats.org/officeDocument/2006/relationships" ref="O144" r:id="rId279"/>
    <hyperlink xmlns:r="http://schemas.openxmlformats.org/officeDocument/2006/relationships" ref="F145" display="http://www.provita.ru/" r:id="rId280"/>
    <hyperlink xmlns:r="http://schemas.openxmlformats.org/officeDocument/2006/relationships" ref="O145" r:id="rId281"/>
    <hyperlink xmlns:r="http://schemas.openxmlformats.org/officeDocument/2006/relationships" ref="F146" display="http://www.lojer.com/" r:id="rId282"/>
    <hyperlink xmlns:r="http://schemas.openxmlformats.org/officeDocument/2006/relationships" ref="O146" r:id="rId283"/>
    <hyperlink xmlns:r="http://schemas.openxmlformats.org/officeDocument/2006/relationships" ref="F147" display="https://aksioma.com/" r:id="rId284"/>
    <hyperlink xmlns:r="http://schemas.openxmlformats.org/officeDocument/2006/relationships" ref="O147" r:id="rId285"/>
    <hyperlink xmlns:r="http://schemas.openxmlformats.org/officeDocument/2006/relationships" ref="F148" display="http://www.kriptomed.ru/" r:id="rId286"/>
    <hyperlink xmlns:r="http://schemas.openxmlformats.org/officeDocument/2006/relationships" ref="O148" r:id="rId287"/>
    <hyperlink xmlns:r="http://schemas.openxmlformats.org/officeDocument/2006/relationships" ref="F149" display="http://www.triomed.pro/" r:id="rId288"/>
    <hyperlink xmlns:r="http://schemas.openxmlformats.org/officeDocument/2006/relationships" ref="O149" r:id="rId289"/>
    <hyperlink xmlns:r="http://schemas.openxmlformats.org/officeDocument/2006/relationships" ref="F150" display="http://www.validusmed.ru/" r:id="rId290"/>
    <hyperlink xmlns:r="http://schemas.openxmlformats.org/officeDocument/2006/relationships" ref="O150" r:id="rId291"/>
    <hyperlink xmlns:r="http://schemas.openxmlformats.org/officeDocument/2006/relationships" ref="F151" display="https://www.mbe-center.ru/" r:id="rId292"/>
    <hyperlink xmlns:r="http://schemas.openxmlformats.org/officeDocument/2006/relationships" ref="O151" r:id="rId293"/>
    <hyperlink xmlns:r="http://schemas.openxmlformats.org/officeDocument/2006/relationships" ref="F152" display="http://www.farm-invest.ru/" r:id="rId294"/>
    <hyperlink xmlns:r="http://schemas.openxmlformats.org/officeDocument/2006/relationships" ref="O152" r:id="rId295"/>
    <hyperlink xmlns:r="http://schemas.openxmlformats.org/officeDocument/2006/relationships" ref="O153" r:id="rId296"/>
    <hyperlink xmlns:r="http://schemas.openxmlformats.org/officeDocument/2006/relationships" ref="F154" display="http://www.labromed.ru/" r:id="rId297"/>
    <hyperlink xmlns:r="http://schemas.openxmlformats.org/officeDocument/2006/relationships" ref="O154" r:id="rId298"/>
    <hyperlink xmlns:r="http://schemas.openxmlformats.org/officeDocument/2006/relationships" ref="F155" display="http://www.med-mos.ru/" r:id="rId299"/>
    <hyperlink xmlns:r="http://schemas.openxmlformats.org/officeDocument/2006/relationships" ref="O155" r:id="rId300"/>
    <hyperlink xmlns:r="http://schemas.openxmlformats.org/officeDocument/2006/relationships" ref="F156" display="http://www.flogiston-med.ru/" r:id="rId301"/>
    <hyperlink xmlns:r="http://schemas.openxmlformats.org/officeDocument/2006/relationships" ref="O156" r:id="rId302"/>
    <hyperlink xmlns:r="http://schemas.openxmlformats.org/officeDocument/2006/relationships" ref="F157" display="http://www.reha-teh.ru/" r:id="rId303"/>
    <hyperlink xmlns:r="http://schemas.openxmlformats.org/officeDocument/2006/relationships" ref="O157" r:id="rId304"/>
    <hyperlink xmlns:r="http://schemas.openxmlformats.org/officeDocument/2006/relationships" ref="F158" display="https://endovi.ru/" r:id="rId305"/>
    <hyperlink xmlns:r="http://schemas.openxmlformats.org/officeDocument/2006/relationships" ref="O158" r:id="rId306"/>
    <hyperlink xmlns:r="http://schemas.openxmlformats.org/officeDocument/2006/relationships" ref="F159" display="http://www.servinst.ru/" r:id="rId307"/>
    <hyperlink xmlns:r="http://schemas.openxmlformats.org/officeDocument/2006/relationships" ref="O159" r:id="rId308"/>
    <hyperlink xmlns:r="http://schemas.openxmlformats.org/officeDocument/2006/relationships" ref="F160" display="https://medfarma.net/" r:id="rId309"/>
    <hyperlink xmlns:r="http://schemas.openxmlformats.org/officeDocument/2006/relationships" ref="O160" r:id="rId310"/>
    <hyperlink xmlns:r="http://schemas.openxmlformats.org/officeDocument/2006/relationships" ref="F161" display="http://www.respircare.ru/" r:id="rId311"/>
    <hyperlink xmlns:r="http://schemas.openxmlformats.org/officeDocument/2006/relationships" ref="O161" r:id="rId312"/>
    <hyperlink xmlns:r="http://schemas.openxmlformats.org/officeDocument/2006/relationships" ref="F162" display="http://zdravmebel77.ru/" r:id="rId313"/>
    <hyperlink xmlns:r="http://schemas.openxmlformats.org/officeDocument/2006/relationships" ref="O162" r:id="rId314"/>
    <hyperlink xmlns:r="http://schemas.openxmlformats.org/officeDocument/2006/relationships" ref="F163" display="http://www.bowa-eurasia.com/" r:id="rId315"/>
    <hyperlink xmlns:r="http://schemas.openxmlformats.org/officeDocument/2006/relationships" ref="O163" r:id="rId316"/>
    <hyperlink xmlns:r="http://schemas.openxmlformats.org/officeDocument/2006/relationships" ref="F164" r:id="rId317"/>
    <hyperlink xmlns:r="http://schemas.openxmlformats.org/officeDocument/2006/relationships" ref="O164" r:id="rId318"/>
    <hyperlink xmlns:r="http://schemas.openxmlformats.org/officeDocument/2006/relationships" ref="F165" display="http://www.fotonfly.ru/" r:id="rId319"/>
    <hyperlink xmlns:r="http://schemas.openxmlformats.org/officeDocument/2006/relationships" ref="O165" r:id="rId320"/>
    <hyperlink xmlns:r="http://schemas.openxmlformats.org/officeDocument/2006/relationships" ref="F166" display="http://www.el-medical.ru/" r:id="rId321"/>
    <hyperlink xmlns:r="http://schemas.openxmlformats.org/officeDocument/2006/relationships" ref="O166" r:id="rId322"/>
    <hyperlink xmlns:r="http://schemas.openxmlformats.org/officeDocument/2006/relationships" ref="F167" display="http://www.rm-med.ru/" r:id="rId323"/>
    <hyperlink xmlns:r="http://schemas.openxmlformats.org/officeDocument/2006/relationships" ref="O167" r:id="rId324"/>
    <hyperlink xmlns:r="http://schemas.openxmlformats.org/officeDocument/2006/relationships" ref="F168" display="http://www.onhs.ru/" r:id="rId325"/>
    <hyperlink xmlns:r="http://schemas.openxmlformats.org/officeDocument/2006/relationships" ref="O168" r:id="rId326"/>
    <hyperlink xmlns:r="http://schemas.openxmlformats.org/officeDocument/2006/relationships" ref="F169" display="http://gm-med.ru/" r:id="rId327"/>
    <hyperlink xmlns:r="http://schemas.openxmlformats.org/officeDocument/2006/relationships" ref="O169" r:id="rId328"/>
    <hyperlink xmlns:r="http://schemas.openxmlformats.org/officeDocument/2006/relationships" ref="F170" display="http://www.dealmed.ru/" r:id="rId329"/>
    <hyperlink xmlns:r="http://schemas.openxmlformats.org/officeDocument/2006/relationships" ref="O170" r:id="rId330"/>
    <hyperlink xmlns:r="http://schemas.openxmlformats.org/officeDocument/2006/relationships" ref="F171" display="http://www.tairiku.info/" r:id="rId331"/>
    <hyperlink xmlns:r="http://schemas.openxmlformats.org/officeDocument/2006/relationships" ref="O171" r:id="rId332"/>
    <hyperlink xmlns:r="http://schemas.openxmlformats.org/officeDocument/2006/relationships" ref="F172" display="https://sensar.su/" r:id="rId333"/>
    <hyperlink xmlns:r="http://schemas.openxmlformats.org/officeDocument/2006/relationships" ref="O172" r:id="rId334"/>
    <hyperlink xmlns:r="http://schemas.openxmlformats.org/officeDocument/2006/relationships" ref="F173" display="http://www.sol-ex.ru/" r:id="rId335"/>
    <hyperlink xmlns:r="http://schemas.openxmlformats.org/officeDocument/2006/relationships" ref="O173" r:id="rId336"/>
    <hyperlink xmlns:r="http://schemas.openxmlformats.org/officeDocument/2006/relationships" ref="O174" r:id="rId337"/>
    <hyperlink xmlns:r="http://schemas.openxmlformats.org/officeDocument/2006/relationships" ref="O175" r:id="rId338"/>
    <hyperlink xmlns:r="http://schemas.openxmlformats.org/officeDocument/2006/relationships" ref="F176" display="http://www.optmebel.ru/" r:id="rId339"/>
    <hyperlink xmlns:r="http://schemas.openxmlformats.org/officeDocument/2006/relationships" ref="O176" r:id="rId340"/>
    <hyperlink xmlns:r="http://schemas.openxmlformats.org/officeDocument/2006/relationships" ref="F177" display="http://tdask.ru/" r:id="rId341"/>
    <hyperlink xmlns:r="http://schemas.openxmlformats.org/officeDocument/2006/relationships" ref="O177" r:id="rId342"/>
    <hyperlink xmlns:r="http://schemas.openxmlformats.org/officeDocument/2006/relationships" ref="F178" display="http://www.zmir.ru/" r:id="rId343"/>
    <hyperlink xmlns:r="http://schemas.openxmlformats.org/officeDocument/2006/relationships" ref="O178" r:id="rId344"/>
    <hyperlink xmlns:r="http://schemas.openxmlformats.org/officeDocument/2006/relationships" ref="F179" display="http://www.sonoscape.ru/" r:id="rId345"/>
    <hyperlink xmlns:r="http://schemas.openxmlformats.org/officeDocument/2006/relationships" ref="O179" r:id="rId346"/>
    <hyperlink xmlns:r="http://schemas.openxmlformats.org/officeDocument/2006/relationships" ref="F180" display="http://www.sonoscape.com/" r:id="rId347"/>
    <hyperlink xmlns:r="http://schemas.openxmlformats.org/officeDocument/2006/relationships" ref="O180" r:id="rId348"/>
    <hyperlink xmlns:r="http://schemas.openxmlformats.org/officeDocument/2006/relationships" ref="F181" display="http://www.eq-vip.cafe/" r:id="rId349"/>
    <hyperlink xmlns:r="http://schemas.openxmlformats.org/officeDocument/2006/relationships" ref="O181" r:id="rId350"/>
    <hyperlink xmlns:r="http://schemas.openxmlformats.org/officeDocument/2006/relationships" ref="F182" display="http://www.axion-med.ru/" r:id="rId351"/>
    <hyperlink xmlns:r="http://schemas.openxmlformats.org/officeDocument/2006/relationships" ref="O182" r:id="rId352"/>
    <hyperlink xmlns:r="http://schemas.openxmlformats.org/officeDocument/2006/relationships" ref="F183" display="https://ippon.ru/" r:id="rId353"/>
    <hyperlink xmlns:r="http://schemas.openxmlformats.org/officeDocument/2006/relationships" ref="O183" r:id="rId354"/>
    <hyperlink xmlns:r="http://schemas.openxmlformats.org/officeDocument/2006/relationships" ref="F184" display="http://www.ooo-dialog.ru/" r:id="rId355"/>
    <hyperlink xmlns:r="http://schemas.openxmlformats.org/officeDocument/2006/relationships" ref="O184" r:id="rId356"/>
    <hyperlink xmlns:r="http://schemas.openxmlformats.org/officeDocument/2006/relationships" ref="F185" display="https://electrontest-grp.ru/" r:id="rId357"/>
    <hyperlink xmlns:r="http://schemas.openxmlformats.org/officeDocument/2006/relationships" ref="O185" r:id="rId358"/>
    <hyperlink xmlns:r="http://schemas.openxmlformats.org/officeDocument/2006/relationships" ref="F186" display="https://medklych.ru/" r:id="rId359"/>
    <hyperlink xmlns:r="http://schemas.openxmlformats.org/officeDocument/2006/relationships" ref="O186" r:id="rId360"/>
    <hyperlink xmlns:r="http://schemas.openxmlformats.org/officeDocument/2006/relationships" ref="F187" display="http://www.euromedservice.org/" r:id="rId361"/>
    <hyperlink xmlns:r="http://schemas.openxmlformats.org/officeDocument/2006/relationships" ref="O187" r:id="rId362"/>
    <hyperlink xmlns:r="http://schemas.openxmlformats.org/officeDocument/2006/relationships" ref="F188" display="http://www.doctormebel.ru/" r:id="rId363"/>
    <hyperlink xmlns:r="http://schemas.openxmlformats.org/officeDocument/2006/relationships" ref="O188" r:id="rId364"/>
    <hyperlink xmlns:r="http://schemas.openxmlformats.org/officeDocument/2006/relationships" ref="F189" display="http://www.legion.ru/" r:id="rId365"/>
    <hyperlink xmlns:r="http://schemas.openxmlformats.org/officeDocument/2006/relationships" ref="O189" r:id="rId366"/>
    <hyperlink xmlns:r="http://schemas.openxmlformats.org/officeDocument/2006/relationships" ref="O190" r:id="rId367"/>
    <hyperlink xmlns:r="http://schemas.openxmlformats.org/officeDocument/2006/relationships" ref="F191" display="http://www.medgrade.pro/" r:id="rId368"/>
    <hyperlink xmlns:r="http://schemas.openxmlformats.org/officeDocument/2006/relationships" ref="O191" r:id="rId369"/>
    <hyperlink xmlns:r="http://schemas.openxmlformats.org/officeDocument/2006/relationships" ref="F192" display="http://www.dr-d.ru/" r:id="rId370"/>
    <hyperlink xmlns:r="http://schemas.openxmlformats.org/officeDocument/2006/relationships" ref="O192" r:id="rId371"/>
    <hyperlink xmlns:r="http://schemas.openxmlformats.org/officeDocument/2006/relationships" ref="F193" display="http://www.medprivod.com/" r:id="rId372"/>
    <hyperlink xmlns:r="http://schemas.openxmlformats.org/officeDocument/2006/relationships" ref="O193" r:id="rId373"/>
    <hyperlink xmlns:r="http://schemas.openxmlformats.org/officeDocument/2006/relationships" ref="F194" display="http://www.unity-m.pro/" r:id="rId374"/>
    <hyperlink xmlns:r="http://schemas.openxmlformats.org/officeDocument/2006/relationships" ref="O194" r:id="rId375"/>
    <hyperlink xmlns:r="http://schemas.openxmlformats.org/officeDocument/2006/relationships" ref="F195" display="http://www.safe.ru/" r:id="rId376"/>
    <hyperlink xmlns:r="http://schemas.openxmlformats.org/officeDocument/2006/relationships" ref="O195" r:id="rId377"/>
    <hyperlink xmlns:r="http://schemas.openxmlformats.org/officeDocument/2006/relationships" ref="F196" display="http://www.cardiomed.su/" r:id="rId378"/>
    <hyperlink xmlns:r="http://schemas.openxmlformats.org/officeDocument/2006/relationships" ref="O196" r:id="rId379"/>
    <hyperlink xmlns:r="http://schemas.openxmlformats.org/officeDocument/2006/relationships" ref="F197" display="http://www.vzmo.su/" r:id="rId380"/>
    <hyperlink xmlns:r="http://schemas.openxmlformats.org/officeDocument/2006/relationships" ref="O197" r:id="rId381"/>
    <hyperlink xmlns:r="http://schemas.openxmlformats.org/officeDocument/2006/relationships" ref="F198" display="http://www.rusmbs.ru/" r:id="rId382"/>
    <hyperlink xmlns:r="http://schemas.openxmlformats.org/officeDocument/2006/relationships" ref="O198" r:id="rId383"/>
    <hyperlink xmlns:r="http://schemas.openxmlformats.org/officeDocument/2006/relationships" ref="F199" display="http://www.diacoms.ru/" r:id="rId384"/>
    <hyperlink xmlns:r="http://schemas.openxmlformats.org/officeDocument/2006/relationships" ref="O199" r:id="rId385"/>
    <hyperlink xmlns:r="http://schemas.openxmlformats.org/officeDocument/2006/relationships" ref="F200" display="https://smcall.ru/" r:id="rId386"/>
    <hyperlink xmlns:r="http://schemas.openxmlformats.org/officeDocument/2006/relationships" ref="O200" r:id="rId387"/>
    <hyperlink xmlns:r="http://schemas.openxmlformats.org/officeDocument/2006/relationships" ref="F201" display="https://nitrocare.com.ru/" r:id="rId388"/>
    <hyperlink xmlns:r="http://schemas.openxmlformats.org/officeDocument/2006/relationships" ref="O201" r:id="rId389"/>
    <hyperlink xmlns:r="http://schemas.openxmlformats.org/officeDocument/2006/relationships" ref="F202" display="http://www.yadromed.ru/" r:id="rId390"/>
    <hyperlink xmlns:r="http://schemas.openxmlformats.org/officeDocument/2006/relationships" ref="O202" r:id="rId391"/>
    <hyperlink xmlns:r="http://schemas.openxmlformats.org/officeDocument/2006/relationships" ref="F203" display="http://www.lomo.ru/" r:id="rId392"/>
    <hyperlink xmlns:r="http://schemas.openxmlformats.org/officeDocument/2006/relationships" ref="O203" r:id="rId393"/>
    <hyperlink xmlns:r="http://schemas.openxmlformats.org/officeDocument/2006/relationships" ref="F204" display="http://www.mrigroup.ru/" r:id="rId394"/>
    <hyperlink xmlns:r="http://schemas.openxmlformats.org/officeDocument/2006/relationships" ref="O204" r:id="rId395"/>
    <hyperlink xmlns:r="http://schemas.openxmlformats.org/officeDocument/2006/relationships" ref="F205" display="http://unona-aqua.ru/" r:id="rId396"/>
    <hyperlink xmlns:r="http://schemas.openxmlformats.org/officeDocument/2006/relationships" ref="O205" r:id="rId397"/>
    <hyperlink xmlns:r="http://schemas.openxmlformats.org/officeDocument/2006/relationships" ref="F206" display="https://karipain.ru/" r:id="rId398"/>
    <hyperlink xmlns:r="http://schemas.openxmlformats.org/officeDocument/2006/relationships" ref="O206" r:id="rId399"/>
    <hyperlink xmlns:r="http://schemas.openxmlformats.org/officeDocument/2006/relationships" ref="F207" display="http://www.divisy.biz/" r:id="rId400"/>
    <hyperlink xmlns:r="http://schemas.openxmlformats.org/officeDocument/2006/relationships" ref="O207" r:id="rId401"/>
    <hyperlink xmlns:r="http://schemas.openxmlformats.org/officeDocument/2006/relationships" ref="F208" display="http://deltaufa.ru/" r:id="rId402"/>
    <hyperlink xmlns:r="http://schemas.openxmlformats.org/officeDocument/2006/relationships" ref="O208" r:id="rId403"/>
    <hyperlink xmlns:r="http://schemas.openxmlformats.org/officeDocument/2006/relationships" ref="F209" display="http://www.almaz-rpe.ru/" r:id="rId404"/>
    <hyperlink xmlns:r="http://schemas.openxmlformats.org/officeDocument/2006/relationships" ref="O209" r:id="rId405"/>
    <hyperlink xmlns:r="http://schemas.openxmlformats.org/officeDocument/2006/relationships" ref="F210" display="https://vniivega.ru/" r:id="rId406"/>
    <hyperlink xmlns:r="http://schemas.openxmlformats.org/officeDocument/2006/relationships" ref="O210" r:id="rId407"/>
    <hyperlink xmlns:r="http://schemas.openxmlformats.org/officeDocument/2006/relationships" ref="F211" display="http://www.relsib.com/" r:id="rId408"/>
    <hyperlink xmlns:r="http://schemas.openxmlformats.org/officeDocument/2006/relationships" ref="O211" r:id="rId409"/>
    <hyperlink xmlns:r="http://schemas.openxmlformats.org/officeDocument/2006/relationships" ref="F212" display="http://www.rs01.ru/" r:id="rId410"/>
    <hyperlink xmlns:r="http://schemas.openxmlformats.org/officeDocument/2006/relationships" ref="O212" r:id="rId411"/>
    <hyperlink xmlns:r="http://schemas.openxmlformats.org/officeDocument/2006/relationships" ref="F213" display="http://haass.ru/" r:id="rId412"/>
    <hyperlink xmlns:r="http://schemas.openxmlformats.org/officeDocument/2006/relationships" ref="O213" r:id="rId413"/>
    <hyperlink xmlns:r="http://schemas.openxmlformats.org/officeDocument/2006/relationships" ref="O214" r:id="rId414"/>
    <hyperlink xmlns:r="http://schemas.openxmlformats.org/officeDocument/2006/relationships" ref="F215" display="http://ifmark.ru/" r:id="rId415"/>
    <hyperlink xmlns:r="http://schemas.openxmlformats.org/officeDocument/2006/relationships" ref="O215" r:id="rId416"/>
    <hyperlink xmlns:r="http://schemas.openxmlformats.org/officeDocument/2006/relationships" ref="F216" display="http://www.eleps.ru/" r:id="rId417"/>
    <hyperlink xmlns:r="http://schemas.openxmlformats.org/officeDocument/2006/relationships" ref="O216" r:id="rId418"/>
    <hyperlink xmlns:r="http://schemas.openxmlformats.org/officeDocument/2006/relationships" ref="F217" display="http://www.balumed.su/" r:id="rId419"/>
    <hyperlink xmlns:r="http://schemas.openxmlformats.org/officeDocument/2006/relationships" ref="O217" r:id="rId420"/>
    <hyperlink xmlns:r="http://schemas.openxmlformats.org/officeDocument/2006/relationships" ref="F218" display="http://www.medizdelie.ru/" r:id="rId421"/>
    <hyperlink xmlns:r="http://schemas.openxmlformats.org/officeDocument/2006/relationships" ref="O218" r:id="rId422"/>
    <hyperlink xmlns:r="http://schemas.openxmlformats.org/officeDocument/2006/relationships" ref="F219" display="http://medikom.ru/" r:id="rId423"/>
    <hyperlink xmlns:r="http://schemas.openxmlformats.org/officeDocument/2006/relationships" ref="O219" r:id="rId424"/>
    <hyperlink xmlns:r="http://schemas.openxmlformats.org/officeDocument/2006/relationships" ref="F220" display="http://www.nephron.ru/" r:id="rId425"/>
    <hyperlink xmlns:r="http://schemas.openxmlformats.org/officeDocument/2006/relationships" ref="O220" r:id="rId426"/>
    <hyperlink xmlns:r="http://schemas.openxmlformats.org/officeDocument/2006/relationships" ref="F221" display="http://www.armaline.ru/" r:id="rId427"/>
    <hyperlink xmlns:r="http://schemas.openxmlformats.org/officeDocument/2006/relationships" ref="O221" r:id="rId428"/>
    <hyperlink xmlns:r="http://schemas.openxmlformats.org/officeDocument/2006/relationships" ref="F222" display="http://vit-medical.com/" r:id="rId429"/>
    <hyperlink xmlns:r="http://schemas.openxmlformats.org/officeDocument/2006/relationships" ref="O222" r:id="rId430"/>
    <hyperlink xmlns:r="http://schemas.openxmlformats.org/officeDocument/2006/relationships" ref="F223" display="https://bigpravo.ru/" r:id="rId431"/>
    <hyperlink xmlns:r="http://schemas.openxmlformats.org/officeDocument/2006/relationships" ref="O223" r:id="rId432"/>
    <hyperlink xmlns:r="http://schemas.openxmlformats.org/officeDocument/2006/relationships" ref="F224" display="http://www.apexlab.ru/" r:id="rId433"/>
    <hyperlink xmlns:r="http://schemas.openxmlformats.org/officeDocument/2006/relationships" ref="O224" r:id="rId434"/>
    <hyperlink xmlns:r="http://schemas.openxmlformats.org/officeDocument/2006/relationships" ref="F225" display="http://www.tdl-textile.ru/" r:id="rId435"/>
    <hyperlink xmlns:r="http://schemas.openxmlformats.org/officeDocument/2006/relationships" ref="O225" r:id="rId436"/>
    <hyperlink xmlns:r="http://schemas.openxmlformats.org/officeDocument/2006/relationships" ref="F226" display="http://www.zmtn.ru/" r:id="rId437"/>
    <hyperlink xmlns:r="http://schemas.openxmlformats.org/officeDocument/2006/relationships" ref="O226" r:id="rId438"/>
    <hyperlink xmlns:r="http://schemas.openxmlformats.org/officeDocument/2006/relationships" ref="F227" display="http://www.1thermometer.ru/" r:id="rId439"/>
    <hyperlink xmlns:r="http://schemas.openxmlformats.org/officeDocument/2006/relationships" ref="O227" r:id="rId440"/>
    <hyperlink xmlns:r="http://schemas.openxmlformats.org/officeDocument/2006/relationships" ref="F228" display="http://www.medapparatura.ru/" r:id="rId441"/>
    <hyperlink xmlns:r="http://schemas.openxmlformats.org/officeDocument/2006/relationships" ref="O228" r:id="rId442"/>
    <hyperlink xmlns:r="http://schemas.openxmlformats.org/officeDocument/2006/relationships" ref="F229" display="https://medproekt.msk.ru/" r:id="rId443"/>
    <hyperlink xmlns:r="http://schemas.openxmlformats.org/officeDocument/2006/relationships" ref="O229" r:id="rId444"/>
    <hyperlink xmlns:r="http://schemas.openxmlformats.org/officeDocument/2006/relationships" ref="F230" display="http://www.basismed.ru/" r:id="rId445"/>
    <hyperlink xmlns:r="http://schemas.openxmlformats.org/officeDocument/2006/relationships" ref="O230" r:id="rId446"/>
    <hyperlink xmlns:r="http://schemas.openxmlformats.org/officeDocument/2006/relationships" ref="F231" display="http://www.endo-nt.ru/" r:id="rId447"/>
    <hyperlink xmlns:r="http://schemas.openxmlformats.org/officeDocument/2006/relationships" ref="O231" r:id="rId448"/>
    <hyperlink xmlns:r="http://schemas.openxmlformats.org/officeDocument/2006/relationships" ref="F232" display="https://unikhelz.su/" r:id="rId449"/>
    <hyperlink xmlns:r="http://schemas.openxmlformats.org/officeDocument/2006/relationships" ref="O232" r:id="rId450"/>
    <hyperlink xmlns:r="http://schemas.openxmlformats.org/officeDocument/2006/relationships" ref="F233" display="https://parmd.ru/" r:id="rId451"/>
    <hyperlink xmlns:r="http://schemas.openxmlformats.org/officeDocument/2006/relationships" ref="O233" r:id="rId452"/>
    <hyperlink xmlns:r="http://schemas.openxmlformats.org/officeDocument/2006/relationships" ref="F234" display="http://www.medx-ray.ru/" r:id="rId453"/>
    <hyperlink xmlns:r="http://schemas.openxmlformats.org/officeDocument/2006/relationships" ref="O234" r:id="rId454"/>
    <hyperlink xmlns:r="http://schemas.openxmlformats.org/officeDocument/2006/relationships" ref="O235" r:id="rId455"/>
    <hyperlink xmlns:r="http://schemas.openxmlformats.org/officeDocument/2006/relationships" ref="F236" display="http://www.voscopran.ru/" r:id="rId456"/>
    <hyperlink xmlns:r="http://schemas.openxmlformats.org/officeDocument/2006/relationships" ref="O236" r:id="rId457"/>
    <hyperlink xmlns:r="http://schemas.openxmlformats.org/officeDocument/2006/relationships" ref="F237" display="http://www.arxmed.ru/" r:id="rId458"/>
    <hyperlink xmlns:r="http://schemas.openxmlformats.org/officeDocument/2006/relationships" ref="O237" r:id="rId459"/>
    <hyperlink xmlns:r="http://schemas.openxmlformats.org/officeDocument/2006/relationships" ref="F238" display="https://gruppastk.ru/" r:id="rId460"/>
    <hyperlink xmlns:r="http://schemas.openxmlformats.org/officeDocument/2006/relationships" ref="O238" r:id="rId461"/>
    <hyperlink xmlns:r="http://schemas.openxmlformats.org/officeDocument/2006/relationships" ref="F239" display="http://www.mfsendo.com/" r:id="rId462"/>
    <hyperlink xmlns:r="http://schemas.openxmlformats.org/officeDocument/2006/relationships" ref="O239" r:id="rId463"/>
    <hyperlink xmlns:r="http://schemas.openxmlformats.org/officeDocument/2006/relationships" ref="F240" display="http://www.alfachem.su/" r:id="rId464"/>
    <hyperlink xmlns:r="http://schemas.openxmlformats.org/officeDocument/2006/relationships" ref="O240" r:id="rId465"/>
    <hyperlink xmlns:r="http://schemas.openxmlformats.org/officeDocument/2006/relationships" ref="F241" display="https://perspectiva-m.ru/" r:id="rId466"/>
    <hyperlink xmlns:r="http://schemas.openxmlformats.org/officeDocument/2006/relationships" ref="O241" r:id="rId467"/>
    <hyperlink xmlns:r="http://schemas.openxmlformats.org/officeDocument/2006/relationships" ref="F242" display="http://ecolat.shop/" r:id="rId468"/>
    <hyperlink xmlns:r="http://schemas.openxmlformats.org/officeDocument/2006/relationships" ref="O242" r:id="rId469"/>
    <hyperlink xmlns:r="http://schemas.openxmlformats.org/officeDocument/2006/relationships" ref="F243" display="http://www.ooo-mim.ru/" r:id="rId470"/>
    <hyperlink xmlns:r="http://schemas.openxmlformats.org/officeDocument/2006/relationships" ref="O243" r:id="rId471"/>
    <hyperlink xmlns:r="http://schemas.openxmlformats.org/officeDocument/2006/relationships" ref="F244" display="http://zmt-moscow.ru/" r:id="rId472"/>
    <hyperlink xmlns:r="http://schemas.openxmlformats.org/officeDocument/2006/relationships" ref="O244" r:id="rId473"/>
    <hyperlink xmlns:r="http://schemas.openxmlformats.org/officeDocument/2006/relationships" ref="F245" display="http://www.alfatory.ru/" r:id="rId474"/>
    <hyperlink xmlns:r="http://schemas.openxmlformats.org/officeDocument/2006/relationships" ref="O245" r:id="rId475"/>
    <hyperlink xmlns:r="http://schemas.openxmlformats.org/officeDocument/2006/relationships" ref="F246" display="http://www.unicmed.ru/" r:id="rId476"/>
    <hyperlink xmlns:r="http://schemas.openxmlformats.org/officeDocument/2006/relationships" ref="O246" r:id="rId477"/>
    <hyperlink xmlns:r="http://schemas.openxmlformats.org/officeDocument/2006/relationships" ref="F247" display="http://www.natana-group.ru/" r:id="rId478"/>
    <hyperlink xmlns:r="http://schemas.openxmlformats.org/officeDocument/2006/relationships" ref="O247" r:id="rId479"/>
    <hyperlink xmlns:r="http://schemas.openxmlformats.org/officeDocument/2006/relationships" ref="F248" display="http://www.medintorg.ru/" r:id="rId480"/>
    <hyperlink xmlns:r="http://schemas.openxmlformats.org/officeDocument/2006/relationships" ref="O248" r:id="rId481"/>
    <hyperlink xmlns:r="http://schemas.openxmlformats.org/officeDocument/2006/relationships" ref="F249" display="http://www.yarward.com.ru/" r:id="rId482"/>
    <hyperlink xmlns:r="http://schemas.openxmlformats.org/officeDocument/2006/relationships" ref="O249" r:id="rId483"/>
    <hyperlink xmlns:r="http://schemas.openxmlformats.org/officeDocument/2006/relationships" ref="F250" display="https://wegorus.ru/" r:id="rId484"/>
    <hyperlink xmlns:r="http://schemas.openxmlformats.org/officeDocument/2006/relationships" ref="O250" r:id="rId485"/>
    <hyperlink xmlns:r="http://schemas.openxmlformats.org/officeDocument/2006/relationships" ref="O251" r:id="rId486"/>
    <hyperlink xmlns:r="http://schemas.openxmlformats.org/officeDocument/2006/relationships" ref="F252" display="http://ctmt.ru/" r:id="rId487"/>
    <hyperlink xmlns:r="http://schemas.openxmlformats.org/officeDocument/2006/relationships" ref="O252" r:id="rId488"/>
    <hyperlink xmlns:r="http://schemas.openxmlformats.org/officeDocument/2006/relationships" ref="F253" display="http://www.geomedplus.ru/" r:id="rId489"/>
    <hyperlink xmlns:r="http://schemas.openxmlformats.org/officeDocument/2006/relationships" ref="O253" r:id="rId490"/>
    <hyperlink xmlns:r="http://schemas.openxmlformats.org/officeDocument/2006/relationships" ref="F254" display="https://optimelle.org/" r:id="rId491"/>
    <hyperlink xmlns:r="http://schemas.openxmlformats.org/officeDocument/2006/relationships" ref="O254" r:id="rId492"/>
    <hyperlink xmlns:r="http://schemas.openxmlformats.org/officeDocument/2006/relationships" ref="F255" display="http://www.vait-medical.ru/" r:id="rId493"/>
    <hyperlink xmlns:r="http://schemas.openxmlformats.org/officeDocument/2006/relationships" ref="O255" r:id="rId494"/>
    <hyperlink xmlns:r="http://schemas.openxmlformats.org/officeDocument/2006/relationships" ref="F256" display="http://www.medsil.ru/" r:id="rId495"/>
    <hyperlink xmlns:r="http://schemas.openxmlformats.org/officeDocument/2006/relationships" ref="O256" r:id="rId496"/>
    <hyperlink xmlns:r="http://schemas.openxmlformats.org/officeDocument/2006/relationships" ref="F257" display="http://mpk-elec.ru/" r:id="rId497"/>
    <hyperlink xmlns:r="http://schemas.openxmlformats.org/officeDocument/2006/relationships" ref="O257" r:id="rId498"/>
    <hyperlink xmlns:r="http://schemas.openxmlformats.org/officeDocument/2006/relationships" ref="F258" display="http://www.gkzdorovie.ru/" r:id="rId499"/>
    <hyperlink xmlns:r="http://schemas.openxmlformats.org/officeDocument/2006/relationships" ref="O258" r:id="rId500"/>
    <hyperlink xmlns:r="http://schemas.openxmlformats.org/officeDocument/2006/relationships" ref="F259" display="https://farmlik.ru/" r:id="rId501"/>
    <hyperlink xmlns:r="http://schemas.openxmlformats.org/officeDocument/2006/relationships" ref="O259" r:id="rId502"/>
    <hyperlink xmlns:r="http://schemas.openxmlformats.org/officeDocument/2006/relationships" ref="F260" display="http://www.maromax.ru/" r:id="rId503"/>
    <hyperlink xmlns:r="http://schemas.openxmlformats.org/officeDocument/2006/relationships" ref="O260" r:id="rId504"/>
    <hyperlink xmlns:r="http://schemas.openxmlformats.org/officeDocument/2006/relationships" ref="F261" display="http://www.chartpaperexpert.com/" r:id="rId505"/>
    <hyperlink xmlns:r="http://schemas.openxmlformats.org/officeDocument/2006/relationships" ref="O261" r:id="rId506"/>
    <hyperlink xmlns:r="http://schemas.openxmlformats.org/officeDocument/2006/relationships" ref="F262" display="http://www.medfason.ru/" r:id="rId507"/>
    <hyperlink xmlns:r="http://schemas.openxmlformats.org/officeDocument/2006/relationships" ref="O262" r:id="rId508"/>
    <hyperlink xmlns:r="http://schemas.openxmlformats.org/officeDocument/2006/relationships" ref="F263" display="http://www.medirama.ru/" r:id="rId509"/>
    <hyperlink xmlns:r="http://schemas.openxmlformats.org/officeDocument/2006/relationships" ref="O263" r:id="rId510"/>
    <hyperlink xmlns:r="http://schemas.openxmlformats.org/officeDocument/2006/relationships" ref="F264" display="http://www.nmcport.com/" r:id="rId511"/>
    <hyperlink xmlns:r="http://schemas.openxmlformats.org/officeDocument/2006/relationships" ref="O264" r:id="rId512"/>
    <hyperlink xmlns:r="http://schemas.openxmlformats.org/officeDocument/2006/relationships" ref="F265" display="http://berimed.ru/" r:id="rId513"/>
    <hyperlink xmlns:r="http://schemas.openxmlformats.org/officeDocument/2006/relationships" ref="O265" r:id="rId514"/>
    <hyperlink xmlns:r="http://schemas.openxmlformats.org/officeDocument/2006/relationships" ref="O266" r:id="rId515"/>
    <hyperlink xmlns:r="http://schemas.openxmlformats.org/officeDocument/2006/relationships" ref="F267" display="http://www.medmedical.ru/" r:id="rId516"/>
    <hyperlink xmlns:r="http://schemas.openxmlformats.org/officeDocument/2006/relationships" ref="O267" r:id="rId517"/>
    <hyperlink xmlns:r="http://schemas.openxmlformats.org/officeDocument/2006/relationships" ref="F268" display="http://imex-company.ru/" r:id="rId518"/>
    <hyperlink xmlns:r="http://schemas.openxmlformats.org/officeDocument/2006/relationships" ref="O268" r:id="rId519"/>
    <hyperlink xmlns:r="http://schemas.openxmlformats.org/officeDocument/2006/relationships" ref="F269" display="http://www.garant1.ru/" r:id="rId520"/>
    <hyperlink xmlns:r="http://schemas.openxmlformats.org/officeDocument/2006/relationships" ref="O269" r:id="rId521"/>
    <hyperlink xmlns:r="http://schemas.openxmlformats.org/officeDocument/2006/relationships" ref="F270" display="http://www.mp-simurg.ru/" r:id="rId522"/>
    <hyperlink xmlns:r="http://schemas.openxmlformats.org/officeDocument/2006/relationships" ref="O270" r:id="rId523"/>
    <hyperlink xmlns:r="http://schemas.openxmlformats.org/officeDocument/2006/relationships" ref="F271" display="http://www.bisans.ru/" r:id="rId524"/>
    <hyperlink xmlns:r="http://schemas.openxmlformats.org/officeDocument/2006/relationships" ref="O271" r:id="rId525"/>
    <hyperlink xmlns:r="http://schemas.openxmlformats.org/officeDocument/2006/relationships" ref="F272" display="http://www.akonit.ru/" r:id="rId526"/>
    <hyperlink xmlns:r="http://schemas.openxmlformats.org/officeDocument/2006/relationships" ref="O272" r:id="rId527"/>
    <hyperlink xmlns:r="http://schemas.openxmlformats.org/officeDocument/2006/relationships" ref="F273" display="http://www.aktimed.ru/" r:id="rId528"/>
    <hyperlink xmlns:r="http://schemas.openxmlformats.org/officeDocument/2006/relationships" ref="O273" r:id="rId529"/>
    <hyperlink xmlns:r="http://schemas.openxmlformats.org/officeDocument/2006/relationships" ref="F274" display="http://www.cereb.su/" r:id="rId530"/>
    <hyperlink xmlns:r="http://schemas.openxmlformats.org/officeDocument/2006/relationships" ref="O274" r:id="rId531"/>
    <hyperlink xmlns:r="http://schemas.openxmlformats.org/officeDocument/2006/relationships" ref="F275" display="http://www.pgmed.ru/" r:id="rId532"/>
    <hyperlink xmlns:r="http://schemas.openxmlformats.org/officeDocument/2006/relationships" ref="O275" r:id="rId533"/>
    <hyperlink xmlns:r="http://schemas.openxmlformats.org/officeDocument/2006/relationships" ref="F276" display="http://www.elemaar.ru/" r:id="rId534"/>
    <hyperlink xmlns:r="http://schemas.openxmlformats.org/officeDocument/2006/relationships" ref="O276" r:id="rId535"/>
    <hyperlink xmlns:r="http://schemas.openxmlformats.org/officeDocument/2006/relationships" ref="F277" display="https://www.skolfarma.ru/" r:id="rId536"/>
    <hyperlink xmlns:r="http://schemas.openxmlformats.org/officeDocument/2006/relationships" ref="O277" r:id="rId537"/>
    <hyperlink xmlns:r="http://schemas.openxmlformats.org/officeDocument/2006/relationships" ref="F278" display="https://darpix.ru/" r:id="rId538"/>
    <hyperlink xmlns:r="http://schemas.openxmlformats.org/officeDocument/2006/relationships" ref="O278" r:id="rId539"/>
    <hyperlink xmlns:r="http://schemas.openxmlformats.org/officeDocument/2006/relationships" ref="F279" display="http://medaim.ru/" r:id="rId540"/>
    <hyperlink xmlns:r="http://schemas.openxmlformats.org/officeDocument/2006/relationships" ref="O279" r:id="rId541"/>
    <hyperlink xmlns:r="http://schemas.openxmlformats.org/officeDocument/2006/relationships" ref="F280" display="http://www.shaklin.ru/" r:id="rId542"/>
    <hyperlink xmlns:r="http://schemas.openxmlformats.org/officeDocument/2006/relationships" ref="O280" r:id="rId543"/>
    <hyperlink xmlns:r="http://schemas.openxmlformats.org/officeDocument/2006/relationships" ref="F281" display="https://yukigroup.ru/" r:id="rId544"/>
    <hyperlink xmlns:r="http://schemas.openxmlformats.org/officeDocument/2006/relationships" ref="O281" r:id="rId545"/>
    <hyperlink xmlns:r="http://schemas.openxmlformats.org/officeDocument/2006/relationships" ref="F282" display="http://www.palma-med.ru/" r:id="rId546"/>
    <hyperlink xmlns:r="http://schemas.openxmlformats.org/officeDocument/2006/relationships" ref="O282" r:id="rId547"/>
    <hyperlink xmlns:r="http://schemas.openxmlformats.org/officeDocument/2006/relationships" ref="F283" display="http://www.willmed.ru/" r:id="rId548"/>
    <hyperlink xmlns:r="http://schemas.openxmlformats.org/officeDocument/2006/relationships" ref="O283" r:id="rId549"/>
    <hyperlink xmlns:r="http://schemas.openxmlformats.org/officeDocument/2006/relationships" ref="F284" display="http://heine.com.ru/" r:id="rId550"/>
    <hyperlink xmlns:r="http://schemas.openxmlformats.org/officeDocument/2006/relationships" ref="O284" r:id="rId551"/>
    <hyperlink xmlns:r="http://schemas.openxmlformats.org/officeDocument/2006/relationships" ref="F285" display="https://meshkipaketi.ru/" r:id="rId552"/>
    <hyperlink xmlns:r="http://schemas.openxmlformats.org/officeDocument/2006/relationships" ref="O285" r:id="rId553"/>
    <hyperlink xmlns:r="http://schemas.openxmlformats.org/officeDocument/2006/relationships" ref="F286" display="https://bolusmed.ru/" r:id="rId554"/>
    <hyperlink xmlns:r="http://schemas.openxmlformats.org/officeDocument/2006/relationships" ref="O286" r:id="rId555"/>
    <hyperlink xmlns:r="http://schemas.openxmlformats.org/officeDocument/2006/relationships" ref="F287" display="http://www.advamedics.ru/" r:id="rId556"/>
    <hyperlink xmlns:r="http://schemas.openxmlformats.org/officeDocument/2006/relationships" ref="O287" r:id="rId557"/>
    <hyperlink xmlns:r="http://schemas.openxmlformats.org/officeDocument/2006/relationships" ref="F288" display="http://www.mnpkavis.ru/" r:id="rId558"/>
    <hyperlink xmlns:r="http://schemas.openxmlformats.org/officeDocument/2006/relationships" ref="O288" r:id="rId559"/>
    <hyperlink xmlns:r="http://schemas.openxmlformats.org/officeDocument/2006/relationships" ref="F289" display="http://www.emgr.ru/" r:id="rId560"/>
    <hyperlink xmlns:r="http://schemas.openxmlformats.org/officeDocument/2006/relationships" ref="O289" r:id="rId561"/>
    <hyperlink xmlns:r="http://schemas.openxmlformats.org/officeDocument/2006/relationships" ref="F290" display="http://www.medin-n.ru/" r:id="rId562"/>
    <hyperlink xmlns:r="http://schemas.openxmlformats.org/officeDocument/2006/relationships" ref="O290" r:id="rId563"/>
    <hyperlink xmlns:r="http://schemas.openxmlformats.org/officeDocument/2006/relationships" ref="F291" display="http://bmedical.ru/" r:id="rId564"/>
    <hyperlink xmlns:r="http://schemas.openxmlformats.org/officeDocument/2006/relationships" ref="O291" r:id="rId565"/>
    <hyperlink xmlns:r="http://schemas.openxmlformats.org/officeDocument/2006/relationships" ref="F292" display="https://orionmed.ru/" r:id="rId566"/>
    <hyperlink xmlns:r="http://schemas.openxmlformats.org/officeDocument/2006/relationships" ref="O292" r:id="rId567"/>
    <hyperlink xmlns:r="http://schemas.openxmlformats.org/officeDocument/2006/relationships" ref="F293" display="https://vascularpro.ru/" r:id="rId568"/>
    <hyperlink xmlns:r="http://schemas.openxmlformats.org/officeDocument/2006/relationships" ref="O293" r:id="rId569"/>
    <hyperlink xmlns:r="http://schemas.openxmlformats.org/officeDocument/2006/relationships" ref="F294" display="http://www.napoly.info/" r:id="rId570"/>
    <hyperlink xmlns:r="http://schemas.openxmlformats.org/officeDocument/2006/relationships" ref="O294" r:id="rId571"/>
    <hyperlink xmlns:r="http://schemas.openxmlformats.org/officeDocument/2006/relationships" ref="F295" display="http://www.meditekm.ru/" r:id="rId572"/>
    <hyperlink xmlns:r="http://schemas.openxmlformats.org/officeDocument/2006/relationships" ref="O295" r:id="rId573"/>
    <hyperlink xmlns:r="http://schemas.openxmlformats.org/officeDocument/2006/relationships" ref="F296" display="http://www.1-touch.ru/" r:id="rId574"/>
    <hyperlink xmlns:r="http://schemas.openxmlformats.org/officeDocument/2006/relationships" ref="O296" r:id="rId575"/>
    <hyperlink xmlns:r="http://schemas.openxmlformats.org/officeDocument/2006/relationships" ref="F297" display="http://www.grundlage.info/" r:id="rId576"/>
    <hyperlink xmlns:r="http://schemas.openxmlformats.org/officeDocument/2006/relationships" ref="O297" r:id="rId577"/>
    <hyperlink xmlns:r="http://schemas.openxmlformats.org/officeDocument/2006/relationships" ref="F298" display="http://www.imsstore.ru/" r:id="rId578"/>
    <hyperlink xmlns:r="http://schemas.openxmlformats.org/officeDocument/2006/relationships" ref="O298" r:id="rId579"/>
    <hyperlink xmlns:r="http://schemas.openxmlformats.org/officeDocument/2006/relationships" ref="F299" display="http://lm-med.com/" r:id="rId580"/>
    <hyperlink xmlns:r="http://schemas.openxmlformats.org/officeDocument/2006/relationships" ref="O299" r:id="rId581"/>
    <hyperlink xmlns:r="http://schemas.openxmlformats.org/officeDocument/2006/relationships" ref="F300" display="http://www.vascularaccess.ru/" r:id="rId582"/>
    <hyperlink xmlns:r="http://schemas.openxmlformats.org/officeDocument/2006/relationships" ref="O300" r:id="rId583"/>
    <hyperlink xmlns:r="http://schemas.openxmlformats.org/officeDocument/2006/relationships" ref="F301" display="https://arhimed.spb.ru/" r:id="rId584"/>
    <hyperlink xmlns:r="http://schemas.openxmlformats.org/officeDocument/2006/relationships" ref="O301" r:id="rId585"/>
    <hyperlink xmlns:r="http://schemas.openxmlformats.org/officeDocument/2006/relationships" ref="O302" r:id="rId586"/>
    <hyperlink xmlns:r="http://schemas.openxmlformats.org/officeDocument/2006/relationships" ref="F303" display="https://n-vit.com/" r:id="rId587"/>
    <hyperlink xmlns:r="http://schemas.openxmlformats.org/officeDocument/2006/relationships" ref="O303" r:id="rId588"/>
    <hyperlink xmlns:r="http://schemas.openxmlformats.org/officeDocument/2006/relationships" ref="F304" display="https://www.techno-med.ru/" r:id="rId589"/>
    <hyperlink xmlns:r="http://schemas.openxmlformats.org/officeDocument/2006/relationships" ref="O304" r:id="rId590"/>
    <hyperlink xmlns:r="http://schemas.openxmlformats.org/officeDocument/2006/relationships" ref="F305" display="https://tezis-shop.ru/" r:id="rId591"/>
    <hyperlink xmlns:r="http://schemas.openxmlformats.org/officeDocument/2006/relationships" ref="O305" r:id="rId592"/>
    <hyperlink xmlns:r="http://schemas.openxmlformats.org/officeDocument/2006/relationships" ref="F306" display="http://www.nireda.ru/" r:id="rId593"/>
    <hyperlink xmlns:r="http://schemas.openxmlformats.org/officeDocument/2006/relationships" ref="O306" r:id="rId594"/>
    <hyperlink xmlns:r="http://schemas.openxmlformats.org/officeDocument/2006/relationships" ref="F307" display="http://www.tdsel.pro/" r:id="rId595"/>
    <hyperlink xmlns:r="http://schemas.openxmlformats.org/officeDocument/2006/relationships" ref="O307" r:id="rId596"/>
    <hyperlink xmlns:r="http://schemas.openxmlformats.org/officeDocument/2006/relationships" ref="F308" display="http://www.reanmed.ru/" r:id="rId597"/>
    <hyperlink xmlns:r="http://schemas.openxmlformats.org/officeDocument/2006/relationships" ref="O308" r:id="rId598"/>
    <hyperlink xmlns:r="http://schemas.openxmlformats.org/officeDocument/2006/relationships" ref="F309" display="https://farm-sfera.ru/" r:id="rId599"/>
    <hyperlink xmlns:r="http://schemas.openxmlformats.org/officeDocument/2006/relationships" ref="O309" r:id="rId600"/>
    <hyperlink xmlns:r="http://schemas.openxmlformats.org/officeDocument/2006/relationships" ref="F310" display="http://angioline.ru/" r:id="rId601"/>
    <hyperlink xmlns:r="http://schemas.openxmlformats.org/officeDocument/2006/relationships" ref="O310" r:id="rId602"/>
    <hyperlink xmlns:r="http://schemas.openxmlformats.org/officeDocument/2006/relationships" ref="O311" r:id="rId603"/>
    <hyperlink xmlns:r="http://schemas.openxmlformats.org/officeDocument/2006/relationships" ref="F312" display="https://rggroup-co.com/" r:id="rId604"/>
    <hyperlink xmlns:r="http://schemas.openxmlformats.org/officeDocument/2006/relationships" ref="O312" r:id="rId605"/>
    <hyperlink xmlns:r="http://schemas.openxmlformats.org/officeDocument/2006/relationships" ref="F313" display="http://diatix.ru/" r:id="rId606"/>
    <hyperlink xmlns:r="http://schemas.openxmlformats.org/officeDocument/2006/relationships" ref="O313" r:id="rId607"/>
    <hyperlink xmlns:r="http://schemas.openxmlformats.org/officeDocument/2006/relationships" ref="F314" display="http://www.interfarmservice.ru/" r:id="rId608"/>
    <hyperlink xmlns:r="http://schemas.openxmlformats.org/officeDocument/2006/relationships" ref="O314" r:id="rId609"/>
    <hyperlink xmlns:r="http://schemas.openxmlformats.org/officeDocument/2006/relationships" ref="F315" display="http://www.biosensoran.ru/" r:id="rId610"/>
    <hyperlink xmlns:r="http://schemas.openxmlformats.org/officeDocument/2006/relationships" ref="O315" r:id="rId611"/>
    <hyperlink xmlns:r="http://schemas.openxmlformats.org/officeDocument/2006/relationships" ref="F316" display="http://www.inpren.ru/" r:id="rId612"/>
    <hyperlink xmlns:r="http://schemas.openxmlformats.org/officeDocument/2006/relationships" ref="O316" r:id="rId613"/>
    <hyperlink xmlns:r="http://schemas.openxmlformats.org/officeDocument/2006/relationships" ref="F317" display="http://www.exmedikal.ru/" r:id="rId614"/>
    <hyperlink xmlns:r="http://schemas.openxmlformats.org/officeDocument/2006/relationships" ref="O317" r:id="rId615"/>
    <hyperlink xmlns:r="http://schemas.openxmlformats.org/officeDocument/2006/relationships" ref="F318" display="http://www.elema-n.ru/" r:id="rId616"/>
    <hyperlink xmlns:r="http://schemas.openxmlformats.org/officeDocument/2006/relationships" ref="O318" r:id="rId617"/>
    <hyperlink xmlns:r="http://schemas.openxmlformats.org/officeDocument/2006/relationships" ref="F319" display="http://www.a-dez.ru/" r:id="rId618"/>
    <hyperlink xmlns:r="http://schemas.openxmlformats.org/officeDocument/2006/relationships" ref="O319" r:id="rId619"/>
    <hyperlink xmlns:r="http://schemas.openxmlformats.org/officeDocument/2006/relationships" ref="F320" display="http://www.almadez.ru/" r:id="rId620"/>
    <hyperlink xmlns:r="http://schemas.openxmlformats.org/officeDocument/2006/relationships" ref="O320" r:id="rId621"/>
    <hyperlink xmlns:r="http://schemas.openxmlformats.org/officeDocument/2006/relationships" ref="F321" display="http://www.dezon.pro/" r:id="rId622"/>
    <hyperlink xmlns:r="http://schemas.openxmlformats.org/officeDocument/2006/relationships" ref="O321" r:id="rId623"/>
    <hyperlink xmlns:r="http://schemas.openxmlformats.org/officeDocument/2006/relationships" ref="F322" display="http://www.voltmetrika.ru/" r:id="rId624"/>
    <hyperlink xmlns:r="http://schemas.openxmlformats.org/officeDocument/2006/relationships" ref="O322" r:id="rId625"/>
    <hyperlink xmlns:r="http://schemas.openxmlformats.org/officeDocument/2006/relationships" ref="F323" display="http://www.aseptica.biz/" r:id="rId626"/>
    <hyperlink xmlns:r="http://schemas.openxmlformats.org/officeDocument/2006/relationships" ref="O323" r:id="rId627"/>
    <hyperlink xmlns:r="http://schemas.openxmlformats.org/officeDocument/2006/relationships" ref="F324" display="http://www.geniks.ru/" r:id="rId628"/>
    <hyperlink xmlns:r="http://schemas.openxmlformats.org/officeDocument/2006/relationships" ref="O324" r:id="rId629"/>
    <hyperlink xmlns:r="http://schemas.openxmlformats.org/officeDocument/2006/relationships" ref="F325" display="http://septo.net/" r:id="rId630"/>
    <hyperlink xmlns:r="http://schemas.openxmlformats.org/officeDocument/2006/relationships" ref="O325" r:id="rId631"/>
    <hyperlink xmlns:r="http://schemas.openxmlformats.org/officeDocument/2006/relationships" ref="F326" display="http://www.avgroupp.ru/" r:id="rId632"/>
    <hyperlink xmlns:r="http://schemas.openxmlformats.org/officeDocument/2006/relationships" ref="O326" r:id="rId633"/>
    <hyperlink xmlns:r="http://schemas.openxmlformats.org/officeDocument/2006/relationships" ref="F327" display="http://www.vitapool.ru/" r:id="rId634"/>
    <hyperlink xmlns:r="http://schemas.openxmlformats.org/officeDocument/2006/relationships" ref="O327" r:id="rId635"/>
    <hyperlink xmlns:r="http://schemas.openxmlformats.org/officeDocument/2006/relationships" ref="F328" display="http://steri-pack.ru/" r:id="rId636"/>
    <hyperlink xmlns:r="http://schemas.openxmlformats.org/officeDocument/2006/relationships" ref="O328" r:id="rId637"/>
    <hyperlink xmlns:r="http://schemas.openxmlformats.org/officeDocument/2006/relationships" ref="F329" display="http://www.volgamedrf.ru/" r:id="rId638"/>
    <hyperlink xmlns:r="http://schemas.openxmlformats.org/officeDocument/2006/relationships" ref="O329" r:id="rId639"/>
    <hyperlink xmlns:r="http://schemas.openxmlformats.org/officeDocument/2006/relationships" ref="F330" display="http://www.mediana-filter.ru/" r:id="rId640"/>
    <hyperlink xmlns:r="http://schemas.openxmlformats.org/officeDocument/2006/relationships" ref="O330" r:id="rId641"/>
    <hyperlink xmlns:r="http://schemas.openxmlformats.org/officeDocument/2006/relationships" ref="F331" display="http://www.bandeq.ru/" r:id="rId642"/>
    <hyperlink xmlns:r="http://schemas.openxmlformats.org/officeDocument/2006/relationships" ref="O331" r:id="rId643"/>
    <hyperlink xmlns:r="http://schemas.openxmlformats.org/officeDocument/2006/relationships" ref="F332" display="http://www.dmicro.ru/" r:id="rId644"/>
    <hyperlink xmlns:r="http://schemas.openxmlformats.org/officeDocument/2006/relationships" ref="O332" r:id="rId645"/>
    <hyperlink xmlns:r="http://schemas.openxmlformats.org/officeDocument/2006/relationships" ref="F333" display="http://www.aldez.ru/" r:id="rId646"/>
    <hyperlink xmlns:r="http://schemas.openxmlformats.org/officeDocument/2006/relationships" ref="O333" r:id="rId647"/>
    <hyperlink xmlns:r="http://schemas.openxmlformats.org/officeDocument/2006/relationships" ref="F334" display="https://terramed.pro/" r:id="rId648"/>
    <hyperlink xmlns:r="http://schemas.openxmlformats.org/officeDocument/2006/relationships" ref="O334" r:id="rId649"/>
    <hyperlink xmlns:r="http://schemas.openxmlformats.org/officeDocument/2006/relationships" ref="F335" display="http://www.ooomedikon.ru/" r:id="rId650"/>
    <hyperlink xmlns:r="http://schemas.openxmlformats.org/officeDocument/2006/relationships" ref="O335" r:id="rId651"/>
    <hyperlink xmlns:r="http://schemas.openxmlformats.org/officeDocument/2006/relationships" ref="F336" display="http://www.test-me.co/" r:id="rId652"/>
    <hyperlink xmlns:r="http://schemas.openxmlformats.org/officeDocument/2006/relationships" ref="O336" r:id="rId653"/>
    <hyperlink xmlns:r="http://schemas.openxmlformats.org/officeDocument/2006/relationships" ref="F337" display="http://airlife.ru/" r:id="rId654"/>
    <hyperlink xmlns:r="http://schemas.openxmlformats.org/officeDocument/2006/relationships" ref="O337" r:id="rId655"/>
    <hyperlink xmlns:r="http://schemas.openxmlformats.org/officeDocument/2006/relationships" ref="F338" display="http://steri-pro.ru/" r:id="rId656"/>
    <hyperlink xmlns:r="http://schemas.openxmlformats.org/officeDocument/2006/relationships" ref="O338" r:id="rId657"/>
    <hyperlink xmlns:r="http://schemas.openxmlformats.org/officeDocument/2006/relationships" ref="F339" display="http://www.kront.com/" r:id="rId658"/>
    <hyperlink xmlns:r="http://schemas.openxmlformats.org/officeDocument/2006/relationships" ref="O339" r:id="rId659"/>
    <hyperlink xmlns:r="http://schemas.openxmlformats.org/officeDocument/2006/relationships" ref="F340" display="http://www.eurotype.biz/" r:id="rId660"/>
    <hyperlink xmlns:r="http://schemas.openxmlformats.org/officeDocument/2006/relationships" ref="O340" r:id="rId661"/>
    <hyperlink xmlns:r="http://schemas.openxmlformats.org/officeDocument/2006/relationships" ref="F341" display="http://www.saraya-cis.ru/" r:id="rId662"/>
    <hyperlink xmlns:r="http://schemas.openxmlformats.org/officeDocument/2006/relationships" ref="O341" r:id="rId663"/>
    <hyperlink xmlns:r="http://schemas.openxmlformats.org/officeDocument/2006/relationships" ref="F342" display="http://www.sfcrus.com/" r:id="rId664"/>
    <hyperlink xmlns:r="http://schemas.openxmlformats.org/officeDocument/2006/relationships" ref="O342" r:id="rId665"/>
    <hyperlink xmlns:r="http://schemas.openxmlformats.org/officeDocument/2006/relationships" ref="O343" r:id="rId666"/>
    <hyperlink xmlns:r="http://schemas.openxmlformats.org/officeDocument/2006/relationships" ref="F344" display="http://www.mediteczt.ru/" r:id="rId667"/>
    <hyperlink xmlns:r="http://schemas.openxmlformats.org/officeDocument/2006/relationships" ref="O344" r:id="rId668"/>
    <hyperlink xmlns:r="http://schemas.openxmlformats.org/officeDocument/2006/relationships" ref="F345" display="https://pro.tion.ru/" r:id="rId669"/>
    <hyperlink xmlns:r="http://schemas.openxmlformats.org/officeDocument/2006/relationships" ref="O345" r:id="rId670"/>
    <hyperlink xmlns:r="http://schemas.openxmlformats.org/officeDocument/2006/relationships" ref="F346" display="http://www.stl-comp.ru/" r:id="rId671"/>
    <hyperlink xmlns:r="http://schemas.openxmlformats.org/officeDocument/2006/relationships" ref="O346" r:id="rId672"/>
    <hyperlink xmlns:r="http://schemas.openxmlformats.org/officeDocument/2006/relationships" ref="F347" display="https://deleksa.ru/" r:id="rId673"/>
    <hyperlink xmlns:r="http://schemas.openxmlformats.org/officeDocument/2006/relationships" ref="O347" r:id="rId674"/>
    <hyperlink xmlns:r="http://schemas.openxmlformats.org/officeDocument/2006/relationships" ref="F348" display="http://www.sterius.ru/" r:id="rId675"/>
    <hyperlink xmlns:r="http://schemas.openxmlformats.org/officeDocument/2006/relationships" ref="O348" r:id="rId676"/>
    <hyperlink xmlns:r="http://schemas.openxmlformats.org/officeDocument/2006/relationships" ref="F349" display="https://www.lit-uv.ru/" r:id="rId677"/>
    <hyperlink xmlns:r="http://schemas.openxmlformats.org/officeDocument/2006/relationships" ref="O349" r:id="rId678"/>
    <hyperlink xmlns:r="http://schemas.openxmlformats.org/officeDocument/2006/relationships" ref="F350" display="http://flexfresh.ru/" r:id="rId679"/>
    <hyperlink xmlns:r="http://schemas.openxmlformats.org/officeDocument/2006/relationships" ref="O350" r:id="rId680"/>
    <hyperlink xmlns:r="http://schemas.openxmlformats.org/officeDocument/2006/relationships" ref="F351" display="https://micromed-spb.ru/" r:id="rId681"/>
    <hyperlink xmlns:r="http://schemas.openxmlformats.org/officeDocument/2006/relationships" ref="O351" r:id="rId682"/>
    <hyperlink xmlns:r="http://schemas.openxmlformats.org/officeDocument/2006/relationships" ref="F352" display="http://www.lks.ru/" r:id="rId683"/>
    <hyperlink xmlns:r="http://schemas.openxmlformats.org/officeDocument/2006/relationships" ref="O352" r:id="rId684"/>
    <hyperlink xmlns:r="http://schemas.openxmlformats.org/officeDocument/2006/relationships" ref="F353" display="http://www.ams-medical.ru/" r:id="rId685"/>
    <hyperlink xmlns:r="http://schemas.openxmlformats.org/officeDocument/2006/relationships" ref="O353" r:id="rId686"/>
    <hyperlink xmlns:r="http://schemas.openxmlformats.org/officeDocument/2006/relationships" ref="F354" display="http://www.raster.ru/" r:id="rId687"/>
    <hyperlink xmlns:r="http://schemas.openxmlformats.org/officeDocument/2006/relationships" ref="O354" r:id="rId688"/>
    <hyperlink xmlns:r="http://schemas.openxmlformats.org/officeDocument/2006/relationships" ref="F355" display="http://biryuza-med.com/" r:id="rId689"/>
    <hyperlink xmlns:r="http://schemas.openxmlformats.org/officeDocument/2006/relationships" ref="O355" r:id="rId690"/>
    <hyperlink xmlns:r="http://schemas.openxmlformats.org/officeDocument/2006/relationships" ref="F356" display="http://vladhimprom.com/" r:id="rId691"/>
    <hyperlink xmlns:r="http://schemas.openxmlformats.org/officeDocument/2006/relationships" ref="O356" r:id="rId692"/>
    <hyperlink xmlns:r="http://schemas.openxmlformats.org/officeDocument/2006/relationships" ref="F357" display="http://www.smtrust.ru/" r:id="rId693"/>
    <hyperlink xmlns:r="http://schemas.openxmlformats.org/officeDocument/2006/relationships" ref="O357" r:id="rId694"/>
    <hyperlink xmlns:r="http://schemas.openxmlformats.org/officeDocument/2006/relationships" ref="F358" display="http://www.torimed.ru/" r:id="rId695"/>
    <hyperlink xmlns:r="http://schemas.openxmlformats.org/officeDocument/2006/relationships" ref="O358" r:id="rId696"/>
    <hyperlink xmlns:r="http://schemas.openxmlformats.org/officeDocument/2006/relationships" ref="F359" display="http://www.potok.com/" r:id="rId697"/>
    <hyperlink xmlns:r="http://schemas.openxmlformats.org/officeDocument/2006/relationships" ref="O359" r:id="rId698"/>
    <hyperlink xmlns:r="http://schemas.openxmlformats.org/officeDocument/2006/relationships" ref="F360" display="http://www.deznet.ru/" r:id="rId699"/>
    <hyperlink xmlns:r="http://schemas.openxmlformats.org/officeDocument/2006/relationships" ref="O360" r:id="rId700"/>
    <hyperlink xmlns:r="http://schemas.openxmlformats.org/officeDocument/2006/relationships" ref="F361" display="http://www.melius-team.ru/" r:id="rId701"/>
    <hyperlink xmlns:r="http://schemas.openxmlformats.org/officeDocument/2006/relationships" ref="O361" r:id="rId702"/>
    <hyperlink xmlns:r="http://schemas.openxmlformats.org/officeDocument/2006/relationships" ref="F362" display="http://zpt-medicall.ru/" r:id="rId703"/>
    <hyperlink xmlns:r="http://schemas.openxmlformats.org/officeDocument/2006/relationships" ref="O362" r:id="rId704"/>
    <hyperlink xmlns:r="http://schemas.openxmlformats.org/officeDocument/2006/relationships" ref="F363" display="http://www.nevohim.com/" r:id="rId705"/>
    <hyperlink xmlns:r="http://schemas.openxmlformats.org/officeDocument/2006/relationships" ref="O363" r:id="rId706"/>
    <hyperlink xmlns:r="http://schemas.openxmlformats.org/officeDocument/2006/relationships" ref="F364" display="http://www.ramtec.ru/" r:id="rId707"/>
    <hyperlink xmlns:r="http://schemas.openxmlformats.org/officeDocument/2006/relationships" ref="O364" r:id="rId708"/>
    <hyperlink xmlns:r="http://schemas.openxmlformats.org/officeDocument/2006/relationships" ref="F365" display="https://hemostar.ru/" r:id="rId709"/>
    <hyperlink xmlns:r="http://schemas.openxmlformats.org/officeDocument/2006/relationships" ref="O365" r:id="rId710"/>
    <hyperlink xmlns:r="http://schemas.openxmlformats.org/officeDocument/2006/relationships" ref="F366" display="http://www.eurmed.ru/" r:id="rId711"/>
    <hyperlink xmlns:r="http://schemas.openxmlformats.org/officeDocument/2006/relationships" ref="O366" r:id="rId712"/>
    <hyperlink xmlns:r="http://schemas.openxmlformats.org/officeDocument/2006/relationships" ref="F367" display="http://www.rumex.ru/" r:id="rId713"/>
    <hyperlink xmlns:r="http://schemas.openxmlformats.org/officeDocument/2006/relationships" ref="O367" r:id="rId714"/>
    <hyperlink xmlns:r="http://schemas.openxmlformats.org/officeDocument/2006/relationships" ref="F368" display="http://www.medteco.ru/" r:id="rId715"/>
    <hyperlink xmlns:r="http://schemas.openxmlformats.org/officeDocument/2006/relationships" ref="O368" r:id="rId716"/>
    <hyperlink xmlns:r="http://schemas.openxmlformats.org/officeDocument/2006/relationships" ref="F369" display="https://cliffmedical.com/" r:id="rId717"/>
    <hyperlink xmlns:r="http://schemas.openxmlformats.org/officeDocument/2006/relationships" ref="O369" r:id="rId718"/>
    <hyperlink xmlns:r="http://schemas.openxmlformats.org/officeDocument/2006/relationships" ref="F370" display="http://www.lpu.elamed.com/" r:id="rId719"/>
    <hyperlink xmlns:r="http://schemas.openxmlformats.org/officeDocument/2006/relationships" ref="O370" r:id="rId720"/>
    <hyperlink xmlns:r="http://schemas.openxmlformats.org/officeDocument/2006/relationships" ref="F371" display="https://anas.ru/" r:id="rId721"/>
    <hyperlink xmlns:r="http://schemas.openxmlformats.org/officeDocument/2006/relationships" ref="O371" r:id="rId722"/>
    <hyperlink xmlns:r="http://schemas.openxmlformats.org/officeDocument/2006/relationships" ref="F372" display="http://kossmed.ru/" r:id="rId723"/>
    <hyperlink xmlns:r="http://schemas.openxmlformats.org/officeDocument/2006/relationships" ref="O372" r:id="rId724"/>
    <hyperlink xmlns:r="http://schemas.openxmlformats.org/officeDocument/2006/relationships" ref="F373" display="http://www.iek.ru/" r:id="rId725"/>
    <hyperlink xmlns:r="http://schemas.openxmlformats.org/officeDocument/2006/relationships" ref="O373" r:id="rId726"/>
    <hyperlink xmlns:r="http://schemas.openxmlformats.org/officeDocument/2006/relationships" ref="F374" display="http://www.chemplant.farm/" r:id="rId727"/>
    <hyperlink xmlns:r="http://schemas.openxmlformats.org/officeDocument/2006/relationships" ref="O374" r:id="rId728"/>
    <hyperlink xmlns:r="http://schemas.openxmlformats.org/officeDocument/2006/relationships" ref="F375" display="https://allergychip.ru/" r:id="rId729"/>
    <hyperlink xmlns:r="http://schemas.openxmlformats.org/officeDocument/2006/relationships" ref="O375" r:id="rId730"/>
    <hyperlink xmlns:r="http://schemas.openxmlformats.org/officeDocument/2006/relationships" ref="F376" display="https://mbnso.ru/" r:id="rId731"/>
    <hyperlink xmlns:r="http://schemas.openxmlformats.org/officeDocument/2006/relationships" ref="O376" r:id="rId732"/>
    <hyperlink xmlns:r="http://schemas.openxmlformats.org/officeDocument/2006/relationships" ref="F377" display="http://www.orion-si.ru/" r:id="rId733"/>
    <hyperlink xmlns:r="http://schemas.openxmlformats.org/officeDocument/2006/relationships" ref="O377" r:id="rId734"/>
    <hyperlink xmlns:r="http://schemas.openxmlformats.org/officeDocument/2006/relationships" ref="F378" display="https://www.ferroplast.ru/" r:id="rId735"/>
    <hyperlink xmlns:r="http://schemas.openxmlformats.org/officeDocument/2006/relationships" ref="O378" r:id="rId736"/>
    <hyperlink xmlns:r="http://schemas.openxmlformats.org/officeDocument/2006/relationships" ref="F379" display="http://www.acearussia.com/" r:id="rId737"/>
    <hyperlink xmlns:r="http://schemas.openxmlformats.org/officeDocument/2006/relationships" ref="O379" r:id="rId738"/>
    <hyperlink xmlns:r="http://schemas.openxmlformats.org/officeDocument/2006/relationships" ref="F380" display="http://www.siriuschem.ru/" r:id="rId739"/>
    <hyperlink xmlns:r="http://schemas.openxmlformats.org/officeDocument/2006/relationships" ref="O380" r:id="rId740"/>
    <hyperlink xmlns:r="http://schemas.openxmlformats.org/officeDocument/2006/relationships" ref="F381" display="https://bioveritas.ru/" r:id="rId741"/>
    <hyperlink xmlns:r="http://schemas.openxmlformats.org/officeDocument/2006/relationships" ref="O381" r:id="rId742"/>
    <hyperlink xmlns:r="http://schemas.openxmlformats.org/officeDocument/2006/relationships" ref="F382" display="http://www.adiabatica.ru/" r:id="rId743"/>
    <hyperlink xmlns:r="http://schemas.openxmlformats.org/officeDocument/2006/relationships" ref="O382" r:id="rId744"/>
    <hyperlink xmlns:r="http://schemas.openxmlformats.org/officeDocument/2006/relationships" ref="F383" display="http://www.medtechnics.ru/" r:id="rId745"/>
    <hyperlink xmlns:r="http://schemas.openxmlformats.org/officeDocument/2006/relationships" ref="O383" r:id="rId746"/>
    <hyperlink xmlns:r="http://schemas.openxmlformats.org/officeDocument/2006/relationships" ref="F384" display="http://sterimedplus.ru/" r:id="rId747"/>
    <hyperlink xmlns:r="http://schemas.openxmlformats.org/officeDocument/2006/relationships" ref="O384" r:id="rId748"/>
    <hyperlink xmlns:r="http://schemas.openxmlformats.org/officeDocument/2006/relationships" ref="F385" display="https://export-rt.ru/" r:id="rId749"/>
    <hyperlink xmlns:r="http://schemas.openxmlformats.org/officeDocument/2006/relationships" ref="O385" r:id="rId750"/>
    <hyperlink xmlns:r="http://schemas.openxmlformats.org/officeDocument/2006/relationships" ref="F386" display="https://unimedlab.ru/" r:id="rId751"/>
    <hyperlink xmlns:r="http://schemas.openxmlformats.org/officeDocument/2006/relationships" ref="O386" r:id="rId752"/>
    <hyperlink xmlns:r="http://schemas.openxmlformats.org/officeDocument/2006/relationships" ref="F387" display="http://www.melitta-uv.ru/" r:id="rId753"/>
    <hyperlink xmlns:r="http://schemas.openxmlformats.org/officeDocument/2006/relationships" ref="O387" r:id="rId754"/>
    <hyperlink xmlns:r="http://schemas.openxmlformats.org/officeDocument/2006/relationships" ref="F388" display="http://www.renmedprom.ru/" r:id="rId755"/>
    <hyperlink xmlns:r="http://schemas.openxmlformats.org/officeDocument/2006/relationships" ref="O388" r:id="rId756"/>
    <hyperlink xmlns:r="http://schemas.openxmlformats.org/officeDocument/2006/relationships" ref="F389" display="http://www.diakon-ds.ru/" r:id="rId757"/>
    <hyperlink xmlns:r="http://schemas.openxmlformats.org/officeDocument/2006/relationships" ref="O389" r:id="rId758"/>
    <hyperlink xmlns:r="http://schemas.openxmlformats.org/officeDocument/2006/relationships" ref="F390" display="https://tianoks.ru/" r:id="rId759"/>
    <hyperlink xmlns:r="http://schemas.openxmlformats.org/officeDocument/2006/relationships" ref="O390" r:id="rId760"/>
    <hyperlink xmlns:r="http://schemas.openxmlformats.org/officeDocument/2006/relationships" ref="F391" r:id="rId761"/>
    <hyperlink xmlns:r="http://schemas.openxmlformats.org/officeDocument/2006/relationships" ref="O391" r:id="rId762"/>
    <hyperlink xmlns:r="http://schemas.openxmlformats.org/officeDocument/2006/relationships" ref="F392" r:id="rId763"/>
    <hyperlink xmlns:r="http://schemas.openxmlformats.org/officeDocument/2006/relationships" ref="O392" r:id="rId764"/>
    <hyperlink xmlns:r="http://schemas.openxmlformats.org/officeDocument/2006/relationships" ref="F393" display="http://www.tekomax.com/" r:id="rId765"/>
    <hyperlink xmlns:r="http://schemas.openxmlformats.org/officeDocument/2006/relationships" ref="O393" r:id="rId766"/>
    <hyperlink xmlns:r="http://schemas.openxmlformats.org/officeDocument/2006/relationships" ref="F394" display="http://www.ugasept.ru/" r:id="rId767"/>
    <hyperlink xmlns:r="http://schemas.openxmlformats.org/officeDocument/2006/relationships" ref="O394" r:id="rId768"/>
    <hyperlink xmlns:r="http://schemas.openxmlformats.org/officeDocument/2006/relationships" ref="F395" display="http://www.rivierabiotech.com/" r:id="rId769"/>
    <hyperlink xmlns:r="http://schemas.openxmlformats.org/officeDocument/2006/relationships" ref="O395" r:id="rId770"/>
    <hyperlink xmlns:r="http://schemas.openxmlformats.org/officeDocument/2006/relationships" ref="F396" display="https://www.dr-linden.ru/" r:id="rId771"/>
    <hyperlink xmlns:r="http://schemas.openxmlformats.org/officeDocument/2006/relationships" ref="O396" r:id="rId772"/>
    <hyperlink xmlns:r="http://schemas.openxmlformats.org/officeDocument/2006/relationships" ref="F397" r:id="rId773"/>
    <hyperlink xmlns:r="http://schemas.openxmlformats.org/officeDocument/2006/relationships" ref="O397" r:id="rId774"/>
    <hyperlink xmlns:r="http://schemas.openxmlformats.org/officeDocument/2006/relationships" ref="F398" display="https://sk.ru/" r:id="rId775"/>
    <hyperlink xmlns:r="http://schemas.openxmlformats.org/officeDocument/2006/relationships" ref="O398" r:id="rId776"/>
    <hyperlink xmlns:r="http://schemas.openxmlformats.org/officeDocument/2006/relationships" ref="F399" display="http://papillon.health/" r:id="rId777"/>
    <hyperlink xmlns:r="http://schemas.openxmlformats.org/officeDocument/2006/relationships" ref="O399" r:id="rId778"/>
    <hyperlink xmlns:r="http://schemas.openxmlformats.org/officeDocument/2006/relationships" ref="F400" r:id="rId779"/>
    <hyperlink xmlns:r="http://schemas.openxmlformats.org/officeDocument/2006/relationships" ref="O400" r:id="rId780"/>
    <hyperlink xmlns:r="http://schemas.openxmlformats.org/officeDocument/2006/relationships" ref="F401" display="https://scientific-compliance.ru/" r:id="rId781"/>
    <hyperlink xmlns:r="http://schemas.openxmlformats.org/officeDocument/2006/relationships" ref="O401" r:id="rId782"/>
    <hyperlink xmlns:r="http://schemas.openxmlformats.org/officeDocument/2006/relationships" ref="F402" display="https://npotpz.ru/" r:id="rId783"/>
    <hyperlink xmlns:r="http://schemas.openxmlformats.org/officeDocument/2006/relationships" ref="O402" r:id="rId784"/>
    <hyperlink xmlns:r="http://schemas.openxmlformats.org/officeDocument/2006/relationships" ref="F403" display="https://fitofarm.ru/" r:id="rId785"/>
    <hyperlink xmlns:r="http://schemas.openxmlformats.org/officeDocument/2006/relationships" ref="O403" r:id="rId786"/>
    <hyperlink xmlns:r="http://schemas.openxmlformats.org/officeDocument/2006/relationships" ref="F404" display="https://chimavtomatika.ru/" r:id="rId787"/>
    <hyperlink xmlns:r="http://schemas.openxmlformats.org/officeDocument/2006/relationships" ref="O404" r:id="rId788"/>
    <hyperlink xmlns:r="http://schemas.openxmlformats.org/officeDocument/2006/relationships" ref="F405" r:id="rId789"/>
    <hyperlink xmlns:r="http://schemas.openxmlformats.org/officeDocument/2006/relationships" ref="O405" r:id="rId790"/>
    <hyperlink xmlns:r="http://schemas.openxmlformats.org/officeDocument/2006/relationships" ref="F406" display="https://prokhim.ru/" r:id="rId791"/>
    <hyperlink xmlns:r="http://schemas.openxmlformats.org/officeDocument/2006/relationships" ref="O406" r:id="rId792"/>
    <hyperlink xmlns:r="http://schemas.openxmlformats.org/officeDocument/2006/relationships" ref="F407" display="https://alsariya.com/" r:id="rId793"/>
    <hyperlink xmlns:r="http://schemas.openxmlformats.org/officeDocument/2006/relationships" ref="O407" r:id="rId794"/>
    <hyperlink xmlns:r="http://schemas.openxmlformats.org/officeDocument/2006/relationships" ref="F408" display="http://i.moscow/" r:id="rId795"/>
    <hyperlink xmlns:r="http://schemas.openxmlformats.org/officeDocument/2006/relationships" ref="O408" r:id="rId796"/>
    <hyperlink xmlns:r="http://schemas.openxmlformats.org/officeDocument/2006/relationships" ref="F409" display="http://www.smartmedical.tech/" r:id="rId797"/>
    <hyperlink xmlns:r="http://schemas.openxmlformats.org/officeDocument/2006/relationships" ref="O409" r:id="rId798"/>
    <hyperlink xmlns:r="http://schemas.openxmlformats.org/officeDocument/2006/relationships" ref="F410" display="https://medlex.ru/" r:id="rId799"/>
    <hyperlink xmlns:r="http://schemas.openxmlformats.org/officeDocument/2006/relationships" ref="O410" r:id="rId800"/>
    <hyperlink xmlns:r="http://schemas.openxmlformats.org/officeDocument/2006/relationships" ref="F411" r:id="rId801"/>
    <hyperlink xmlns:r="http://schemas.openxmlformats.org/officeDocument/2006/relationships" ref="O411" r:id="rId802"/>
    <hyperlink xmlns:r="http://schemas.openxmlformats.org/officeDocument/2006/relationships" ref="F412" display="http://pupro.ru/" r:id="rId803"/>
    <hyperlink xmlns:r="http://schemas.openxmlformats.org/officeDocument/2006/relationships" ref="O412" r:id="rId804"/>
    <hyperlink xmlns:r="http://schemas.openxmlformats.org/officeDocument/2006/relationships" ref="F413" display="http://visionero.ru/" r:id="rId805"/>
    <hyperlink xmlns:r="http://schemas.openxmlformats.org/officeDocument/2006/relationships" ref="O413" r:id="rId806"/>
    <hyperlink xmlns:r="http://schemas.openxmlformats.org/officeDocument/2006/relationships" ref="F414" display="http://www.cryotone.ru/" r:id="rId807"/>
    <hyperlink xmlns:r="http://schemas.openxmlformats.org/officeDocument/2006/relationships" ref="O414" r:id="rId808"/>
    <hyperlink xmlns:r="http://schemas.openxmlformats.org/officeDocument/2006/relationships" ref="F415" display="http://www.biomera.ru/" r:id="rId809"/>
    <hyperlink xmlns:r="http://schemas.openxmlformats.org/officeDocument/2006/relationships" ref="O415" r:id="rId810"/>
    <hyperlink xmlns:r="http://schemas.openxmlformats.org/officeDocument/2006/relationships" ref="F416" display="http://www.sovprof.ru/" r:id="rId811"/>
    <hyperlink xmlns:r="http://schemas.openxmlformats.org/officeDocument/2006/relationships" ref="O416" r:id="rId812"/>
    <hyperlink xmlns:r="http://schemas.openxmlformats.org/officeDocument/2006/relationships" ref="F417" r:id="rId813"/>
    <hyperlink xmlns:r="http://schemas.openxmlformats.org/officeDocument/2006/relationships" ref="O417" r:id="rId814"/>
    <hyperlink xmlns:r="http://schemas.openxmlformats.org/officeDocument/2006/relationships" ref="F418" display="https://frontmed.ru/" r:id="rId815"/>
    <hyperlink xmlns:r="http://schemas.openxmlformats.org/officeDocument/2006/relationships" ref="O418" r:id="rId816"/>
    <hyperlink xmlns:r="http://schemas.openxmlformats.org/officeDocument/2006/relationships" ref="F419" display="http://beautylinergroup.ru/" r:id="rId817"/>
    <hyperlink xmlns:r="http://schemas.openxmlformats.org/officeDocument/2006/relationships" ref="O419" r:id="rId818"/>
    <hyperlink xmlns:r="http://schemas.openxmlformats.org/officeDocument/2006/relationships" ref="F420" display="http://vacuvit.com/" r:id="rId819"/>
    <hyperlink xmlns:r="http://schemas.openxmlformats.org/officeDocument/2006/relationships" ref="O420" r:id="rId820"/>
    <hyperlink xmlns:r="http://schemas.openxmlformats.org/officeDocument/2006/relationships" ref="F421" display="http://www.alpenpharma.ru/" r:id="rId821"/>
    <hyperlink xmlns:r="http://schemas.openxmlformats.org/officeDocument/2006/relationships" ref="O421" r:id="rId822"/>
    <hyperlink xmlns:r="http://schemas.openxmlformats.org/officeDocument/2006/relationships" ref="F422" display="https://dentdealer.ru/" r:id="rId823"/>
    <hyperlink xmlns:r="http://schemas.openxmlformats.org/officeDocument/2006/relationships" ref="O422" r:id="rId824"/>
    <hyperlink xmlns:r="http://schemas.openxmlformats.org/officeDocument/2006/relationships" ref="F423" display="https://agroturg.ru/" r:id="rId825"/>
    <hyperlink xmlns:r="http://schemas.openxmlformats.org/officeDocument/2006/relationships" ref="O423" r:id="rId826"/>
    <hyperlink xmlns:r="http://schemas.openxmlformats.org/officeDocument/2006/relationships" ref="F424" display="https://roimax.ru/" r:id="rId827"/>
    <hyperlink xmlns:r="http://schemas.openxmlformats.org/officeDocument/2006/relationships" ref="O424" r:id="rId828"/>
    <hyperlink xmlns:r="http://schemas.openxmlformats.org/officeDocument/2006/relationships" ref="F425" display="http://www.vt66.ru/" r:id="rId829"/>
    <hyperlink xmlns:r="http://schemas.openxmlformats.org/officeDocument/2006/relationships" ref="O425" r:id="rId830"/>
    <hyperlink xmlns:r="http://schemas.openxmlformats.org/officeDocument/2006/relationships" ref="F426" display="http://www.mriyaresort.com/" r:id="rId831"/>
  </hyperlink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B5:B21"/>
  <sheetViews>
    <sheetView workbookViewId="0">
      <selection activeCell="A1" sqref="A1"/>
    </sheetView>
  </sheetViews>
  <sheetFormatPr baseColWidth="10" defaultColWidth="10.140625" defaultRowHeight="15" customHeight="1"/>
  <cols>
    <col width="94" customWidth="1" min="2" max="2"/>
  </cols>
  <sheetData>
    <row r="5" ht="16" customHeight="1">
      <c r="B5" s="12" t="inlineStr">
        <is>
          <t>Prompt</t>
        </is>
      </c>
    </row>
    <row r="6" ht="409.6" customHeight="1">
      <c r="B6" s="13" t="inlineStr">
        <is>
          <t>You are a classifier for B2B marketing. You receive one row of data with two fields: 
- "Description" (company description text, can be in Russian),
- "Categories" (rubrics, can be in Russian).
Your task is to classify the company as either Manufacturer or Service Provider or Dealer using the following rules:
1. If the company manufactures products, equipment, devices, medical devices, or has its own production, or develops its own hardware or products — classify it as Manufacturer.
2. If the company both manufactures and provides services — still classify it as Manufacturer (manufacturing has priority).
3. If the company only provides services (consulting, installation, design, IT, software, logistics, agency, training, marketing, outsourcing, events, conferences, etc.) consults, trains, organizes events, or acts as an agency — classify it as Service Provider.
4. If the company is a distributer or dealer (sells or supplies third-party equipment) - classify as Dealer
5. Typical signs of a Manufacturer: words like "production", "manufacturer", "developer and manufacturer", "own product line", "medical devices", "equipment of our own production", "we produce", 
6. Typical signs of a Service Provider: "agency", "consulting", "training center", "organization of events, conferences, congresses"
7. Dealers: "supply and sale of equipment of other brands", "distributor", "dealer", "official representative".
IF two fields are missing respond: "NA"
Respond with exactly ONE word in Russian, without quotes:
either
Производитель
or
Поставщик услуг
or
Дилер</t>
        </is>
      </c>
    </row>
    <row r="11" ht="16" customHeight="1">
      <c r="B11" s="12" t="inlineStr">
        <is>
          <t>Validation Prompt</t>
        </is>
      </c>
    </row>
    <row r="12" ht="372" customHeight="1">
      <c r="B12" s="13" t="inlineStr">
        <is>
          <t xml:space="preserve">You are a validator for a previous classification task. You will receive three inputs: Description, Categories, and Previous classification. Description and Categories may be in Russian.
Step 1: Ignore the previous classification and independently classify the company as either Manufacturer or Service Provider using these rules:
If the company manufactures products, equipment, devices, medical devices, or has its own production, or develops its own hardware or products, classify it as Manufacturer.
If the company both manufactures and provides services, classify it as Manufacturer (manufacturing has priority).
If the company does not manufacture anything and only provides services, sells or supplies third-party equipment, consults, trains, organizes events, or acts as an agency, distributor, or dealer, classify it as Service Provider.
Step 2: Compare your classification with the Previous classification:
If they match, respond with exactly: OK
If they do not match, respond with exactly: Error
Output only one word: OK or Error.
If the fields are missing and the Category field says "NA" return "NA"  </t>
        </is>
      </c>
    </row>
    <row r="16" ht="16" customHeight="1">
      <c r="B16" s="12" t="inlineStr">
        <is>
          <t>Prompt</t>
        </is>
      </c>
    </row>
    <row r="17" ht="388" customHeight="1">
      <c r="B17" s="13" t="inlineStr">
        <is>
          <t>You receive:
- Description (Russian)
- Categories (Russian)
Your task:
From Description and Categories, extract a short list of the company's main tangible products (things they manufacture or sell), written in Russian. If company doesn't have such products (e.g. insurance service company say "нет товаров")
Rules:
- 1–5 items.
- Short noun phrases (1–2 words).
- No services, actions, audiences (no training, consulting, events, etc.).
- No verbs, no company name.
- No brand, trademark, or model names; no quoted names; no Latin letters. If only specific products are mentioned, generalize them to product categories.
- Prefer plural where it sounds natural.
Format:
Output ONE Russian phrase: items separated by commas, with " и " before the last item. If you can identify only one clear key product, output just that one item without commas or "и". The output needs to start with a small case letter unless it's a proper noun.
Do not add anything else before or after this phrase.</t>
        </is>
      </c>
    </row>
    <row r="20" ht="16" customHeight="1">
      <c r="B20" s="5" t="inlineStr">
        <is>
          <t>Prompt</t>
        </is>
      </c>
    </row>
    <row r="21" ht="400.5" customHeight="1">
      <c r="B21" s="5" t="inlineStr">
        <is>
          <t>You are a company-name shortening assistant for email personalization.
Input: one raw company name (may include Russian or English, legal forms, quotes, commas, symbols, or a person’s full name).
Goal: return a short name that fits in: Для компании {{company}}:.
Language rule (important):
If the core name/brand is originally Russian/Cyrillic → output in Russian/Cyrillic.
If the core name/brand is originally English/Latin → output in English/Latin.
Do not translate; preserve the original script of the brand/name.
Capitalization rule (important):
Capitalize each word: First letter uppercase, the rest lowercase (Title Case).
Exception: keep existing acronyms/short abbreviations fully uppercase (e.g., BMW, 3M, СБЕР, VPD).
Rules:
Output only the shortened name (no extra text, no quotes).
Remove legal forms and noise: ООО, ИП, АО, ПАО, ЗАО, ОАО, LLC, LTD, quotes «», ", brackets, commas, extra symbols.
If it’s a brand/company word → keep the core brand, remove symbols (e.g., ВЕНО+ → ВЕНО).
If it’s a person full name + ИП (individual entrepreneur) → output exactly: ИП &lt;Фамилия&gt; (surname only, proper capitalization).
Example: ЧЕСНОВ ПАВЕЛ АЛЕКСЕЕВИЧ, ИП → ИП Чеснов
If a brand/trademark is in parentheses for an ИП:
Prefer: &lt;Brand&gt; (preserve its original script)
If you must keep both: ИП &lt;Фамилия&gt; (Brand)
Keep output to 1–2 words (plus optional parentheses for brand).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SignoGroup public data package</dc:creator>
  <dc:title>Vistavka Zdorovie DEC 2025.xlsx</dc:title>
  <dc:description>Sanitized public workbook rebuilt from worksheet content; private local path and external connection metadata removed.</dc:description>
  <dcterms:created xsi:type="dcterms:W3CDTF">2026-06-12T03:39:32Z</dcterms:created>
  <dcterms:modified xsi:type="dcterms:W3CDTF">2026-06-12T03:39:32Z</dcterms:modified>
  <cp:lastModifiedBy>SignoGroup public data package</cp:lastModifiedBy>
</cp:coreProperties>
</file>