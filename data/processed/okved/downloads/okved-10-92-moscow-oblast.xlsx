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Cleaned - no ProductCent ConFab" sheetId="2" r:id="rId6"/>
    <sheet state="visible" name="Prompt" sheetId="3" r:id="rId7"/>
  </sheets>
  <definedNames>
    <definedName localSheetId="0" name="OKVED_10.92_Moscow___Oblst">All!$A$1:$AN$199</definedName>
    <definedName localSheetId="1" name="OKVED_10.92_Moscow___Oblst">'Cleaned - no ProductCent ConFab'!$A$1:$AP$193</definedName>
    <definedName hidden="1" localSheetId="0" name="_xlnm._FilterDatabase">All!$A$1:$AN$199</definedName>
    <definedName hidden="1" localSheetId="1" name="_xlnm._FilterDatabase">'Cleaned - no ProductCent ConFab'!$A$1:$AP$193</definedName>
  </definedNames>
  <calcPr/>
</workbook>
</file>

<file path=xl/sharedStrings.xml><?xml version="1.0" encoding="utf-8"?>
<sst xmlns="http://schemas.openxmlformats.org/spreadsheetml/2006/main" count="11812" uniqueCount="8203">
  <si>
    <t>Наименование</t>
  </si>
  <si>
    <t>Тип компании</t>
  </si>
  <si>
    <t>ИНН</t>
  </si>
  <si>
    <t>КПП</t>
  </si>
  <si>
    <t>ОГРН</t>
  </si>
  <si>
    <t>Статус</t>
  </si>
  <si>
    <t>Дата регистрации</t>
  </si>
  <si>
    <t>Лет с регистрации</t>
  </si>
  <si>
    <t>Основной ОКВЭД</t>
  </si>
  <si>
    <t>Дополнительные ОКВЭД</t>
  </si>
  <si>
    <t>Юридический адрес</t>
  </si>
  <si>
    <t>Регион</t>
  </si>
  <si>
    <t>Почтовый индекс</t>
  </si>
  <si>
    <t>Город</t>
  </si>
  <si>
    <t>email</t>
  </si>
  <si>
    <t>Доп. почта 1</t>
  </si>
  <si>
    <t>Доп. почта 2</t>
  </si>
  <si>
    <t>Доп. почта 3</t>
  </si>
  <si>
    <t>Основной сайт</t>
  </si>
  <si>
    <t>Доп. сайт 1</t>
  </si>
  <si>
    <t>Доп. сайт 2</t>
  </si>
  <si>
    <t>Доп. сайт 3</t>
  </si>
  <si>
    <t>Основной телефон</t>
  </si>
  <si>
    <t>Доп. телефон 1</t>
  </si>
  <si>
    <t>Доп. телефон 2</t>
  </si>
  <si>
    <t>Доп. телефон 3</t>
  </si>
  <si>
    <t>Членство в СРО (НОСТРОЙ)</t>
  </si>
  <si>
    <t>Членство в СРО (НОПРИЗ)</t>
  </si>
  <si>
    <t>Учредители</t>
  </si>
  <si>
    <t>Выручка, тыс. рублей (2024)</t>
  </si>
  <si>
    <t>Выручка, тыс. рублей (2023)</t>
  </si>
  <si>
    <t>Выручка, тыс. рублей (2022)</t>
  </si>
  <si>
    <t>Чистая прибыль (убыток), тыс. рублей (2024)</t>
  </si>
  <si>
    <t>Чистая прибыль (убыток), тыс. рублей (2023)</t>
  </si>
  <si>
    <t>Чистая прибыль (убыток), тыс. рублей (2022)</t>
  </si>
  <si>
    <t>ФИО директора</t>
  </si>
  <si>
    <t>Должность руководителя</t>
  </si>
  <si>
    <t>ИНН руководителя</t>
  </si>
  <si>
    <t>Дата вступления в должность</t>
  </si>
  <si>
    <t>Пол руководителя</t>
  </si>
  <si>
    <t>ООО "НПЦКТ"</t>
  </si>
  <si>
    <t>Общества с ограниченной ответственностью</t>
  </si>
  <si>
    <t>Действует</t>
  </si>
  <si>
    <t>10.92 Производство готовых кормов для непродуктивных животных</t>
  </si>
  <si>
    <t>["10.86.6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спортсменов","10.86.64 Производство пищевой продукции энтерального питания","10.86.69 Производство прочих диетических пищевых продуктов","10.89 Производство прочих пищевых продуктов, не включенных в другие группировки","10.89.4 Производство пищевых ферментов","10.89.7 Производство рационов питания и пайков","10.89.8 Производство биологически активных добавок к пище","10.91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животных","20.13 Производство прочих основных неорганических химических веществ","20.14.3 Производство промышленных монокарбоновых жирных кислот, карбоновых кислот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соединений","20.14.7 Производство прочих химических органических основных веществ","20.15 Производство удобрений и азотных соединений","20.15.1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происхождения","20.59.5 Производство прочих химических продуктов, не включенных в другие группировки","21.10 Производство фармацевтических субстанций","28.30.83 Производство оборудования для приготовления кормов для животных","46.11.34 Деятельность агентов по оптовой торговле кормами для сельскохозяйственных животных","46.21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животных","46.38.21 Торговля оптовая гомогенизированными пищевыми продуктами, детским и диетическим питанием","46.38.22 Торговля оптовая кормами для домашних животных","46.75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магазинах","49.41 Деятельность автомобильного грузового транспорта","49.42 Предоставление услуг по перевозкам","71.20.1 Испытания и анализ состава и чистоты материалов и веществ: анализ химических и биологических свойств материалов и веществ","72.11 Научные исследования и разработки в области биотехнологии","72.19 Научные исследования и разработки в области естественных и технических наук прочие"]</t>
  </si>
  <si>
    <t>141862, Россия, Московская обл., Дмитров г., д. Селевкино, д. 201, стр. 2, каб. 1</t>
  </si>
  <si>
    <t>Московская область</t>
  </si>
  <si>
    <t>д. Селевкино</t>
  </si>
  <si>
    <t>prashchuk@alphapet.ru</t>
  </si>
  <si>
    <t>info@alphafish.ru</t>
  </si>
  <si>
    <t>info@alphapet.ru</t>
  </si>
  <si>
    <t>9032375990@mail.ru</t>
  </si>
  <si>
    <t>http://alphapet-info.ru</t>
  </si>
  <si>
    <t>https://alphafish.ru</t>
  </si>
  <si>
    <t>https://alphapet.ru</t>
  </si>
  <si>
    <t>+7 (925) 4521459</t>
  </si>
  <si>
    <t>+7 (495) 1980559</t>
  </si>
  <si>
    <t>+7 (800) 5505533</t>
  </si>
  <si>
    <t>+7 (991) 3144545</t>
  </si>
  <si>
    <t>ЗАКРЫТОЕ АКЦИОНЕРНОЕ ОБЩЕСТВО "МИЛИНА", ИНН: 7710595740, Доля: 100.0%</t>
  </si>
  <si>
    <t>КАСАТКИН ДЕНИС ЕВГЕНЬЕВИЧ</t>
  </si>
  <si>
    <t>ГЕНЕРАЛЬНЫЙ ДИРЕКТОР</t>
  </si>
  <si>
    <t>ООО "РУБИС"</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</si>
  <si>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магазинах","73.11 Деятельность рекламных агентств"]</t>
  </si>
  <si>
    <t>141960, Россия, Московская обл., г. Талдом, пгт. Запрудня, ул. Ленина, д. 1, корп. 14, эт/пом 2/i</t>
  </si>
  <si>
    <t>Талдом, пгт. Запрудня</t>
  </si>
  <si>
    <t>sale@titbit.ru</t>
  </si>
  <si>
    <t>egogoleva@alpintech.ru</t>
  </si>
  <si>
    <t>egogolevava@alpintech.ru</t>
  </si>
  <si>
    <t>mgromova@alpintech.ru</t>
  </si>
  <si>
    <t>http://alpintech.ru</t>
  </si>
  <si>
    <t>https://titbit.ru</t>
  </si>
  <si>
    <t>+7 (496) 2031693</t>
  </si>
  <si>
    <t>+7 (496) 2031694</t>
  </si>
  <si>
    <t>+7 (496) 2031894</t>
  </si>
  <si>
    <t>+7 (496) 2032006</t>
  </si>
  <si>
    <t>ПАХОМОВ АЛЕКСАНДР ЮРЬЕВИЧ, ИНН: 500800162205, Доля: 99.0%; ПЬЯНКОВ АЛЕКСАНДР НИКОЛАЕВИЧ, ИНН: 500800237250, Доля: 1.0%</t>
  </si>
  <si>
    <t>ГРОМОВА МАРИЯ ВЛАДИМИРОВНА</t>
  </si>
  <si>
    <t>ДИРЕКТОР</t>
  </si>
  <si>
    <t>ООО "ПЕТКОРМ"</t>
  </si>
  <si>
    <t>["10.91 Производство готовых кормов для животных, содержащихся на фермах","10.92 Производство готовых кормов для непродуктивных животных","36.00 Забор, очистка и распределение воды","37.00 Сбор и обработка сточных вод","41.20 Строительство жилых и нежилых зданий","42.11 Строительство автомобильных дорог и автомагистралей","42.91 Строительство водных сооружений","42.99 Строительство прочих инженерных сооружений, не включенных в другие группировки","43.11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гидроизоляционные","46.11.34 Деятельность агентов по оптовой торговле кормами для сельскохозяйственных животных","46.21 Торговля оптовая зерном, необработанным табаком, семенами и кормами для сельскохозяйственных животных","46.32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птицы","46.38.2 Торговля оптовая прочими пищевыми продуктами","46.38.22 Торговля оптовая кормами для домашних животных","46.41 Торговля оптовая текстильными изделиями","46.41.2 Торговля оптовая галантерейными изделиями","46.46 Торговля оптовая фармацевтической продукцией","46.49 Торговля оптовая прочими бытовыми товарами","46.49.4 Торговля оптовая прочими потребительскими товарами","47.76.2 Торговля розничная домашними животными и кормами для домашних животных в специализированных магазинах","47.9 Торговля розничная вне магазинов, палаток, рынков","47.99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управления","73.11 Деятельность рекламных агентств","73.20.1 Исследование конъюнктуры рынка","82.99 Деятельность по предоставлению прочих вспомогательных услуг для бизнеса, не включенная в другие группировки"]</t>
  </si>
  <si>
    <t>141825, Россия, Московская обл., г. Дмитров, тер. 4-й км автодор.Дмитров-Орудьево-Жуковка, влад. 5, стр. 15</t>
  </si>
  <si>
    <t>Дмитров</t>
  </si>
  <si>
    <t>serova-not@mail.ru</t>
  </si>
  <si>
    <t>npanina@petkorm.ru</t>
  </si>
  <si>
    <t>ok@petkorm.ru</t>
  </si>
  <si>
    <t>snab@petkorm.ru</t>
  </si>
  <si>
    <t>https://petkorm.ru</t>
  </si>
  <si>
    <t>https://vk.com/ooopetkorm</t>
  </si>
  <si>
    <t>https://grand-prix.com.ru</t>
  </si>
  <si>
    <t>+7 (985) 1023435</t>
  </si>
  <si>
    <t>+7 (495) 2864939</t>
  </si>
  <si>
    <t>+7 (495) 2324365</t>
  </si>
  <si>
    <t>+7 (496) 2254505</t>
  </si>
  <si>
    <t>СИЛЬВЕСТРОВ АЛЕКСЕЙ СЕРГЕЕВИЧ, ИНН: 772817920813, Доля: 50.0%; ИМАНГУЛОВ РОБЕРТ ШАМИЛЬЯНОВИЧ, ИНН: 771602047795, Доля: 50.0%</t>
  </si>
  <si>
    <t>СИЛЬВЕСТРОВ АЛЕКСЕЙ СЕРГЕЕВИЧ</t>
  </si>
  <si>
    <t>ООО "ГЛОБАЛ ПЕТФУД"</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</si>
  <si>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моллюсков","10.39.1 Переработка и консервирование овощей (кроме картофеля) и грибов","10.39.2 Переработка и консервирование фруктов и орехов","10.85 Производство готовых пищевых продуктов и блюд","10.91 Производство готовых кормов для животных, содержащихся на фермах","10.92 Производство готовых кормов для непродуктивных животных","46.21.14 Торговля оптовая кормами для сельскохозяйственных животных","46.21.19 Торговля оптовая сельскохозяйственным сырьем, не включенным в другие группировки","46.32 Торговля оптовая мясом и мясными продуктами","46.38 Торговля оптовая прочими пищевыми продуктами, включая рыбу, ракообразных и моллюсков","46.38.22 Торговля оптовая кормами для домашних животных","46.90 Торговля оптовая неспециализированная","47.29.39 Торговля розничная прочими пищевыми продуктами в специализированных магазинах, не включенными в другие группировки","47.76.2 Торговля розничная домашними животными и кормами для домашних животных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хранению","52.10.1 Хранение и складирование замороженных или охлажденных грузов","52.29 Деятельность вспомогательная прочая, связанная с перевозками","53.20.3 Деятельность курьерская","82.92 Деятельность по упаковыванию товаров"]</t>
  </si>
  <si>
    <t>140157, Россия, Московская обл., г. Раменское, д. Никулино, д. 24/1, литера а2 этаж 2 ком 14</t>
  </si>
  <si>
    <t>Раменское, д. Никулино</t>
  </si>
  <si>
    <t>globalpetfood@mail.ru</t>
  </si>
  <si>
    <t>+7 (495) 5057700</t>
  </si>
  <si>
    <t>+7 (985) 5189622</t>
  </si>
  <si>
    <t>+7 (925) 5060442</t>
  </si>
  <si>
    <t>ОГАНЯН ОГАНЕС ЛЬВОВИЧ, ИНН: 772205805300, Доля: 100.0%</t>
  </si>
  <si>
    <t>ООО "ГРОСШЕФ"</t>
  </si>
  <si>
    <t>["10.11.1 Производство мяса в охлажденном виде","10.91 Производство готовых кормов для животных, содержащихся на фермах","10.92 Производство готовых кормов для непродуктивных животных","46.4 Торговля оптовая непродовольственными потребительскими товарами","47.5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магазинах","55.1 Деятельность гостиниц и прочих мест для временного проживания","68.2 Аренда и управление собственным или арендованным недвижимым имуществом","68.3 Операции с недвижимым имуществом за вознаграждение или на договорной основе"]</t>
  </si>
  <si>
    <t>141832, Россия, Московская обл., Дмитров г., п. Горшково, д. 60б, офис 1</t>
  </si>
  <si>
    <t>п. Горшково</t>
  </si>
  <si>
    <t>info@groshef.ru</t>
  </si>
  <si>
    <t>info@grand-prix.com.ru</t>
  </si>
  <si>
    <t>infogrosshef@list.ru</t>
  </si>
  <si>
    <t>aromanihin@grand-prix.com.ru</t>
  </si>
  <si>
    <t>+7 (495) 2254505</t>
  </si>
  <si>
    <t>+7 (496) 2254646</t>
  </si>
  <si>
    <t>+7 (496) 7240642</t>
  </si>
  <si>
    <t>НАСЫРОВ ВАДИМ ЗАМАНОВИЧ, ИНН: 772800548604, Доля: 50.0%; ГРОШЕВ АЛЕКСАНДР ЕВГЕНЬЕВИЧ, ИНН: 771504011751, Доля: 25.0%; ЛЕОНОВ АНТОН АЛЕКСАНДРОВИЧ, ИНН: 773129830007, Доля: 25.0%</t>
  </si>
  <si>
    <t>РОМАНИХИН АЛЕКСАНДР ЮРЬЕВИЧ</t>
  </si>
  <si>
    <t>ООО "КОМПАНИЯ "ОРИС"</t>
  </si>
  <si>
    <t>["10.92 Производство готовых кормов для непродуктивных животных","16.29.1 Производство прочих деревянных изделий","46.38.22 Торговля оптовая кормами для домашних животных","46.49.49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Интернет","49.4 Деятельность автомобильного грузового транспорта и услуги по перевозкам","52.24 Транспортная обработка грузов","52.29 Деятельность вспомогательная прочая, связанная с перевозками","73.11 Деятельность рекламных агентств"]</t>
  </si>
  <si>
    <t>127282, Россия, г. Москва, ул. Полярная, д. 41, стр. 1, помещ. 35/2 этаж 2а</t>
  </si>
  <si>
    <t>Москва</t>
  </si>
  <si>
    <t>nikiforov@zoonik.ru</t>
  </si>
  <si>
    <t>oris@zoonik.ru</t>
  </si>
  <si>
    <t>https://zoonik.ru</t>
  </si>
  <si>
    <t>+7 (495) 7899599</t>
  </si>
  <si>
    <t>НИКИФОРОВ АЛЕКСЕЙ АНДРЕЕВИЧ, ИНН: 772861279701, Доля: 100.0%</t>
  </si>
  <si>
    <t>НИКИФОРОВ АЛЕКСЕЙ АНДРЕЕВИЧ</t>
  </si>
  <si>
    <t>ООО "КОМПАНИЯ ЗООГУРМАН"</t>
  </si>
  <si>
    <t>["10.92 Производство готовых кормов для непродуктивных животных","46.38.22 Торговля оптовая кормами для домашних животных","46.90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магазинах","47.99 Торговля розничная прочая вне магазинов, палаток, рынков","63.91 Деятельность информационных агентств","73.11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</si>
  <si>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107076, Россия, г. Москва, ул. Атарбекова, д. 4, эт 4 пом ix ком 16</t>
  </si>
  <si>
    <t>breedersway@zoogurman.ru</t>
  </si>
  <si>
    <t>zoogurman@zoogurman.ru</t>
  </si>
  <si>
    <t>hr@zoogurman.ru</t>
  </si>
  <si>
    <t>2280929@mail.ru</t>
  </si>
  <si>
    <t>http://ecozoomag.ru</t>
  </si>
  <si>
    <t>http://superkorm24.ru</t>
  </si>
  <si>
    <t>https://breedersway.ru</t>
  </si>
  <si>
    <t>https://breederway.ru</t>
  </si>
  <si>
    <t>+7 (495) 1500112</t>
  </si>
  <si>
    <t>+7 (495) 2280929</t>
  </si>
  <si>
    <t>+7 (495) 7273095</t>
  </si>
  <si>
    <t>+7 (499) 7557699</t>
  </si>
  <si>
    <t>КРАВЧЕНКО ЕЛЕНА ВИКТОРОВНА, ИНН: 771808408075, Доля: 51.0%; ЯКОВЛЕВ СЕРГЕЙ НИКОЛАЕВИЧ, ИНН: 772073773218, Доля: 27.0%; Пужайкин Александр Иванович, ИНН: 504220677670, Доля: 15.0%; АНДРЕЕВА ЛЮДМИЛА НИКОЛАЕВНА, ИНН: 773125940048, Доля: 7.0%</t>
  </si>
  <si>
    <t>ЯКОВЛЕВ СЕРГЕЙ НИКОЛАЕВИЧ</t>
  </si>
  <si>
    <t>ООО "ПРОДКОНТРАКТИНВЕСТ"</t>
  </si>
  <si>
    <t>["10.13.3 Производство мясных (мясосодержащих) консервов","10.13.4 Производство мясных (мясосодержащих) полуфабрикатов","10.13.6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пищу","10.91 Производство готовых кормов для животных, содержащихся на фермах","10.92 Производство готовых кормов для непродуктивных животных","46.38 Торговля оптовая прочими пищевыми продуктами, включая рыбу, ракообразных и моллюсков","46.38.22 Торговля оптовая кормами для домашних животных","46.4 Торговля оптовая непродовольственными потребительскими товарами","46.90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Интернет","49.4 Деятельность автомобильного грузового транспорта и услуги по перевозкам","82.92 Деятельность по упаковыванию товаров"]</t>
  </si>
  <si>
    <t>115304, Россия, г. Москва, ул. Каспийская, д. 22, корп. 1, стр. 5, помещ. 18/7</t>
  </si>
  <si>
    <t>kamilla-kalitva@yandex.ru</t>
  </si>
  <si>
    <t>pki.zoo-mir@yandex.ru</t>
  </si>
  <si>
    <t>agat@yandex.ru</t>
  </si>
  <si>
    <t>kamilla@kalitva.ru</t>
  </si>
  <si>
    <t>https://zoo-mir.ru</t>
  </si>
  <si>
    <t>https://kalitva.ru</t>
  </si>
  <si>
    <t>+7 (863) 2297808</t>
  </si>
  <si>
    <t>+7 (863) 2480295</t>
  </si>
  <si>
    <t>+7 (863) 8327942</t>
  </si>
  <si>
    <t>+7 (918) 5601171</t>
  </si>
  <si>
    <t>БОБЫРЕВ ВИКТОР ВЛАДИМИРОВИЧ, ИНН: 614200020572, Доля: 100.0%</t>
  </si>
  <si>
    <t>БОБЫРЕВ ВИКТОР ВЛАДИМИРОВИЧ</t>
  </si>
  <si>
    <t>ООО "ФАВОРИТ"</t>
  </si>
  <si>
    <t>["10.61 Производство продуктов мукомольной и крупяной промышленности","10.91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животных","46.19 Деятельность агентов по оптовой торговле универсальным ассортиментом товаров","46.90 Торговля оптовая неспециализированная","47.76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</si>
  <si>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141304, Россия, Московская обл., г. Сергиев Посад, ш. Московское, д. 46а, помещ. 17</t>
  </si>
  <si>
    <t>Сергиев Посад</t>
  </si>
  <si>
    <t>kacharov@favorit1.ru</t>
  </si>
  <si>
    <t>tolokon@favoritl.ru</t>
  </si>
  <si>
    <t>kadry@favorit1.ru</t>
  </si>
  <si>
    <t>shamrikov@favorit1.ru</t>
  </si>
  <si>
    <t>http://фаворит1.рф</t>
  </si>
  <si>
    <t>https://favorit1.ru</t>
  </si>
  <si>
    <t>+7 (916) 3337505</t>
  </si>
  <si>
    <t>+7 (901) 5340347</t>
  </si>
  <si>
    <t>+7 (916) 2146478</t>
  </si>
  <si>
    <t>+7 (977) 9436851</t>
  </si>
  <si>
    <t>КАЧАРОВ ДМИТРИЙ ЭЛЬБРУСОВИЧ, ИНН: 151307207107, Доля: 100.0%</t>
  </si>
  <si>
    <t>КАЧАРОВ ИГОРЬ ДМИТРИЕВИЧ</t>
  </si>
  <si>
    <t>ООО "БАДИС"</t>
  </si>
  <si>
    <t>["10.92 Производство готовых кормов для непродуктивных животных","46.17 Деятельность агентов по оптовой торговле пищевыми продуктами, напитками и табачными изделиями","46.21.1 Торговля оптовая зерном, семенами и кормами для животных","46.38.22 Торговля оптовая кормами для домашних животных","47.11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магазинах","47.99 Торговля розничная прочая вне магазинов, палаток, рынков","73.11 Деятельность рекламных агентств","82.92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</si>
  <si>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107023, Россия, г. Москва, ул. Буженинова, д. 16, стр. 2, ком. 18,19</t>
  </si>
  <si>
    <t>buddys.petfood@mail.ru</t>
  </si>
  <si>
    <t>buddys.zakaz@mail.ru</t>
  </si>
  <si>
    <t>info@badis.pet</t>
  </si>
  <si>
    <t>zakaz@buddys.ru</t>
  </si>
  <si>
    <t>https://badis.pet</t>
  </si>
  <si>
    <t>+7 (495) 2058687</t>
  </si>
  <si>
    <t>ПУЖАЙКИН ВЛАДИМИР АЛЕКСАНДРОВИЧ, ИНН: 771885790550, Доля: 100.0%</t>
  </si>
  <si>
    <t>ПУЖАЙКИН ВЛАДИМИР АЛЕКСАНДРОВИЧ</t>
  </si>
  <si>
    <t>ООО "ДЕ НОВО ГРУПП"</t>
  </si>
  <si>
    <t>["10.20.3 Производство пищевой рыбной муки или муки для корма животных","10.91 Производство готовых кормов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услуги","33.20 Монтаж промышленных машин и оборудования","46.16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товарами","46.38.29 Торговля оптовая прочими пищевыми продуктами, не включенными в другие группировки","46.43.4 Торговля оптовая фототоварами и оптическими товарами","46.52 Торговля оптовая электронным и телекоммуникационным оборудованием и его запасными частями","47.41 Торговля розничная компьютерами, периферийными устройствами к ним и программным обеспечением в специализированных магазинах","47.62 Торговля розничная газетами и канцелярскими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магазинов","58.11 Издание книг","58.19 Виды издательской деятельности прочие","62.01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ресурсов","63.12 Деятельность web-порталов","63.91 Деятельность информационных агентств","63.99 Деятельность информационных служб прочая, не включенная в другие группировки","63.99.1 Деятельность по оказанию консультационных и информационных услуг","63.99.2 Деятельность по оказанию услуг по составлению обзоров новостей, услуг по подборке печатных изданий и подобной информации","66.22 Деятельность страховых агентов и брокеров","68.10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основе","70.21 Деятельность в сфере связей с общественностью","71.12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надзора","73.11 Деятельность рекламных агентств"]</t>
  </si>
  <si>
    <t>142000, Россия, Московская обл., г. Домодедово, ул. Каширское шоссе (мкр. Северный), д. 7, офис 59</t>
  </si>
  <si>
    <t>Домодедово</t>
  </si>
  <si>
    <t>vashbuhinfo@mail.ru</t>
  </si>
  <si>
    <t>hello@revivi.ru</t>
  </si>
  <si>
    <t>info@evernovo.com</t>
  </si>
  <si>
    <t>info@timeweb.ru</t>
  </si>
  <si>
    <t>http://actitail.ru</t>
  </si>
  <si>
    <t>http://actitails.ru</t>
  </si>
  <si>
    <t>http://ammona.ru</t>
  </si>
  <si>
    <t>http://denovopet.ru</t>
  </si>
  <si>
    <t>+7 (499) 3980805</t>
  </si>
  <si>
    <t>+7 (495) 0331081</t>
  </si>
  <si>
    <t>+7 (499) 4440296</t>
  </si>
  <si>
    <t>+7 (800) 7001081</t>
  </si>
  <si>
    <t>РАХМАНКУЛОВ РУСТАМ РОМАНОВИЧ, ИНН: 500915413416, Доля: 38.9%; ЗАРЕЦКИЙ АНДРЕЙ ВЛАДИМИРОВИЧ, ИНН: 781075351103, Доля: 22.97%; КРИНЦЮС РОМАН ВИКТОРОВИЧ, ИНН: 631695616690, Доля: 19.73%; ОБЩЕСТВО С ОГРАНИЧЕННОЙ ОТВЕТСТВЕННОСТЬЮ "ФУД ХАУС ИНВЕСТ", ИНН: 2536344416, Доля: 15.2%; ПОДАКОВ ИЛЬЯ ВЯЧЕСЛАВОВИЧ, ИНН: 632516143918, Доля: 3.2%</t>
  </si>
  <si>
    <t>РАХМАНКУЛОВ РУСТАМ РОМАНОВИЧ</t>
  </si>
  <si>
    <t>ООО "ВОЛЛИ"</t>
  </si>
  <si>
    <t>["10.92 Производство готовых кормов для непродуктивных животных","46.11.34 Деятельность агентов по оптовой торговле кормами для сельскохозяйственных животных","46.11.39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группировки","46.17 Деятельность агентов по оптовой торговле пищевыми продуктами, напитками и табачными изделиями","46.21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зерном","46.21.14 Торговля оптовая кормами для сельскохозяйственных животных","46.38.22 Торговля оптовая кормами для домашних животных","46.90 Торговля оптовая неспециализированная","47.19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рынков","63.91 Деятельность информационных агентств","82.99 Деятельность по предоставлению прочих вспомогательных услуг для бизнеса, не включенная в другие группировки"]</t>
  </si>
  <si>
    <t>105118, Россия, г. Москва, ш. Энтузиастов, д. 34, этаж 4</t>
  </si>
  <si>
    <t>info@volli-zoo.ru</t>
  </si>
  <si>
    <t>udanovka@mail.ru</t>
  </si>
  <si>
    <t>+7 (473) 5058141</t>
  </si>
  <si>
    <t>+7 (968) 3554838</t>
  </si>
  <si>
    <t>МАЛЬЦЕВ КОНСТАНТИН АЛЕКСАНДРОВИЧ, ИНН: 772075135429, Доля: 100.0%</t>
  </si>
  <si>
    <t>МАЛЬЦЕВ КОНСТАНТИН АЛЕКСАНДРОВИЧ</t>
  </si>
  <si>
    <t>ЗАО "СВОБОДНЫЙ 20"</t>
  </si>
  <si>
    <t>Непубличные акционерные общества</t>
  </si>
  <si>
    <t>["10.89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t>
  </si>
  <si>
    <t>111123, Россия, г. Москва, проезд Электродный, д. 6, стр. 1, офис 5</t>
  </si>
  <si>
    <t>svobodny20@svobodny20.ru</t>
  </si>
  <si>
    <t>a.zhukov@tos-logistic.ru</t>
  </si>
  <si>
    <t>sv-khomyakova@bk.ru</t>
  </si>
  <si>
    <t>info@tos-logistic.ru</t>
  </si>
  <si>
    <t>http://svobodny20.ru</t>
  </si>
  <si>
    <t>https://svobodny20.ru</t>
  </si>
  <si>
    <t>https://tos-logistic.ru</t>
  </si>
  <si>
    <t>+7 (495) 6564553</t>
  </si>
  <si>
    <t>+7 (495) 6723630</t>
  </si>
  <si>
    <t>+7 (495) 7211368</t>
  </si>
  <si>
    <t>+7 (495) 7774240</t>
  </si>
  <si>
    <t>ОБЩЕСТВО С ОГРАНИЧЕННОЙ ОТВЕТСТВЕННОСТЬЮ "КОРМАПРОМ", ИНН: 7724944920, Доля: 100.0%</t>
  </si>
  <si>
    <t>ВЕРЕМЕЙ КОНСТАНТИН АЛЕКСАНДРОВИЧ</t>
  </si>
  <si>
    <t>ООО "М-БИ-СИ"</t>
  </si>
  <si>
    <t>["10.13 Производство продукции из мяса убойных животных и мяса птицы","10.20 Переработка и консервирование рыбы, ракообразных и моллюсков","10.91 Производство готовых кормов для животных, содержащихся на фермах","10.92 Производство готовых кормов для непродуктивных животных","14.13 Производство прочей верхней одежды","16.10 Распиловка и строгание древесины","16.10.1 Производство пиломатериалов, кроме профилированных, толщиной более 6 мм","16.10.9 Предоставление услуг по пропитке древесины","16.23 Производство прочих деревянных строительных конструкций и столярных изделий","16.24 Производство деревянной тары","16.29 Производство прочих деревянных изделий","16.29.15 Производство топливных гранул и брикетов из отходов деревопереработки","20.15 Производство удобрений и азотных соединений","20.15.8 Производство удобрений животного или растительного происхождения","22.23 Производство пластмассовых изделий, используемых в строительстве","22.29.2 Производство прочих изделий из пластмасс, не включенных в другие группировки, кроме устройств пломбировочных из пластика","43.11 Разборка и снос зданий","43.12 Подготовка строительной площадки","43.99 Работы строительные специализированные прочие, не включенные в другие группировки","45.20 Техническое обслуживание и ремонт автотранспортных средств","46.90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магазинах","47.82 Торговля розничная в нестационарных торговых объектах и на рынках текстилем, одеждой и обувью","47.91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транспорта","49.41.1 Перевозка грузов специализированными автотранспортными средствами","49.41.3 Аренда грузового автомобильного транспорта с водителем","49.42 Предоставление услуг по перевозкам","52.21.2 Деятельность вспомогательная, связанная с автомобильным транспортом","52.29 Деятельность вспомогательная прочая, связанная с перевозками","77.12 Аренда и лизинг грузовых транспортных средств","77.31 Аренда и лизинг сельскохозяйственных машин и оборудования","77.32 Аренда и лизинг строительных машин и оборудования","77.39.23 Аренда и лизинг подъемно-транспортного оборудования","96.09 Предоставление прочих персональных услуг, не включенных в другие группировки"]</t>
  </si>
  <si>
    <t>142631, Россия, Московская обл., Орехово-Зуево г., д. Ожерелки, влад. 30б, помещ. 26</t>
  </si>
  <si>
    <t>д. Ожерелки</t>
  </si>
  <si>
    <t>microbiosintez@mail.ru</t>
  </si>
  <si>
    <t>v.sinichina@orga-vit.ru</t>
  </si>
  <si>
    <t>orgavit@bk.ru</t>
  </si>
  <si>
    <t>https://orgavit.ru</t>
  </si>
  <si>
    <t>+7 (496) 4138877</t>
  </si>
  <si>
    <t>+7 (496) 4138880</t>
  </si>
  <si>
    <t>+7 (496) 4161339</t>
  </si>
  <si>
    <t>+7 (496) 4161342</t>
  </si>
  <si>
    <t>АБРАМЯН ВАГАН ШАЛИКОЕВИЧ, ИНН: 772800518208, Доля: 67.0%; ПОГОСЯН АРТЮШ АЙКАЗОВИЧ, ИНН: 771502218567, Доля: 16.5%; ГАСПАРЯН ГАРЕГИН ДАВИДОВИЧ, ИНН: 312604971772, Доля: 16.5%</t>
  </si>
  <si>
    <t>ПОГОСЯН ГЕОРГИЙ АРТЁМОВИЧ</t>
  </si>
  <si>
    <t>Управляющий - индивидуальный  предприниматель</t>
  </si>
  <si>
    <t>ООО "ФОРМУЛА"</t>
  </si>
  <si>
    <t>["10.92 Производство готовых кормов для непродуктивных животных","13.92 Производство готовых текстильных изделий, кроме одежды","13.94 Производство канатов, веревок, шпагата и сетей","13.99 Производство прочих текстильных изделий, не включенных в другие группировки","14.19 Производство прочей одежды и аксессуаров одежды","15.12 Производство чемоданов, дамских сумок и аналогичных изделий из кожи и других материалов","32.30 Производство спортивных товаров","46.15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товаров","46.38.22 Торговля оптовая кормами для домашних животных","46.41 Торговля оптовая текстильными изделиями","46.42 Торговля оптовая одеждой и обувью","46.49 Торговля оптовая прочими бытовыми товарами","46.49.43 Торговля оптовая спортивными товарами, включая велосипеды","46.90 Торговля оптовая неспециализированная","47.19 Торговля розничная прочая в неспециализированных магазинах","47.64 Торговля розничная спортивным оборудованием и спортивными товарами в специализированных магазинах","47.64.2 Торговля розничная рыболовными принадлежностями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имуществом","95.29 Ремонт прочих предметов личного потребления и бытовых товаров"]</t>
  </si>
  <si>
    <t>141850, Россия, Московская обл., Дмитров г., пгт. Деденево, ш. Московское, д. 1, ком. 28.2</t>
  </si>
  <si>
    <t>пгт. Деденево</t>
  </si>
  <si>
    <t>office@allvegafishing.com</t>
  </si>
  <si>
    <t>http://allvegafishing.com</t>
  </si>
  <si>
    <t>+7 (495) 7897828</t>
  </si>
  <si>
    <t>+7 (977) 4706503</t>
  </si>
  <si>
    <t>ИВАНОВА НАТАЛИЯ ВАЛЕНТИНОВНА, ИНН: 771543967445, Доля: 50.0%; ФЕДОРОВ СЕРГЕЙ ВЛАДИМИРОВИЧ, ИНН: 772000612628, Доля: 25.0%; ЯКУШИН ИЛЬЯ АНАТОЛЬЕВИЧ, ИНН: 771535391895, Доля: 25.0%</t>
  </si>
  <si>
    <t>ЯКУШИНА АЛЬФИЯ ВАЛИТОВНА</t>
  </si>
  <si>
    <t>ООО "ЛАЙФ"</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</si>
  <si>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птицы","10.91 Производство готовых кормов для животных, содержащихся на фермах","10.92 Производство готовых кормов для непродуктивных животных","20.41 Производство мыла и моющих, чистящих и полирующих средств","46.32 Торговля оптовая мясом и мясными продуктами","46.33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моллюсков","46.44.1 Торговля оптовая изделиями из керамики и стекла","46.75 Торговля оптовая химическими продуктами","47.22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магазинах","47.29.1 Торговля розничная молочными продуктами и яйцами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t>
  </si>
  <si>
    <t>115114, Россия, г. Москва, пер. 2-й Кожевнический, д. 1, помещ. 4а/1</t>
  </si>
  <si>
    <t>jobtmt@yandex.ru</t>
  </si>
  <si>
    <t>tmtjob@yandex.ru</t>
  </si>
  <si>
    <t>info.shmops@yandex.ru</t>
  </si>
  <si>
    <t>+7 (910) 4032243</t>
  </si>
  <si>
    <t>+7 (980) 1459366</t>
  </si>
  <si>
    <t>МЕДВЕДЕВ ТИХОН ИГОРЕВИЧ, ИНН: 761204956403, Доля: 100.0%</t>
  </si>
  <si>
    <t>МЕДВЕДЕВ ТИХОН ИГОРЕВИЧ</t>
  </si>
  <si>
    <t>ООО "ТК РЕСУРС"</t>
  </si>
  <si>
    <t>["10.91 Производство готовых кормов для животных, содержащихся на фермах","10.92 Производство готовых кормов для непродуктивных животных","46.33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перевозками","72.19 Научные исследования и разработки в области естественных и технических наук прочие"]</t>
  </si>
  <si>
    <t>121170, Россия, г. Москва, ул. Неверовского, д. 10, стр. 3а, этаж/помещ./ком. 2/i/4</t>
  </si>
  <si>
    <t>tk-res@mail.ru</t>
  </si>
  <si>
    <t>personal@foodintime.ru</t>
  </si>
  <si>
    <t>info@mikimeals.com</t>
  </si>
  <si>
    <t>ai@mikimeals.com</t>
  </si>
  <si>
    <t>https://mikimeals.com</t>
  </si>
  <si>
    <t>https://foodintime.ru</t>
  </si>
  <si>
    <t>+7 (495) 1819267</t>
  </si>
  <si>
    <t>+7 (495) 4766171</t>
  </si>
  <si>
    <t>+7 (903) 8667181</t>
  </si>
  <si>
    <t>ФЕДАШ ТАТЬЯНА ВАСИЛЬЕВНА, ИНН: 772783965210, Доля: 85.0%; СПИЧЕНКО КОНСТАНТИН ПАВЛОВИЧ, ИНН: 772021385609, Доля: 5.0%; ИСТОМИН АЛЕКСЕЙ ИГОРЕВИЧ, ИНН: 482563622329, Доля: 5.0%; КЕЦКО ЗИНАИДА АНАТОЛЬЕВНА, ИНН: 772575112765, Доля: 5.0%</t>
  </si>
  <si>
    <t>ФЕДАШ ТАТЬЯНА ВАСИЛЬЕВНА</t>
  </si>
  <si>
    <t>ООО "ЭНИМАЛС ДЕЛИ"</t>
  </si>
  <si>
    <t>["10.92 Производство готовых кормов для непродуктивных животных","46.17 Деятельность агентов по оптовой торговле пищевыми продуктами, напитками и табачными изделиями","46.38.22 Торговля оптовая кормами для домашних животных","46.90 Торговля оптовая неспециализированная","47.19 Торговля розничная прочая в неспециализированных магазинах","47.71 Торговля розничная одеждой в специализированных магазинах","47.99 Торговля розничная прочая вне магазинов, палаток, рынков","63.91 Деятельность информационных агентств","73.11 Деятельность рекламных агентств","82.30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</si>
  <si>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111395, Россия, г. Москва, аллея Первой Маёвки, д. 15, стр. 2, помещ. 108а</t>
  </si>
  <si>
    <t>anideli@mail.ru</t>
  </si>
  <si>
    <t>ДАНИЛОВА ЛЮДМИЛА ВАЛЕРЬЕВНА, ИНН: 772908629873, Доля: 100.0%</t>
  </si>
  <si>
    <t>ДАНИЛОВА ЛЮДМИЛА ВАЛЕРЬЕВНА</t>
  </si>
  <si>
    <t>ООО "МАКСИМА"</t>
  </si>
  <si>
    <t>["10.92 Производство готовых кормов для непродуктивных животных","41.20 Строительство жилых и нежилых зданий","43.11 Разборка и снос зданий","43.12.1 Расчистка территории строительной площадки","43.12.3 Производство земляных работ","46.18.99 Деятельность агентов, специализирующихся на оптовой торговле прочими товарами, не включенными в другие группировки","46.32.1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птицы","46.38.29 Торговля оптовая прочими пищевыми продуктами, не включенными в другие группировки","68.10 Покупка и продажа собственного недвижимого имущества","68.10.1 Подготовка к продаже собственного недвижимого имущества","68.10.22 Покупка и продажа собственных нежилых зданий и помещений","68.20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t>
  </si>
  <si>
    <t>107564, Россия, г. Москва, ул. 3-я Гражданская, д. 21, помещ. 73к</t>
  </si>
  <si>
    <t>maxima_llc@mail.ru</t>
  </si>
  <si>
    <t>+7 (965) 0159980</t>
  </si>
  <si>
    <t>СЕРГАТЕНКО ВЯЧЕСЛАВ ОЛЕГОВИЧ, ИНН: 890303574211, Доля: 100.0%</t>
  </si>
  <si>
    <t>СЕРГАТЕНКО ВЯЧЕСЛАВ ОЛЕГОВИЧ</t>
  </si>
  <si>
    <t>ООО "КОРМ.СОМ"</t>
  </si>
  <si>
    <t>["01.19.1 Выращивание однолетних кормовых культур","01.19.3 Выращивание семян свеклы (кроме семян сахарной свеклы) и семян кормовых культур","10.20.3 Производство пищевой рыбной муки или муки для корма животных","10.91 Производство готовых кормов для животных, содержащихся на фермах","10.92 Производство готовых кормов для непродуктивных животных"]</t>
  </si>
  <si>
    <t>127282, Россия, г. Москва, ул. Тихомирова, д. 17, корп. 1, помещ. 14/1</t>
  </si>
  <si>
    <t>korm.com@bk.ru</t>
  </si>
  <si>
    <t>snab@kormcom.ru</t>
  </si>
  <si>
    <t>kormcom25@mail.ru</t>
  </si>
  <si>
    <t>vetsnab2011@mail.ru</t>
  </si>
  <si>
    <t>http://flosti.ru</t>
  </si>
  <si>
    <t>+7 (926) 2417626</t>
  </si>
  <si>
    <t>+7 (916) 1662420</t>
  </si>
  <si>
    <t>КЛЕЙНЕРМАН ЮРИЙ ЕФИМОВИЧ, ИНН: 504217757100, Доля: 100.0%</t>
  </si>
  <si>
    <t>КЛЕЙНЕРМАН ЮРИЙ ЕФИМОВИЧ</t>
  </si>
  <si>
    <t>ООО "АССОРТИМЕНТ-АГРО"</t>
  </si>
  <si>
    <t>["10.91 Производство готовых кормов для животных, содержащихся на фермах","10.92 Производство готовых кормов для непродуктивных животных","46.18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животных","46.90 Торговля оптовая неспециализированная","47.91 Торговля розничная по почте или по информационно-коммуникационной сети Интернет"]</t>
  </si>
  <si>
    <t>141290, Россия, Московская обл., Пушкино г., г. Красноармейск, ул. Академика Янгеля, д. 23, стр. 2, адм.каб 3</t>
  </si>
  <si>
    <t>Красноармейск</t>
  </si>
  <si>
    <t>list@krasno.ru</t>
  </si>
  <si>
    <t>info@dvoryanin.ru</t>
  </si>
  <si>
    <t>https://dvoryanin.ru</t>
  </si>
  <si>
    <t>http://favoritpet.ru</t>
  </si>
  <si>
    <t>https://krasno.ru</t>
  </si>
  <si>
    <t>+7 (800) 2014504</t>
  </si>
  <si>
    <t>+7 (916) 5780851</t>
  </si>
  <si>
    <t>+7 (800) 5553557</t>
  </si>
  <si>
    <t>ПРЕСНЯКОВ ЕВГЕНИЙ ВАДИМОВИЧ, ИНН: 780431321136, Доля: 33.5%; ЧИЛ-АКОПОВ АЛЕКСАНДР ГЕОРГИЕВИЧ, ИНН: 771605086256, Доля: 33.5%; КУЗЬМИН НИКИТА ВЛАДИМИРОВИЧ, ИНН: 770472196135, Доля: 16.5%; ГОРШКОВ КОНСТАНТИН ОЛЕГОВИЧ, ИНН: 771986307374, Доля: 16.5%</t>
  </si>
  <si>
    <t>ЧИЛ-АКОПОВ АЛЕКСАНДР ГЕОРГИЕВИЧ</t>
  </si>
  <si>
    <t>ООО "ОНТО"</t>
  </si>
  <si>
    <t>["01.49 Разведение прочих животных","10.72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хранения","10.84 Производство приправ и пряностей","10.89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животных","46.90 Торговля оптовая неспециализированная","47.29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t>
  </si>
  <si>
    <t>115280, Россия, г. Москва, ул. Ленинская Слобода, д. 26, помещ. 32/50</t>
  </si>
  <si>
    <t>atalibov@hermetia.ru</t>
  </si>
  <si>
    <t>bioonto77@gmail.com</t>
  </si>
  <si>
    <t>bioonto@gmail.com</t>
  </si>
  <si>
    <t>dmitriy.asm@yandex.ru</t>
  </si>
  <si>
    <t>http://hermetia.ru</t>
  </si>
  <si>
    <t>+7 (495) 1621062</t>
  </si>
  <si>
    <t>+7 (495) 2604881</t>
  </si>
  <si>
    <t>+7 (495) 9333263</t>
  </si>
  <si>
    <t>+7 (929) 9132818</t>
  </si>
  <si>
    <t>ПОЛКОВНИКОВ ВЛАДИМИР ВИКТОРОВИЧ, ИНН: 503700924568, Доля: 44.0%; ООО "ОНТО", ИНН: 9725001336, Доля: 26.0%; СКРАГАН МАРИАННА ВАЛЕРЬЕВНА, ИНН: 502710830980, Доля: 15.0%; ОБЩЕСТВО С ОГРАНИЧЕННОЙ ОТВЕТСТВЕННОСТЬЮ "УПРАВЛЯЮЩАЯ КОМПАНИЯ БИЗНЕС ПРИОРИТИ", ИНН: 9710079058, Доля: 15.0%</t>
  </si>
  <si>
    <t>ЛЫКОВ ДМИТРИЙ ТИМОФЕЕВИЧ</t>
  </si>
  <si>
    <t>ООО "СОБАЧЬЕ СЧАСТЬЕ"</t>
  </si>
  <si>
    <t>["10.20.3 Производство пищевой рыбной муки или муки для корма животных","10.91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животных","46.11.34 Деятельность агентов по оптовой торговле кормами для сельскохозяйственных животных","46.21.14 Торговля оптовая кормами для сельскохозяйственных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</si>
  <si>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121596, Россия, г. Москва, ул. Горбунова, д. 2, стр. 3, этаж/помещ./ком./офис 8/ii/12/20а</t>
  </si>
  <si>
    <t>aka@dog-happy.ru</t>
  </si>
  <si>
    <t>dog@dog-heroes.ru</t>
  </si>
  <si>
    <t>https://dog-happy.ru</t>
  </si>
  <si>
    <t>http://dog-happy.ru</t>
  </si>
  <si>
    <t>https://dog-heroes.ru</t>
  </si>
  <si>
    <t>+7 (926) 2749595</t>
  </si>
  <si>
    <t>+7 (977) 8999688</t>
  </si>
  <si>
    <t>АПРОЦКИЙ КИРИЛЛ АНДРЕЕВИЧ, ИНН: 503215058874, Доля: 100.0%</t>
  </si>
  <si>
    <t>АПРОЦКИЙ КИРИЛЛ АНДРЕЕВИЧ</t>
  </si>
  <si>
    <t>ООО "ЛИЛАС ПЕТФУД"</t>
  </si>
  <si>
    <t>["10.20 Переработка и консервирование рыбы, ракообразных и моллюсков","10.91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 Торговля оптовая прочими пищевыми продуктами, включая рыбу, ракообразных и моллюсков","46.38.22 Торговля оптовая кормами для домашних животных","47.19 Торговля розничная прочая в неспециализированных магазинах","47.25 Торговля розничная напитками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</si>
  <si>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107564, Россия, г. Москва, ул. Краснобогатырская, д. 38, стр. 2, этаж 4</t>
  </si>
  <si>
    <t>lilas-retail@yandex.ru</t>
  </si>
  <si>
    <t>lilas8388@mail.ru</t>
  </si>
  <si>
    <t>+7 (977) 2772002</t>
  </si>
  <si>
    <t>ОБЩЕСТВО С ОГРАНИЧЕННОЙ ОТВЕТСТВЕННОСТЬЮ "ЛР ГРУП", ИНН: 9715445741, Доля: 100.0%</t>
  </si>
  <si>
    <t>НЕМНОВ РУСЛАН ВЯЧЕСЛАВОВИЧ</t>
  </si>
  <si>
    <t>ООО "ФАРМПРОТЕКТ"</t>
  </si>
  <si>
    <t>["10.89.8 Производство биологически активных добавок к пище","10.91 Производство готовых кормов для животных, содержащихся на фермах","10.92 Производство готовых кормов для непродуктивных животных","46.21.1 Торговля оптовая зерном, семенами и кормами для животных","46.38.2 Торговля оптовая прочими пищевыми продуктами","46.49.4 Торговля оптовая прочими потребительскими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</si>
  <si>
    <t>121087, Россия, г. Москва, ул. Новозаводская, д. 8, корп. 4, этаж/помещ. 1/viii</t>
  </si>
  <si>
    <t>2945973@mail.ru</t>
  </si>
  <si>
    <t>info@horse-bio.ru</t>
  </si>
  <si>
    <t>https://horse-bio.ru</t>
  </si>
  <si>
    <t>+7 (916) 3786563</t>
  </si>
  <si>
    <t>ТРУБЕРГ ЕКАТЕРИНА АЛЕКСАНДРОВНА, ИНН: 771595187950, Доля: 100.0%</t>
  </si>
  <si>
    <t>ТРУБЕРГ ЕКАТЕРИНА АЛЕКСАНДРОВНА</t>
  </si>
  <si>
    <t>ООО "ГРИН ДОГ"</t>
  </si>
  <si>
    <t>["10.11 Переработка и консервирование мяса","10.12 Производство и консервирование мяса птицы","10.13.7 Производство муки и гранул из мяса и мясных субпродуктов, непригодных для употребления в пищу","10.20 Переработка и консервирование рыбы, ракообразных и моллюсков","10.41 Производство масел и жиров","10.61 Производство продуктов мукомольной и крупяной промышленности","10.89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Интернет","82.30 Деятельность по организации конференций и выставок"]</t>
  </si>
  <si>
    <t>127591, Россия, г. Москва, ул. 800-летия Москвы, д. 3, корп. 1, кв. 71</t>
  </si>
  <si>
    <t>7650022@mail.ru</t>
  </si>
  <si>
    <t>+7 (985) 7650022</t>
  </si>
  <si>
    <t>ЛУКАШОВА НИНА ФЕДОРОВНА, ИНН: 771374644260, Доля: 66.0%; КУЗНЕЦОВА АННА НИКОЛАЕВНА, ИНН: 503801963669, Доля: 23.0%; РАССТРИЖЕНКОВА НАТАЛЬЯ ВЯЧЕСЛАВОВНА, ИНН: 773414701627, Доля: 11.0%</t>
  </si>
  <si>
    <t>ЛУКАШОВА НИНА ФЕДОРОВНА</t>
  </si>
  <si>
    <t>ООО "ПРЕМИУМ ФИД"</t>
  </si>
  <si>
    <t>["10.91 Производство готовых кормов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животных","22.22 Производство пластмассовых изделий для упаковывания товаров","46.21 Торговля оптовая зерном, необработанным табаком, семенами и кормами для сельскохозяйственных животных","46.38.22 Торговля оптовая кормами для домашних животных","46.38.23 Торговля оптовая мукой и макаронными изделиями","46.49.49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t>
  </si>
  <si>
    <t>127030, Россия, г. Москва, ул. Новослободская, д. 20, этаж/помещ. 2/i</t>
  </si>
  <si>
    <t>arzamas101@gmail.com</t>
  </si>
  <si>
    <t>premium.feed@yandex.ru</t>
  </si>
  <si>
    <t>irena14032019@gmail.com</t>
  </si>
  <si>
    <t>pf.msk@yandex.ru</t>
  </si>
  <si>
    <t>https://premiumfeed.ru</t>
  </si>
  <si>
    <t>+7 (918) 8710034</t>
  </si>
  <si>
    <t>+7 (926) 0007456</t>
  </si>
  <si>
    <t>+7 (495) 1010205</t>
  </si>
  <si>
    <t>+7 (800) 1010206</t>
  </si>
  <si>
    <t>УСОВ АЛЕКСЕЙ ВЛАДИМИРОВИЧ, ИНН: 631701227159, Доля: 100.0%</t>
  </si>
  <si>
    <t>БЫХОВСКИЙ КОНСТАНТИН ВЛАДИМИРОВИЧ</t>
  </si>
  <si>
    <t>ООО "ЛОРА ГРУПП"</t>
  </si>
  <si>
    <t>["10.91.3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животных","46.19 Деятельность агентов по оптовой торговле универсальным ассортиментом товаров","46.31 Торговля оптовая фруктами и овощами","46.38.22 Торговля оптовая кормами для домашних животных","46.45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 Деятельность по складированию и хранению","52.24 Транспортная обработка грузов","82.92 Деятельность по упаковыванию товаров"]</t>
  </si>
  <si>
    <t>115280, Россия, г. Москва, ул. Восточная, д. 13, помещ. 1/1</t>
  </si>
  <si>
    <t>home@lorapetcare.ru</t>
  </si>
  <si>
    <t>http://lorapetcare.ru</t>
  </si>
  <si>
    <t>https://lorapetcare.ru</t>
  </si>
  <si>
    <t>+7 (495) 9707293</t>
  </si>
  <si>
    <t>ГАРИБЯН ЛЕВОН НОРАЙРОВИЧ, ИНН: 772581006638, Доля: 100.0%</t>
  </si>
  <si>
    <t>ГАРИБЯН ЕКАТЕРИНА ЕВГЕНЬЕВНА</t>
  </si>
  <si>
    <t>ООО "ЭКСПОРТ ПАРИТЕТ"</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</si>
  <si>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группировки","10.92 Производство готовых кормов для непродуктивных животных","46.18 Деятельность агентов, специализирующихся на оптовой торговле прочими отдельными видами товаров","46.24 Торговля оптовая шкурами и кожей","46.38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продуктами","46.38.29 Торговля оптовая прочими пищевыми продуктами, не включенными в другие группировки","47.29 Торговля розничная прочими пищевыми продуктами в специализированных магазинах","47.7 Торговля розничная прочими товарами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t>
  </si>
  <si>
    <t>117216, Россия, г. Москва, ул. Грина, д. 1, корп. 5, помещ. 1/1</t>
  </si>
  <si>
    <t>os.efimova@mail.ru</t>
  </si>
  <si>
    <t>gd@doggufudo.ru</t>
  </si>
  <si>
    <t>yanafavor@mail.ru</t>
  </si>
  <si>
    <t>+7 (917) 5945529</t>
  </si>
  <si>
    <t>+7 (495) 1094149</t>
  </si>
  <si>
    <t>+7 (800) 7778649</t>
  </si>
  <si>
    <t>+7 (812) 2094149</t>
  </si>
  <si>
    <t>ЕФИМОВА ОЛЬГА СЕРГЕЕВНА, ИНН: 470407694326, Доля: 70.0%; АЛЕКСЕЕВ ДЕНИС ИГОРЕВИЧ, ИНН: 772579814405, Доля: 15.0%; КЛИМОВ СЕРГЕЙ СЕРГЕЕВИЧ, ИНН: 772978938890, Доля: 15.0%</t>
  </si>
  <si>
    <t>ЕФИМОВА ОЛЬГА СЕРГЕЕВНА</t>
  </si>
  <si>
    <t>ООО "МОСОБЛТОРГ"</t>
  </si>
  <si>
    <t>["10.32 Производство соковой продукции из фруктов и овощей","10.39 Прочие виды переработки и консервирования фруктов и овощей","10.51 Производство молока (кроме сырого) и молочной продукции","10.82 Производство какао, шоколада и сахаристых кондитерских изделий","10.83 Производство чая и кофе","10.84 Производство приправ и пряностей","10.91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напитков","46.11 Деятельность агентов по оптовой торговле сельскохозяйственным сырьем, живыми животными, текстильным сырьем и полуфабрикатами","46.21 Торговля оптовая зерном, необработанным табаком, семенами и кормами для сельскохозяйственных животных","46.32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моллюсков","46.76 Торговля оптовая прочими промежуточными продуктами","46.90 Торговля оптовая неспециализированная","56.10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основе","68.32.2 Управление эксплуатацией нежилого фонда за вознаграждение или на договорной основе","70.22 Консультирование по вопросам коммерческой деятельности и управления"]</t>
  </si>
  <si>
    <t>140000, Россия, Московская обл., г. Люберцы, ул. Красная, д. 1, помещ. 72 этаж 7</t>
  </si>
  <si>
    <t>Люберцы</t>
  </si>
  <si>
    <t>kiselevnot@mail.ru</t>
  </si>
  <si>
    <t>ЧЕРНОВ АЛЕКСЕЙ ГРИГОРЬЕВИЧ, ИНН: 614206736404, Доля: 100.0%</t>
  </si>
  <si>
    <t>ЧЕРНОВ АЛЕКСЕЙ ГРИГОРЬЕВИЧ</t>
  </si>
  <si>
    <t>ООО "КАНЭГАТО"</t>
  </si>
  <si>
    <t>["10.92 Производство готовых кормов для непродуктивных животных","32.99 Производство прочих готовых изделий, не включенных в другие группировки","46.21 Торговля оптовая зерном, необработанным табаком, семенами и кормами для сельскохозяйственных животных","46.32 Торговля оптовая мясом и мясными продуктами","46.38 Торговля оптовая прочими пищевыми продуктами, включая рыбу, ракообразных и моллюсков","46.49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t>
  </si>
  <si>
    <t>141980, Россия, Московская обл., г. Дубна, ул. Ленинградская, д. 20а, офис 24</t>
  </si>
  <si>
    <t>Дубна</t>
  </si>
  <si>
    <t>kyvmos@rambler.ru</t>
  </si>
  <si>
    <t>info@canegatto.ru</t>
  </si>
  <si>
    <t>canegatto2022@yandex.ru</t>
  </si>
  <si>
    <t>https://canegatto.ru</t>
  </si>
  <si>
    <t>+7 (495) 1878777</t>
  </si>
  <si>
    <t>+7 (926) 2374204</t>
  </si>
  <si>
    <t>+7 (925) 8091901</t>
  </si>
  <si>
    <t>+7 (925) 8091902</t>
  </si>
  <si>
    <t>КАЗАКОВ ЯКОВ ВАЛЕРЬЕВИЧ, ИНН: 352803265618, Доля: 50.0%; СОРОКИН ПАВЕЛ МИХАЙЛОВИЧ, ИНН: 773601264222, Доля: 50.0%</t>
  </si>
  <si>
    <t>КАЗАКОВ ЯКОВ ВАЛЕРЬЕВИЧ</t>
  </si>
  <si>
    <t>ООО "ОРТИПО"</t>
  </si>
  <si>
    <t>["10.92 Производство готовых кормов для непродуктивных животных","46.38.22 Торговля оптовая кормами для домашних животных"]</t>
  </si>
  <si>
    <t>141070, Россия, Московская обл., г. Королёв, проезд Ярославский, д. 9а, этаж 2</t>
  </si>
  <si>
    <t>Королёв</t>
  </si>
  <si>
    <t>ortipoinfo@gmail.com</t>
  </si>
  <si>
    <t>ortipo2023@mail.ru</t>
  </si>
  <si>
    <t>zacepinsergey2003@gmail.com</t>
  </si>
  <si>
    <t>+7 (925) 5685368</t>
  </si>
  <si>
    <t>+7 (925) 3180150</t>
  </si>
  <si>
    <t>ГЕРАСИМЕНКО АНАСТАСИЯ ОЛЕГОВНА, ИНН: 771562444722, Доля: 60.0%; ООО "ОРТИПО", ИНН: 5018214838, Доля: 40.0%</t>
  </si>
  <si>
    <t>НИКИШАЕВ ВЯЧЕСЛАВ ПЕТРОВИЧ</t>
  </si>
  <si>
    <t>ООО "ККР"</t>
  </si>
  <si>
    <t>["10.92 Производство готовых кормов для непродуктивных животных","46.38 Торговля оптовая прочими пищевыми продуктами, включая рыбу, ракообразных и моллюсков","47.76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Интернет","59.11 Производство кинофильмов, видеофильмов и телевизионных программ"]</t>
  </si>
  <si>
    <t>119633, Россия, г. Москва, ул. Чоботовская, д. 2, корп. 2, кв. 37</t>
  </si>
  <si>
    <t>3638123@mail.ru</t>
  </si>
  <si>
    <t>+7 (903) 3638123</t>
  </si>
  <si>
    <t>АМИНОВ ЭРНЕСТ ЭДМУНДОВИЧ, ИНН: 504903812100, Доля: 100.0%</t>
  </si>
  <si>
    <t>АМИНОВ ЭРНЕСТ ЭДМУНДОВИЧ</t>
  </si>
  <si>
    <t>ООО "ВАРЯГ"</t>
  </si>
  <si>
    <t>["01.13 Выращивание овощей, бахчевых, корнеплодных и клубнеплодных культур, грибов и трюфелей","01.19 Выращивание прочих однолетних культур","10.11 Переработка и консервирование мяса","10.13 Производство продукции из мяса убойных животных и мяса птицы","10.13.6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моллюсков","10.91 Производство готовых кормов для животных, содержащихся на фермах","10.92 Производство готовых кормов для непродуктивных животных","18.13 Изготовление печатных форм и подготовительная деятельность","46.11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продуктами","46.18 Деятельность агентов, специализирующихся на оптовой торговле прочими отдельными видами товаров","46.18.9 Деятельность агентов, специализирующихся на оптовой торговле товарами, не включенными в другие группировки","46.21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рынков","53.20 Деятельность почтовой связи прочая и курьерская деятельность","53.20.3 Деятельность курьерская","53.20.31 Деятельность по курьерской доставке различными видами транспорта","58.11 Издание книг","82.99 Деятельность по предоставлению прочих вспомогательных услуг для бизнеса, не включенная в другие группировки"]</t>
  </si>
  <si>
    <t>142715, Россия, Московская обл., г. Видное, тер. Промзона ВЗ ГИАП, корп. 554, помещ. 18</t>
  </si>
  <si>
    <t>Видное</t>
  </si>
  <si>
    <t>info@varyag-pet.ru</t>
  </si>
  <si>
    <t>tmvaryag@mail.ru</t>
  </si>
  <si>
    <t>https://varyag-pet.ru</t>
  </si>
  <si>
    <t>+7 (903) 1305770</t>
  </si>
  <si>
    <t>+7 (903) 0038908</t>
  </si>
  <si>
    <t>+7 (903) 5337865</t>
  </si>
  <si>
    <t>СЕДОВ АЛЕКСЕЙ ВЛАДИМИРОВИЧ, ИНН: 772803928604, Доля: 75.0%; БАЛАКИНА ЕЛЕНА ВАСИЛЬЕВНА, ИНН: 770402439842, Доля: 25.0%</t>
  </si>
  <si>
    <t>СЕДОВ АЛЕКСЕЙ ВЛАДИМИРОВИЧ</t>
  </si>
  <si>
    <t>ООО "ВУФА ПЕТ ПРОДАКТС"</t>
  </si>
  <si>
    <t>["10.92 Производство готовых кормов для непродуктивных животных","47.19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t>
  </si>
  <si>
    <t>143532, Россия, Московская обл., Истра г., г. Дедовск, ул. Фабричная ветка, д. 7</t>
  </si>
  <si>
    <t>Дедовск</t>
  </si>
  <si>
    <t>olga.dreval@bk.ru</t>
  </si>
  <si>
    <t>olga@woofa.ru</t>
  </si>
  <si>
    <t>hello@woofa.ru</t>
  </si>
  <si>
    <t>https://woofa.ru</t>
  </si>
  <si>
    <t>+7 (968) 7633300</t>
  </si>
  <si>
    <t>+7 (313) 2004527</t>
  </si>
  <si>
    <t>+7 (313) 2041821</t>
  </si>
  <si>
    <t>+7 (985) 9291132</t>
  </si>
  <si>
    <t>ДРЕВАЛЬ ОЛЬГА СЕРГЕЕВНА, ИНН: 212885064990, Доля: 70.0%; БАСТРЫКИН РУСЛАН ИГОРЕВИЧ, ИНН: 771511612619, Доля: 30.0%</t>
  </si>
  <si>
    <t>ДРЕВАЛЬ ОЛЬГА СЕРГЕЕВНА</t>
  </si>
  <si>
    <t>ООО "КЭТ КУЗИН"</t>
  </si>
  <si>
    <t>["10.92 Производство готовых кормов для непродуктивных животных","46.38.22 Торговля оптовая кормами для домашних животных","46.46 Торговля оптовая фармацевтической продукцией","46.49.49 Торговля оптовая прочими потребительскими товарами, не включенными в другие группировки","47.76.2 Торговля розничная домашними животными и кормами для домашних животных в специализированных магазинах","47.91.2 Торговля розничная, осуществляемая непосредственно при помощи информационно-коммуникационной сети Интернет"]</t>
  </si>
  <si>
    <t>121357, Россия, г. Москва, ул. Верейская, д. 29, стр. 151, помещ. 19h/2</t>
  </si>
  <si>
    <t>catcuisine@yandex.ru</t>
  </si>
  <si>
    <t>info@catcuisine.ru</t>
  </si>
  <si>
    <t>info@pet-diet.ru</t>
  </si>
  <si>
    <t>https://catcuisine.ru</t>
  </si>
  <si>
    <t>https://pet-diet.ru</t>
  </si>
  <si>
    <t>+7 (499) 7024076</t>
  </si>
  <si>
    <t>+7 (926) 8143972</t>
  </si>
  <si>
    <t>ХАЛАМАНОВА НАТАЛЬЯ РУДОЛЬФОВНА, ИНН: 343516324600, Доля: 90.0%; ИОНОВ СЕРГЕЙ РУДОЛЬФОВИЧ, ИНН: 300114187696, Доля: 10.0%</t>
  </si>
  <si>
    <t>ХАЛАМАНОВА НАТАЛЬЯ РУДОЛЬФОВНА</t>
  </si>
  <si>
    <t>ООО "ВОЛЯ ВЕАР"</t>
  </si>
  <si>
    <t>["10.92 Производство готовых кормов для непродуктивных животных","14.13 Производство прочей верхней одежды","14.14 Производство нательного белья","14.19 Производство прочей одежды и аксессуаров одежды","46.16 Деятельность агентов по оптовой торговле текстильными изделиями, одеждой, обувью, изделиями из кожи и меха","46.38.22 Торговля оптовая кормами для домашних животных","47.19 Торговля розничная прочая в неспециализированных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магазинах","47.76.2 Торговля розничная домашними животными и кормами для домашних животных в специализированных магазинах","47.82 Торговля розничная в нестационарных торговых объектах и на рынках текстилем, одеждой и обувью","47.91 Торговля розничная по почте или по информационно-коммуникационной сети Интернет","47.99 Торговля розничная прочая вне магазинов, палаток, рынков","74.10 Деятельность специализированная в области дизайна"]</t>
  </si>
  <si>
    <t>117418, Россия, г. Москва, ул. Зюзинская, д. 6, корп. 2, эт 2 пом xv ком 43</t>
  </si>
  <si>
    <t>buh03@whaudit.ru</t>
  </si>
  <si>
    <t>tm@volyawear.ru</t>
  </si>
  <si>
    <t>https://volyawear.ru</t>
  </si>
  <si>
    <t>+7 (926) 3022416</t>
  </si>
  <si>
    <t>+7 (929) 9265576</t>
  </si>
  <si>
    <t>ВОЛЯ ПАВЕЛ АЛЕКСЕЕВИЧ, ИНН: 583604970241, Доля: 41.5%; ГАРМАШОВ АНДРЕЙ АЛЕКСАНДРОВИЧ, ИНН: 632149025143, Доля: 34.5%; АКЦИОНЕРНОЕ ОБЩЕСТВО "ВИТМИНС", ИНН: 9725098261, Доля: 24.0%</t>
  </si>
  <si>
    <t>ГАРМАШОВ АНДРЕЙ АЛЕКСАНДРОВИЧ</t>
  </si>
  <si>
    <t>ООО "БИОАЛЬФА"</t>
  </si>
  <si>
    <t>["10.20 Переработка и консервирование рыбы, ракообразных и моллюсков","10.92 Производство готовых кормов для непродуктивных животных","46.38 Торговля оптовая прочими пищевыми продуктами, включая рыбу, ракообразных и моллюсков","46.90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t>
  </si>
  <si>
    <t>141069, Россия, Московская обл., г. Королёв, ул. Советская (мкр. Первомайский), д. 41а, офис 4</t>
  </si>
  <si>
    <t>bioalfa@bk.ru</t>
  </si>
  <si>
    <t>ЗАБОТКИН АНДРЕЙ НИКОЛАЕВИЧ, ИНН: 505400800808, Доля: 34.0%; ВОЛКОВА ТАТЬЯНА НИКОЛАЕВНА, ИНН: 300302060798, Доля: 33.0%; САДЫКХОДЖАЕВ АЗИЗХОН АНВАРХОНОВИЧ, ИНН: 502417804932, Доля: 33.0%</t>
  </si>
  <si>
    <t>НОВИКОВ ВЛАДИМИР НИКОЛАЕВИЧ</t>
  </si>
  <si>
    <t>ООО "ОБЩЕПИТПРОМ"</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</si>
  <si>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животных","46.32.1 Торговля оптовая мясом и мясом птицы, включая субпродукты","46.38.22 Торговля оптовая кормами для домашних животных","47.11 Торговля розничная преимущественно пищевыми продуктами, включая напитки, и табачными изделиями в неспециализированных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магазинах","47.24.21 Торговля розничная мучными кондитерскими изделиями в специализированных магазинах","47.24.22 Торговля розничная кондитерскими изделиями, включая шоколад, в специализированных магазинах","47.24.3 Торговля розничная мороженым и замороженными десертами в специализированных магазинах","47.76.2 Торговля розничная домашними животными и кормами для домашних животных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рынков","49.41 Деятельность автомобильного грузового транспорта","49.41.3 Аренда грузового автомобильного транспорта с водителем","52.10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напитков","64.91 Деятельность по финансовой аренде (лизингу/сублизингу)","64.92 Предоставление займов и прочих видов кредита","64.99 Предоставление прочих финансовых услуг, кроме услуг по страхованию и пенсионному обеспечению, не включенных в другие группировки","68.10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основе","77.11 Аренда и лизинг легковых автомобилей и легких автотранспортных средств","77.39.27 Аренда и лизинг торгового оборудования","93.29.9 Деятельность зрелищно-развлекательная прочая, не включенная в другие группировки"]</t>
  </si>
  <si>
    <t>125047, Россия, г. Москва, ул. 1-я Тверская-Ямская, д. 13, стр. 1, эт/пом/ком 1/iv/2</t>
  </si>
  <si>
    <t>odmos66@bk.ru</t>
  </si>
  <si>
    <t>+7 (926) 7880281</t>
  </si>
  <si>
    <t>КАЧАЛКИН АРТЁМ ВЛАДИМИРОВИЧ, ИНН: 773179134090, Доля: 50.0%; ЛЬВОВ МИХАИЛ ВАЛЕНТИНОВИЧ, ИНН: 772509168765, Доля: 25.0%; БАРЫШЕВ АНДРЕЙ ВЛАДИМИРОВИЧ, ИНН: 503807790300, Доля: 25.0%</t>
  </si>
  <si>
    <t>КАЧАЛКИН АРТЁМ ВЛАДИМИРОВИЧ</t>
  </si>
  <si>
    <t>ООО "ПФМ РУС"</t>
  </si>
  <si>
    <t>["10.92 Производство готовых кормов для непродуктивных животных","46.31.2 Торговля оптовая консервированными овощами, фруктами и орехами","46.32.3 Торговля оптовая консервами из мяса и мяса птицы","46.34.1 Торговля оптовая соками, минеральной водой и прочими безалкогольными напитками","46.37 Торговля оптовая кофе, чаем, какао и пряностями","46.38 Торговля оптовая прочими пищевыми продуктами, включая рыбу, ракообразных и моллюсков","46.38.22 Торговля оптовая кормами для домашних животных","46.39 Торговля оптовая неспециализированная пищевыми продуктами, напитками и табачными изделиями","46.90 Торговля оптовая неспециализированная","47.76.2 Торговля розничная домашними животными и кормами для домашних животных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</si>
  <si>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117556, Россия, г. Москва, ул. Фруктовая, д. 7, корп. 1, офис 5</t>
  </si>
  <si>
    <t>abuse@timeweb.ru</t>
  </si>
  <si>
    <t>billing@timeweb.ru</t>
  </si>
  <si>
    <t>manager@timeweb.ru</t>
  </si>
  <si>
    <t>http://mr-dog.ru</t>
  </si>
  <si>
    <t>https://mrwildog.ru</t>
  </si>
  <si>
    <t>https://ms-cat.ru</t>
  </si>
  <si>
    <t>https://mscat.ru</t>
  </si>
  <si>
    <t>+7 (800) 3331081</t>
  </si>
  <si>
    <t>+7 (925) 0507797</t>
  </si>
  <si>
    <t>+7 (977) 3843337</t>
  </si>
  <si>
    <t>+7 (495) 6041081</t>
  </si>
  <si>
    <t>БАЛУЕВА ИРИНА ВЯЧЕСЛАВОВНА, ИНН: 770303329630, Доля: 100.0%</t>
  </si>
  <si>
    <t>КРОХИНА ЕКАТЕРИНА СЕРГЕЕВНА</t>
  </si>
  <si>
    <t>ООО "ВИЛЛЕГАС"</t>
  </si>
  <si>
    <t>["10.20 Переработка и консервирование рыбы, ракообразных и моллюсков","10.85 Производство готовых пищевых продуктов и блюд","10.89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животных","41.20 Строительство жилых и нежилых зданий","42.11 Строительство автомобильных дорог и автомагистралей","42.13 Строительство мостов и тоннелей","42.21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группировки","43.34 Производство малярных и стекольных работ","43.39 Производство прочих отделочных и завершающих работ","46.11 Деятельность агентов по оптовой торговле сельскохозяйственным сырьем, живыми животными, текстильным сырьем и полуфабрикатами","46.14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t>
  </si>
  <si>
    <t>142600, Россия, Московская обл., г. Орехово-Зуево, ул. Ленина, д. 78, офис 1</t>
  </si>
  <si>
    <t>Орехово-Зуево</t>
  </si>
  <si>
    <t>villegaskorma@mail.ru</t>
  </si>
  <si>
    <t>maria.cherepanova.99@mail.ru</t>
  </si>
  <si>
    <t>villegas19@mail.ru</t>
  </si>
  <si>
    <t>lend11.25032011@yandex.ru</t>
  </si>
  <si>
    <t>+7 (977) 3869177</t>
  </si>
  <si>
    <t>+7 (977) 8009757</t>
  </si>
  <si>
    <t>+7 (916) 5350375</t>
  </si>
  <si>
    <t>+7 (903) 9704698</t>
  </si>
  <si>
    <t>ГУБАНОВА НАДЕЖДА ВАСИЛЬЕВНА, ИНН: 507305302997, Доля: 100.0%</t>
  </si>
  <si>
    <t>ЛЕЖНЕВА ЕКАТЕРИНА АЛЕКСАНДРОВНА</t>
  </si>
  <si>
    <t>ООО "САВАЖ"</t>
  </si>
  <si>
    <t>["10.92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животных","46.31.2 Торговля оптовая консервированными овощами, фруктами и орехами","46.32 Торговля оптовая мясом и мясными продуктами","46.38.22 Торговля оптовая кормами для домашних животных","47.21 Торговля розничная фруктами и овощами в специализированных магазинах","47.22.3 Торговля розничная консервами из мяса и мяса птицы в специализированных магазинах","47.71 Торговля розничная одеждой в специализированных магазинах","47.73 Торговля розничная лекарственными средствами в специализированных магазинах (аптеках)","47.74.1 Торговля розничная изделиями, применяемыми в медицинских целях,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Интернет","75.00 Деятельность ветеринарная"]</t>
  </si>
  <si>
    <t>127299, Россия, г. Москва, ул. Большая Академическая, д. 20б, кв. 275</t>
  </si>
  <si>
    <t>sauvagecorp@yandex.ru</t>
  </si>
  <si>
    <t>sauvage-llc@yandex.com</t>
  </si>
  <si>
    <t>https://sauvage.ru</t>
  </si>
  <si>
    <t>+7 (964) 8766522</t>
  </si>
  <si>
    <t>+7 (937) 4314091</t>
  </si>
  <si>
    <t>+7 (967) 1211166</t>
  </si>
  <si>
    <t>МАРТЫНОВ ИЛЬЯ АЛЕКСАНДРОВИЧ, ИНН: 771378668167, Доля: 100.0%</t>
  </si>
  <si>
    <t>МАРТЫНОВ ИЛЬЯ АЛЕКСАНДРОВИЧ</t>
  </si>
  <si>
    <t>ООО "КВАДРО"</t>
  </si>
  <si>
    <t>["10.20.3 Производство пищевой рыбной муки или муки для корма животных","10.20.4 Производство муки грубого помола и растворимых компонентов из рыбы и прочих водных животных, непригодных для потребления человеком","10.61 Производство продуктов мукомольной и крупяной промышленности","10.91 Производство готовых кормов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животных","16.29.15 Производство топливных гранул и брикетов из отходов деревопереработки","46.11.34 Деятельность агентов по оптовой торговле кормами для сельскохозяйственных животных","46.16.2 Деятельность агентов по оптовой торговле одеждой, изделиями из меха и обувью","46.18.3 Деятельность агентов, специализирующихся на оптовой торговле техникой, оборудованием и инструментами, применяемыми в медицинских целях","46.18.9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группировки","46.21.14 Торговля оптовая кормами для сельскохозяйственных животных","46.38.22 Торговля оптовая кормами для домашних животных","46.46.1 Торговля оптовая фармацевтической продукцией","46.90 Торговля оптовая неспециализированная","47.19.1 Торговля розничная большим товарным ассортиментом с преобладанием непродовольственных товаров в неспециализированных магазинах","47.29.3 Торговля розничная прочими пищевыми продуктами в специализированных магазинах","47.74.1 Торговля розничная изделиями, применяемыми в медицинских целях, в специализированных магазинах","47.76.2 Торговля розничная домашними животными и кормами для домашних животных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доставкой","49.41.2 Перевозка грузов неспециализированными автотранспортными средствами","68.20.2 Аренда и управление собственным или арендованным нежилым недвижимым имуществом","82.92 Деятельность по упаковыванию товаров"]</t>
  </si>
  <si>
    <t>143712, Россия, Московская обл., пгт. Шаховская, д. Степаньково, ул. Промышленная, стр. 26</t>
  </si>
  <si>
    <t>Шаховская, д. Степаньково</t>
  </si>
  <si>
    <t>larina@petfood.ru</t>
  </si>
  <si>
    <t>https://petfood.ru</t>
  </si>
  <si>
    <t>+7 (495) 1657970</t>
  </si>
  <si>
    <t>+7 (968) 6030077</t>
  </si>
  <si>
    <t>+7 (495) 1497090</t>
  </si>
  <si>
    <t>СТЕПАНОВ АЛЕКСЕЙ ЕВГЕНЬЕВИЧ, ИНН: 773322560817, Доля: 100.0%</t>
  </si>
  <si>
    <t>КУРЫШОВА СВЕТЛАНА ВАЛЕНТИНОВНА</t>
  </si>
  <si>
    <t>ООО "ЛАКОМСТВО"</t>
  </si>
  <si>
    <t>["10.91 Производство готовых кормов для животных, содержащихся на фермах","10.92 Производство готовых кормов для непродуктивных животных","46.18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животных","46.90 Торговля оптовая неспециализированная"]</t>
  </si>
  <si>
    <t>141292, Россия, Московская обл., Пушкино г., г. Красноармейск, мкр. Северный, д. 10, кв. 94</t>
  </si>
  <si>
    <t>lakom3@mail.ru</t>
  </si>
  <si>
    <t>+7 (916) 9422292</t>
  </si>
  <si>
    <t>ЛИСТВИНОВ СЕРГЕЙ ВЯЧЕСЛАВОВИЧ, ИНН: 502300879076, Доля: 100.0%</t>
  </si>
  <si>
    <t>ЛИСТВИНОВ СЕРГЕЙ ВЯЧЕСЛАВОВИЧ</t>
  </si>
  <si>
    <t>ООО "КВАНТ МКБ"</t>
  </si>
  <si>
    <t>["10.92 Производство готовых кормов для непродуктивных животных","21.20.2 Производство материалов, применяемых в медицинских целях","46.17.1 Деятельность агентов по оптовой торговле пищевыми продуктами","46.90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t>
  </si>
  <si>
    <t>127566, Россия, г. Москва, проезд Высоковольтный, д. 21, стр. 5</t>
  </si>
  <si>
    <t>6779876@mail.ru</t>
  </si>
  <si>
    <t>suharlem@mail.ru</t>
  </si>
  <si>
    <t>suharlem@maim.ru</t>
  </si>
  <si>
    <t>http://maim.ru</t>
  </si>
  <si>
    <t>+7 (916) 6779876</t>
  </si>
  <si>
    <t>+7 (915) 2165764</t>
  </si>
  <si>
    <t>СУХАРЕВ ВЛАДИМИР ПЕТРОВИЧ, ИНН: 771540019001, Доля: 100.0%</t>
  </si>
  <si>
    <t>СУХАРЕВ АЛЕКСЕЙ ВЛАДИМИРОВИЧ</t>
  </si>
  <si>
    <t>ООО "КОНСЕРВАТОР-2"</t>
  </si>
  <si>
    <t>["10.11 Переработка и консервирование мяса","10.13 Производство продукции из мяса убойных животных и мяса птицы","10.20 Переработка и консервирование рыбы, ракообразных и моллюсков","10.32 Производство соковой продукции из фруктов и овощей","10.39 Прочие виды переработки и консервирования фруктов и овощей","10.85 Производство готовых пищевых продуктов и блюд","10.89 Производство прочих пищевых продуктов, не включенных в другие группировки","10.92 Производство готовых кормов для непродуктивных животных","46.38.22 Торговля оптовая кормами для домашних животных","46.49.49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рынков","52.29 Деятельность вспомогательная прочая, связанная с перевозками","56.21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питания","82.92 Деятельность по упаковыванию товаров"]</t>
  </si>
  <si>
    <t>125212, Россия, г. Москва, ул. Адмирала Макарова, д. 23, корп. 2, этаж подв.</t>
  </si>
  <si>
    <t>ekaterina.shpiz@gmail.com</t>
  </si>
  <si>
    <t>info@mysobbaka.ru</t>
  </si>
  <si>
    <t>otdel_info@inbox.ru</t>
  </si>
  <si>
    <t>+7 (495) 2057312</t>
  </si>
  <si>
    <t>+7 (964) 5012025</t>
  </si>
  <si>
    <t>+7 (981) 7633903</t>
  </si>
  <si>
    <t>ШИРВИНДТ АНАСТАСИЯ ИЛЬИНИЧНА, ИНН: 645295603764, Доля: 70.0%; ШПИЗ ЕКАТЕРИНА МИХАЙЛОВНА, ИНН: 774300290164, Доля: 30.0%</t>
  </si>
  <si>
    <t>ШПИЗ ЕКАТЕРИНА МИХАЙЛОВНА</t>
  </si>
  <si>
    <t>АО "ВЕСТА"</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</si>
  <si>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 Торговля оптовая прочими пищевыми продуктами, включая рыбу, ракообразных и моллюсков","47.76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</si>
  <si>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111024, Россия, г. Москва, ул. Авиамоторная, д. 50, стр. 2, помещ. з/н</t>
  </si>
  <si>
    <t>info@vesta-pets.ru</t>
  </si>
  <si>
    <t>bills@beget.com</t>
  </si>
  <si>
    <t>manager@beget.com</t>
  </si>
  <si>
    <t>https://vesta-pets.ru</t>
  </si>
  <si>
    <t>+7 (916) 9120908</t>
  </si>
  <si>
    <t>+7 (495) 7218088</t>
  </si>
  <si>
    <t>+7 (800) 7000608</t>
  </si>
  <si>
    <t>+7 (812) 3854136</t>
  </si>
  <si>
    <t>ТЫРТЫЧКО ВЯЧЕСЛАВ ВЛАДИМИРОВИЧ, ИНН: 500707857636, Доля: 100.0%</t>
  </si>
  <si>
    <t>ТЫРТЫЧКО ВЯЧЕСЛАВ ВЛАДИМИРОВИЧ</t>
  </si>
  <si>
    <t>ООО "ЭНИФУД"</t>
  </si>
  <si>
    <t>["10.11 Переработка и консервирование мяса","10.12 Производство и консервирование мяса птицы","10.13.3 Производство мясных (мясосодержащих) консервов","10.20 Переработка и консервирование рыбы, ракообразных и моллюсков","10.92 Производство готовых кормов для непродуктивных животных","46.32.3 Торговля оптовая консервами из мяса и мяса птицы","46.38.1 Торговля оптовая рыбой, ракообразными и моллюсками, консервами и пресервами из рыбы и морепродуктов","46.38.22 Торговля оптовая кормами для домашних животных","46.73 Торговля оптовая лесоматериалами, строительными материалами и санитарно-техническим оборудованием","46.75.1 Торговля оптовая удобрениями и агрохимическими продуктами","46.90 Торговля оптовая неспециализированная","47.22.3 Торговля розничная консервами из мяса и мяса птицы в специализированных магазинах","47.23.2 Торговля розничная консервами из рыбы и морепродуктов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рынков","53.20.31 Деятельность по курьерской доставке различными видами транспорта","68.20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основе","75.00 Деятельность ветеринарная","96.09 Предоставление прочих персональных услуг, не включенных в другие группировки"]</t>
  </si>
  <si>
    <t>143316, Россия, Московская обл., Наро-Фоминск г., д. Таширово, стр. 5т/глф</t>
  </si>
  <si>
    <t>д. Таширово</t>
  </si>
  <si>
    <t>pro.sert@mail.ru</t>
  </si>
  <si>
    <t>zakazanifood@yandex.ru</t>
  </si>
  <si>
    <t>+7 (923) 7773477</t>
  </si>
  <si>
    <t>+7 (925) 2476323</t>
  </si>
  <si>
    <t>+7 (991) 9896181</t>
  </si>
  <si>
    <t>+7 (991) 9493290</t>
  </si>
  <si>
    <t>ВАНХАНЕН ИВАН ПАВЛОВИЧ, ИНН: 910226325883, Доля: 100.0%</t>
  </si>
  <si>
    <t>ВАНХАНЕН ПАВЕЛ ИВАНОВИЧ</t>
  </si>
  <si>
    <t>ООО "ПФМ"</t>
  </si>
  <si>
    <t>["10.13 Производство продукции из мяса убойных животных и мяса птицы","10.91.1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животных","46.11.34 Деятельность агентов по оптовой торговле кормами для сельскохозяйственных животных","46.32 Торговля оптовая мясом и мясными продуктами","46.32.3 Торговля оптовая консервами из мяса и мяса птицы","46.38.22 Торговля оптовая кормами для домашних животных","46.90 Торговля оптовая неспециализированная","47.76.2 Торговля розничная домашними животными и кормами для домашних животных в специализированных магазинах","47.99 Торговля розничная прочая вне магазинов, палаток, рынков","52.10 Деятельность по складированию и хранению"]</t>
  </si>
  <si>
    <t>141207, Россия, Московская обл., г. Пушкино, ул. 50 лет Комсомола, д. 49, помещ. 008/12, этаж 2</t>
  </si>
  <si>
    <t>Пушкино</t>
  </si>
  <si>
    <t>sergey_krokhin@pfmrus.ru</t>
  </si>
  <si>
    <t>info@pfmrus.ru</t>
  </si>
  <si>
    <t>https://pfmrus.ru</t>
  </si>
  <si>
    <t>+7 (916) 7945725</t>
  </si>
  <si>
    <t>КРОХИН СЕРГЕЙ АЛЕКСАНДРОВИЧ, ИНН: 770304165181, Доля: 37.5%; ЖУК ВЛАДИМИР АЛЕКСАНДРОВИЧ, ИНН: 501700079756, Доля: 37.5%; ПУЗАНОВ АЛЕКСАНДР ВЛАДИМИРОВИЧ, ИНН: 772414487594, Доля: 25.0%</t>
  </si>
  <si>
    <t>КРОХИН СЕРГЕЙ АЛЕКСАНДРОВИЧ</t>
  </si>
  <si>
    <t>ООО "ТПК ХАНТЕР"</t>
  </si>
  <si>
    <t>["01.46.11 Выращивание свиней на мясо","10.11 Переработка и консервирование мяса","10.12 Производство и консервирование мяса птицы","10.13 Производство продукции из мяса убойных животных и мяса птицы","10.86.3 Производство мясной продукции для детского питания, в том числе из мяса птицы","10.91 Производство готовых кормов для животных, содержащихся на фермах","10.92 Производство готовых кормов для непродуктивных животных","46.32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птицы","46.38.29 Торговля оптовая прочими пищевыми продуктами, не включенными в другие группировки","47.22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магазинах","47.29 Торговля розничная прочими пищевыми продуктами в специализированных магазинах"]</t>
  </si>
  <si>
    <t>141031, Россия, Московская обл., г. Мытищи, п. Вешки, ул. Архитектора Жолтовского, стр. 1а/1, офис 4</t>
  </si>
  <si>
    <t>Мытищи, п. Вешки</t>
  </si>
  <si>
    <t>ganov.av@mail.ru</t>
  </si>
  <si>
    <t>info@dogbone.ru</t>
  </si>
  <si>
    <t>mir-myasa@rambler.ru</t>
  </si>
  <si>
    <t>https://dogbone.ru</t>
  </si>
  <si>
    <t>+7 (495) 0326946</t>
  </si>
  <si>
    <t>+7 (969) 0159944</t>
  </si>
  <si>
    <t>ГАНОВ АЛЕКСАНДР ВЛАДИМИРОВИЧ, ИНН: 503224929373, Доля: 100.0%</t>
  </si>
  <si>
    <t>ЗАРИПОВ РУСЛАН РАМИЛЬЕВИЧ</t>
  </si>
  <si>
    <t>ООО "ОЛИМПИК"</t>
  </si>
  <si>
    <t>["10.92 Производство готовых кормов для непродуктивных животных","46.38 Торговля оптовая прочими пищевыми продуктами, включая рыбу, ракообразных и моллюсков","47.76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t>
  </si>
  <si>
    <t>141345, Россия, Московская обл., Сергиев Посад г., п. Беликово, д. 21, стр. 2</t>
  </si>
  <si>
    <t>п. Беликово</t>
  </si>
  <si>
    <t>glipetofficial@mail.ru</t>
  </si>
  <si>
    <t>+7 (985) 1685839</t>
  </si>
  <si>
    <t>ГЛИНКИН АНТОН ВЛАДИМИРОВИЧ, ИНН: 503809658089, Доля: 100.0%</t>
  </si>
  <si>
    <t>ГЛИНКИН АНТОН ВЛАДИМИРОВИЧ</t>
  </si>
  <si>
    <t>ООО "БИОЛОГИЯ"</t>
  </si>
  <si>
    <t>["10.92 Производство готовых кормов для непродуктивных животных","20.15.8 Производство удобрений животного или растительного происхождения","46.38.25 Торговля оптовая солью","46.49 Торговля оптовая прочими бытовыми товарами","46.61.2 Торговля оптовая садово-огородной техникой и инвентарем","46.75 Торговля оптовая химическими продуктами","46.75.1 Торговля оптовая удобрениями и агрохимическими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Интернет-аукционы","49.41.2 Перевозка грузов неспециализированными автотранспортными средствами","52.29 Деятельность вспомогательная прочая, связанная с перевозками"]</t>
  </si>
  <si>
    <t>143502, Россия, Московская обл., г. Истра, ул. Центральная, д. 3а, этаж 1</t>
  </si>
  <si>
    <t>Истра</t>
  </si>
  <si>
    <t>biologia.info@yandex.ru</t>
  </si>
  <si>
    <t>+7 (911) 0490579</t>
  </si>
  <si>
    <t>МАКАРОВА ЕЛЕНА НИКОЛАЕВНА, ИНН: 350700083228, Доля: 100.0%</t>
  </si>
  <si>
    <t>МАКАРОВА ЕЛЕНА НИКОЛАЕВНА</t>
  </si>
  <si>
    <t>ООО "СПЕЦДЕТАЛЬ"</t>
  </si>
  <si>
    <t>["10.91 Производство готовых кормов для животных, содержащихся на фермах","10.92 Производство готовых кормов для непродуктивных животных","31.01 Производство мебели для офисов и предприятий торговли","31.09 Производство прочей мебели","41.20 Строительство жилых и нежилых зданий","43.31 Производство штукатурных работ","43.33 Работы по устройству покрытий полов и облицовке стен","43.34.1 Производство малярных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группировки","46.15 Деятельность агентов по оптовой торговле мебелью, бытовыми товарами, скобяными, ножевыми и прочими металлическими изделиями","46.38.22 Торговля оптовая кормами для домашних животных","46.41.1 Торговля оптовая текстильными изделиями, кроме текстильных галантерейных изделий","46.43 Торговля оптовая бытовыми электротоварами","46.47 Торговля оптовая мебелью, коврами и осветительным оборудованием","46.49 Торговля оптовая прочими бытовыми товарами","46.65 Торговля оптовая офисной мебелью","46.66 Торговля оптовая прочей офисной техникой и оборудованием","46.73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магазинах","47.99 Торговля розничная прочая вне магазинов, палаток, рынков","49.41 Деятельность автомобильного грузового транспорта","49.42 Предоставление услуг по перевозкам"]</t>
  </si>
  <si>
    <t>142600, Россия, Московская обл., г. Орехово-Зуево, ул. Ленина, д. 105, корп. а, этаж 3, ком. 10</t>
  </si>
  <si>
    <t>info19mirmebeli@gmail.com</t>
  </si>
  <si>
    <t>ВЕЛЬМИСЕВ СЕРГЕЙ АЛЕКСАНДРОВИЧ, ИНН: 503410290197, Доля: 100.0%</t>
  </si>
  <si>
    <t>ВЕЛЬМИСЕВ СЕРГЕЙ АЛЕКСАНДРОВИЧ</t>
  </si>
  <si>
    <t>ООО "ФУДТЕХ"</t>
  </si>
  <si>
    <t>["10.13.3 Производство мясных (мясосодержащих) консервов","10.13.6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пищу","10.20.3 Производство пищевой рыбной муки или муки для корма животных","10.20.4 Производство муки грубого помола и растворимых компонентов из рыбы и прочих водных животных, непригодных для потребления человеком","10.39 Прочие виды переработки и консервирования фруктов и овощей","10.92 Производство готовых кормов для непродуктивных животных","46.18.99 Деятельность агентов, специализирующихся на оптовой торговле прочими товарами, не включенными в другие группировки","46.38.22 Торговля оптовая кормами для домашних животных","46.90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рынков","52.10.9 Хранение и складирование прочих грузов","52.21.29 Деятельность вспомогательная прочая, связанная с автомобильным транспортом","52.29 Деятельность вспомогательная прочая, связанная с перевозками","53.20.3 Деятельность курьерская","53.20.39 Деятельность курьерская прочая","70.10 Деятельность головных офисов","70.22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мнения","82.11 Деятельность административно-хозяйственная комплексная по обеспечению работы организации","82.20 Деятельность центров обработки телефонных вызовов","82.30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t>
  </si>
  <si>
    <t>143403, Россия, Московская обл., г. Красногорск, ул. Советская, д. 4, помещ. 133</t>
  </si>
  <si>
    <t>Красногорск</t>
  </si>
  <si>
    <t>33@0762.ru</t>
  </si>
  <si>
    <t>info@0762.ru</t>
  </si>
  <si>
    <t>https://0762.ru</t>
  </si>
  <si>
    <t>+7 (964) 6290027</t>
  </si>
  <si>
    <t>+7 (499) 7000762</t>
  </si>
  <si>
    <t>ИВАНИНОВ ФЁДОР ВАСИЛЬЕВИЧ, ИНН: 701735651200, Доля: 100.0%</t>
  </si>
  <si>
    <t>ИВАНИНОВ ФЁДОР ВАСИЛЬЕВИЧ</t>
  </si>
  <si>
    <t>ООО "ЭТС"</t>
  </si>
  <si>
    <t>["02.40 Предоставление услуг в области лесоводства и лесозаготовок","10.61.3 Производство крупы и гранул из зерновых культур","10.89.7 Производство рационов питания и пайков","10.92 Производство готовых кормов для непродуктивных животных","16.10 Распиловка и строгание древесины","16.23 Производство прочих деревянных строительных конструкций и столярных изделий","16.24 Производство деревянной тары","16.29 Производство прочих деревянных изделий","20.11 Производство промышленных газов","20.13 Производство прочих основных неорганических химических веществ","20.14 Производство прочих основных органических химических веществ","20.15.3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удобрений","20.15.7 Производство удобрений, не включенных в другие группировки","20.16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группировки","20.60 Производство химических волокон","22.11 Производство резиновых шин, покрышек и камер","22.19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изделий","23.20 Производство огнеупорных изделий","23.31 Производство керамических плит и плиток","23.32 Производство кирпича, черепицы и прочих строительных изделий из обожженной глины","23.41 Производство хозяйственных и декоративных керамических изделий","23.61 Производство изделий из бетона для использования в строительстве","23.99 Производство прочей неметаллической минеральной продукции, не включенной в другие группировки","24.10 Производство чугуна, стали и ферросплавов","24.20 Производство стальных труб, полых профилей и фитингов","24.51 Литье чугуна","24.52 Литье стали","24.53 Литье легких металлов","24.54 Литье прочих цветных металлов","38.11 Сбор неопасных отходов","38.12 Сбор опасных отходов","38.21 Обработка и утилизация неопасных отходов","38.32 Утилизация отсортированных материалов","38.32.11 Сортировка металлических материалов для дальнейшего использования","38.32.12 Сортировка неметаллических материалов для дальнейшего использования","38.32.2 Обработка (переработка) лома и отходов драгоценных металлов","38.32.3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металлов","38.32.41 Заготовка, хранение, переработка и реализация лома и отходов металлов, содержащих медь","38.32.42 Заготовка, хранение, переработка и реализация лома и отходов металлов, содержащих никель"]</t>
  </si>
  <si>
    <t>140060, Россия, Московская обл., Люберцы г., пгт. Октябрьский, ул. Ленина, д. 47, стр. 1, офис 4</t>
  </si>
  <si>
    <t>пгт. Октябрьский</t>
  </si>
  <si>
    <t>master-st@bk.ru</t>
  </si>
  <si>
    <t>7608195@gmail.com</t>
  </si>
  <si>
    <t>sadkovn56@gmail.com</t>
  </si>
  <si>
    <t>+7 (965) 1128035</t>
  </si>
  <si>
    <t>+7 (985) 2100819</t>
  </si>
  <si>
    <t>САДКОВ ИГОРЬ ВАСИЛЬЕВИЧ, ИНН: 772981266905, Доля: 50.0%; ДОБРОСЕЛЬСКАЯ ИРИНА ВЛАДИМИРОВНА, ИНН: 773002729976, Доля: 30.0%; ИВАНОВ АЛЕКСАНДР ВИКТОРОВИЧ, ИНН: 770202696708, Доля: 20.0%</t>
  </si>
  <si>
    <t>САДКОВ АРТЁМ ИГОРЕВИЧ</t>
  </si>
  <si>
    <t>ООО "КОРМОТЕМА"</t>
  </si>
  <si>
    <t>["10.32 Производство соковой продукции из фруктов и овощей","10.92 Производство готовых кормов для непродуктивных животных","46.34.1 Торговля оптовая соками, минеральной водой и прочими безалкогольными напитками","46.38.22 Торговля оптовая кормами для домашних животных","47.29.35 Торговля розничная чаем, кофе, какао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</si>
  <si>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119019, Россия, г. Москва, ул. Арбат, д. 6/2, помещ. 1/1/4</t>
  </si>
  <si>
    <t>n1iki7a@gmail.com</t>
  </si>
  <si>
    <t>+7 (929) 6512829</t>
  </si>
  <si>
    <t>НГУЕН ВАН ЧАНГ, ИНН: 771009234016, Доля: 90.0%; ТКАЧУК НИКИТА АЛЕКСАНДРОВИЧ, ИНН: 773007942634, Доля: 10.0%</t>
  </si>
  <si>
    <t>ТКАЧУК НИКИТА АЛЕКСАНДРОВИЧ</t>
  </si>
  <si>
    <t>ООО "ЗДОРОВЫЙ ПИТОМЕЦ"</t>
  </si>
  <si>
    <t>["10.91 Производство готовых кормов для животных, содержащихся на фермах","10.92 Производство готовых кормов для непродуктивных животных","46.18.1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средствами","46.38.22 Торговля оптовая кормами для домашних животных","46.46 Торговля оптовая фармацевтической продукцией","47.19 Торговля розничная прочая в неспециализированных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магазинах","47.74.1 Торговля розничная изделиями, применяемыми в медицинских целях, в специализированных магазинах","47.74.2 Торговля розничная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деятельность","68.10 Покупка и продажа собственного недвижимого имущества","68.10.1 Подготовка к продаже собственного недвижимого имущества","68.10.11 Подготовка к продаже собственного жилого недвижимого имущества","68.10.12 Подготовка к продаже собственного нежилого недвижимого имущества","68.10.2 Покупка и продажа собственного недвижимого имущества","68.20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имуществом","75.00 Деятельность ветеринарная","75.00.1 Деятельность ветеринарная для сельскохозяйственных животных","75.00.2 Деятельность ветеринарная для домашних животных","77.40 Аренда интеллектуальной собственности и подобной продукции, кроме авторских прав","96.09 Предоставление прочих персональных услуг, не включенных в другие группировки"]</t>
  </si>
  <si>
    <t>143395, Россия, Московская обл., Наро-Фоминск г., д. Алабино, ул. Профессиональная, д. 7, помещ. 1/блок вспомогательных служб</t>
  </si>
  <si>
    <t>д. Алабино</t>
  </si>
  <si>
    <t>zdor.pit22@mail.ru</t>
  </si>
  <si>
    <t>+7 (989) 1146993</t>
  </si>
  <si>
    <t>ФЕДОРОВА ОЛЬГА ВЯЧЕСЛАВОВНА, ИНН: 773001274211, Доля: 100.0%</t>
  </si>
  <si>
    <t>ФЕДОРОВА ОЛЬГА ВЯЧЕСЛАВОВНА</t>
  </si>
  <si>
    <t>ООО "ТД"АРТИ"</t>
  </si>
  <si>
    <t>["10.12 Производство и консервирование мяса птицы","10.13 Производство продукции из мяса убойных животных и мяса птицы","10.91 Производство готовых кормов для животных, содержащихся на фермах","10.92 Производство готовых кормов для непродуктивных животных","20.41 Производство мыла и моющих, чистящих и полирующих средств","46.32.2 Торговля оптовая продуктами из мяса и мяса птицы","46.33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моллюсков","46.44.1 Торговля оптовая изделиями из керамики и стекла","46.75 Торговля оптовая химическими продуктами","47.11 Торговля розничная преимущественно пищевыми продуктами, включая напитки, и табачными изделиями в неспециализированных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магазинах","47.29.1 Торговля розничная молочными продуктами и яйцами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t>
  </si>
  <si>
    <t>143981, Россия, Московская обл., г. Балашиха, ул. Центральная (мкр. Кучино), д. 47, кв. 162</t>
  </si>
  <si>
    <t>Балашиха</t>
  </si>
  <si>
    <t>shmops2023@mail.ru</t>
  </si>
  <si>
    <t>lifemops@yandex.ru</t>
  </si>
  <si>
    <t>+7 (926) 0956375</t>
  </si>
  <si>
    <t>БАГДАСАРЯН АРМАН КАМОЕВИЧ, ИНН: 463255413513, Доля: 100.0%</t>
  </si>
  <si>
    <t>БАГДАСАРЯН АРМАН КАМОЕВИЧ</t>
  </si>
  <si>
    <t>ООО "НПО АЛЬЯНС"</t>
  </si>
  <si>
    <t>["03.22 Рыбоводство пресноводное","10.13 Производство продукции из мяса убойных животных и мяса птицы","10.91 Производство готовых кормов для животных, содержащихся на фермах","10.92 Производство готовых кормов для непродуктивных животных","46.17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товаров","46.39 Торговля оптовая неспециализированная пищевыми продуктами, напитками и табачными изделиями","46.69 Торговля оптовая прочими машинами и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магазинах","47.99 Торговля розничная прочая вне магазинов, палаток, рынков","49.41 Деятельность автомобильного грузового транспорта","52.29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основе","77.39.27 Аренда и лизинг торгового оборудования","96.09 Предоставление прочих персональных услуг, не включенных в другие группировки","97.00 Деятельность домашних хозяйств с наемными работниками"]</t>
  </si>
  <si>
    <t>117042, Россия, г. Москва, ул. Южнобутовская, д. 97, помещ. 2/п</t>
  </si>
  <si>
    <t>mir-x@mail.ru</t>
  </si>
  <si>
    <t>npoaliance@yandex.ru</t>
  </si>
  <si>
    <t>+7 (916) 0856778</t>
  </si>
  <si>
    <t>+7 (925) 2533375</t>
  </si>
  <si>
    <t>ДЖАББАРОВ ТЕМУРБЕК ИСМАДИЯРОВИЧ, ИНН: 773013918608, Доля: 100.0%</t>
  </si>
  <si>
    <t>ДЖАББАРОВ САРДОР ИСМАДИЯРОВИЧ</t>
  </si>
  <si>
    <t>ООО "ВИТАВИМ"</t>
  </si>
  <si>
    <t>["03.22 Рыбоводство пресноводное","10.91 Производство готовых кормов для животных, содержащихся на фермах","10.92 Производство готовых кормов для непродуктивных животных","46.21.14 Торговля оптовая кормами для сельскохозяйственных животных","46.38.22 Торговля оптовая кормами для домашних животных","46.69 Торговля оптовая прочими машинами и оборудованием","46.90 Торговля оптовая неспециализированная","47.78 Торговля розничная прочая в специализированных магазинах","49.20 Деятельность железнодорожного транспорта: грузовые перевозки","49.41 Деятельность автомобильного грузового транспорта","50.20 Деятельность морского грузового транспорта","51.21 Деятельность грузового воздушного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t>
  </si>
  <si>
    <t>109382, Россия, г. Москва, ул. Люблинская, д. 141, помещ. 2</t>
  </si>
  <si>
    <t>vvita@inbox.ru</t>
  </si>
  <si>
    <t>+7 (903) 7655315</t>
  </si>
  <si>
    <t>ФИЛАТОВ ВИТАЛИЙ МИХАЙЛОВИЧ, ИНН: 772320184788, Доля: 100.0%</t>
  </si>
  <si>
    <t>ФИЛАТОВ ВИТАЛИЙ МИХАЙЛОВИЧ</t>
  </si>
  <si>
    <t>ООО "АВОКАДО ТРЕЙД КОМПАНИ"</t>
  </si>
  <si>
    <t>В процессе банкротства</t>
  </si>
  <si>
    <t>["10.13 Производство продукции из мяса убойных животных и мяса птицы","10.41 Производство масел и жиров","10.61 Производство продуктов мукомольной и крупяной промышленности","10.73 Производство макаронных изделий кускуса и аналогичных мучных изделий","10.89 Производство прочих пищевых продуктов, не включенных в другие группировки","10.92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полуфабрикатами","46.11.1 Деятельность агентов по оптовой торговле живыми животными","46.11.2 Деятельность агентов по оптовой торговле цветами и растениями","46.11.3 Деятельность агентов по оптовой торговле прочим сельскохозяйственным сырьем, текстильным сырьем и полуфабрикатами","46.11.31 Деятельность агентов по оптовой торговле зерном","46.11.32 Деятельность агентов по оптовой торговле семенами, кроме семян масличных культур","46.11.33 Деятельность агентов по оптовой торговле семенами масличных культур","46.11.34 Деятельность агентов по оптовой торговле кормами для сельскохозяйственных животных","46.11.39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напитками","46.17.22 Деятельность агентов по оптовой торговле алкогольными напитками, кроме пива","46.17.23 Деятельность агентов по оптовой торговле пивом","46.17.3 Деятельность агентов по оптовой торговле табачными изделиями","46.21.1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группировки","46.31 Торговля оптовая фруктами и овощами","46.32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 Торговля оптовая напитками","46.34.1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спирт","46.34.21 Торговля оптовая алкогольными напитками, кроме пива и пищевого этилового спирта","46.34.22 Торговля оптовая пищевым этиловым спиртом","46.34.23 Торговля оптовая пивом","46.34.3 Закупка вина в больших емкостях с последующим розливом в мелкую тару без переработки","46.36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изделиями","46.36.3 Торговля оптовая мучными кондитерскими изделиями","46.36.4 Торговля оптовая хлебобулочными изделиями","46.38 Торговля оптовая прочими пищевыми продуктами, включая рыбу, ракообразных и моллюсков"]</t>
  </si>
  <si>
    <t>115162, Россия, г. Москва, ул. Шухова, д. 14, стр. 11, помещ 50</t>
  </si>
  <si>
    <t>avokadoof@gmail.com</t>
  </si>
  <si>
    <t>avokadotkof@gmail.com</t>
  </si>
  <si>
    <t>info@pesandkot.com</t>
  </si>
  <si>
    <t>+7 (915) 6050997</t>
  </si>
  <si>
    <t>+7 (910) 6286313</t>
  </si>
  <si>
    <t>+7 (910) 9078601</t>
  </si>
  <si>
    <t>СЕРГАН МАКСИМ ЮРЬЕВИЧ, ИНН: 622999751087, Доля: 100.0%</t>
  </si>
  <si>
    <t>ДРОНЮК ВАДИМ ВИКТОРОВИЧ</t>
  </si>
  <si>
    <t>КОНКУРСНЫЙ УПРАВЛЯЮЩИЙ</t>
  </si>
  <si>
    <t>ООО "БОСЕРОН"</t>
  </si>
  <si>
    <t>["10.91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</si>
  <si>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142050, Россия, Московская обл., г. Домодедово, ул. Станционная (мкр. Белые Столбы), стр. 8б/1</t>
  </si>
  <si>
    <t>tatyanapodzyban@gmail.com</t>
  </si>
  <si>
    <t>d-polukarov@yandex.ru</t>
  </si>
  <si>
    <t>+7 (925) 2475331</t>
  </si>
  <si>
    <t>+7 (916) 6316010</t>
  </si>
  <si>
    <t>БУКОВ ДМИТРИЙ НИКОЛАЕВИЧ, ИНН: 772005497721, Доля: 100.0%</t>
  </si>
  <si>
    <t>БУКОВ ДАНИИЛ ДМИТРИЕВИЧ</t>
  </si>
  <si>
    <t>ООО "АДИРЕКТ"</t>
  </si>
  <si>
    <t>["01.16.3 Выращивание обыкновенной конопли","02.30 Сбор и заготовка пищевых лесных ресурсов, недревесных лесных ресурсов и лекарственных растений","03.11 Рыболовство морское","03.12 Рыболовство пресноводное","03.21 Рыбоводство морское","03.22 Рыбоводство пресноводное","10.20 Переработка и консервирование рыбы, ракообразных и моллюсков","10.41 Производство масел и жиров","10.83 Производство чая и кофе","10.89 Производство прочих пищевых продуктов, не включенных в другие группировки","10.89.3 Производство растительных соков и экстрактов, пептических веществ, растительных клеев и загустителей","10.89.8 Производство биологически активных добавок к пище","10.91.3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животных","13.10 Подготовка и прядение текстильных волокон","13.20 Производство текстильных тканей","13.94 Производство канатов, веревок, шпагата и сетей","17.11.1 Производство целлюлозы","20.59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ветеринарии","21.20.2 Производство материалов, применяемых в медицинских целях","46.19 Деятельность агентов по оптовой торговле универсальным ассортиментом товаров","46.38 Торговля оптовая прочими пищевыми продуктами, включая рыбу, ракообразных и моллюсков","46.38.22 Торговля оптовая кормами для домашних животных","46.45 Торговля оптовая парфюмерными и косметическими товарами","46.46 Торговля оптовая фармацевтической продукцией","46.90 Торговля оптовая неспециализированная","47.29.3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магазинах","49.41 Деятельность автомобильного грузового транспорта","49.42 Предоставление услуг по перевозкам","52.10 Деятельность по складированию и хранению","52.10.9 Хранение и складирование прочих грузов","52.24 Транспортная обработка грузов","52.29 Деятельность вспомогательная прочая, связанная с перевозками","72.11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наук","82.92 Деятельность по упаковыванию товаров"]</t>
  </si>
  <si>
    <t>123458, Россия, г. Москва, ул. Твардовского, д. 8, стр. 1, помещ./этаж 1/3</t>
  </si>
  <si>
    <t>ymargarita@list.ru</t>
  </si>
  <si>
    <t>+7 (925) 7299053</t>
  </si>
  <si>
    <t>+7 (961) 5703900</t>
  </si>
  <si>
    <t>ИВАНОВА НАДЕЖДА ГЕОРГИЕВНА, ИНН: 780622620698, Доля: 100.0%</t>
  </si>
  <si>
    <t>ИВАНОВА НАДЕЖДА ГЕОРГИЕВНА</t>
  </si>
  <si>
    <t>ООО "НЕОН"</t>
  </si>
  <si>
    <t>В процессе ликвидации</t>
  </si>
  <si>
    <t>["10.20.3 Производство пищевой рыбной муки или муки для корма животных","10.91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</si>
  <si>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111402, Россия, г. Москва, ул. Кетчерская, д. 16, офис 305а</t>
  </si>
  <si>
    <t>neonfishfood@gmail.com</t>
  </si>
  <si>
    <t>+7 (915) 2956912</t>
  </si>
  <si>
    <t>+7 (985) 1313340</t>
  </si>
  <si>
    <t>ТЕПЛИЦКИЙ БОРИС ЛЕОНИДОВИЧ, ИНН: 772635712590, Доля: 100.0%</t>
  </si>
  <si>
    <t>ОВЧИННИКОВА ЕКАТЕРИНА АЛЕКСАНДРОВНА</t>
  </si>
  <si>
    <t>ЛИКВИДАТОР</t>
  </si>
  <si>
    <t>ООО "РЕТИВ"</t>
  </si>
  <si>
    <t>["01.49 Разведение прочих животных","10.91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животных","46.23 Торговля оптовая живыми животными","46.32.1 Торговля оптовая мясом и мясом птицы, включая субпродукты","46.32.2 Торговля оптовая продуктами из мяса и мяса птицы","46.38.2 Торговля оптовая прочими пищевыми продуктами","46.46 Торговля оптовая фармацевтической продукцией","46.90 Торговля оптовая неспециализированная","47.19 Торговля розничная прочая в неспециализированных магазинах","47.22 Торговля розничная мясом и мясными продуктами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ветеринарная","96.03 Организация похорон и представление связанных с ними услуг","96.09 Предоставление прочих персональных услуг, не включенных в другие группировки"]</t>
  </si>
  <si>
    <t>117105, Россия, г. Москва, ш. Варшавское, д. 29, корп. 2</t>
  </si>
  <si>
    <t>e-mailinfo@profodder.com</t>
  </si>
  <si>
    <t>info@profodder.com</t>
  </si>
  <si>
    <t>https://profodder-rus.ru</t>
  </si>
  <si>
    <t>+7 (800) 5008922</t>
  </si>
  <si>
    <t>ПЕЧЕРСКИЙ АЛЕКСЕЙ РОМАНОВИЧ, ИНН: 772606254427, Доля: 100.0%</t>
  </si>
  <si>
    <t>ПЕЧЕРСКИЙ АЛЕКСЕЙ РОМАНОВИЧ</t>
  </si>
  <si>
    <t>ООО "СТМ 300"</t>
  </si>
  <si>
    <t>["10.92 Производство готовых кормов для непродуктивных животных","46.38.22 Торговля оптовая кормами для домашних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t>
  </si>
  <si>
    <t>140103, Россия, Московская обл., г. Раменское, ш. 4-й км Донинское, стр. 14и</t>
  </si>
  <si>
    <t>Раменское</t>
  </si>
  <si>
    <t>info.ctm.zoo@mail.ru</t>
  </si>
  <si>
    <t>https://vk.com/nord_craft_korm</t>
  </si>
  <si>
    <t>+7 (925) 8255747</t>
  </si>
  <si>
    <t>ДРОЗДОВА ЕЛЕНА ВЯЧЕСЛАВОВНА, ИНН: 504002572678, Доля: 66.0%; ЗАЦЕПИНА ДАРЬЯ СЕРГЕЕВНА, ИНН: 772148323000, Доля: 34.0%</t>
  </si>
  <si>
    <t>ДРОЗДОВ АНТОН ВЯЧЕСЛАВОВИЧ</t>
  </si>
  <si>
    <t>ООО "ТД "АТЛАНТИК"</t>
  </si>
  <si>
    <t>["10.91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животных","46.90 Торговля оптовая неспециализированная","47.76.2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</si>
  <si>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142600, Россия, Московская обл., г. Орехово-Зуево, ул. Бабушкина, д. 2а/522, помещ. 4</t>
  </si>
  <si>
    <t>vav1966@yandex.ru</t>
  </si>
  <si>
    <t>ПРОРЕШНАЯ НАТАЛЬЯ ГРИГОРЬЕВНА, ИНН: 504015927335, Доля: 100.0%</t>
  </si>
  <si>
    <t>СКОМСКОВА ЕЛИЗАВЕТА АЛЕКСЕЕВНА</t>
  </si>
  <si>
    <t>ООО "АМАРАНТ"</t>
  </si>
  <si>
    <t>["10.13.1 Производство соленого, вареного, запеченого, копченого, вяленого и прочего мяса","10.13.4 Производство мясных (мясосодержащих) полуфабрикатов","10.13.6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моллюсков","10.39 Прочие виды переработки и консервирования фруктов и овощей","10.39.2 Переработка и консервирование фруктов и орехов","10.39.9 Предоставление услуг по тепловой обработке и прочим способам подготовки овощей и фруктов для консервирования","10.72.1 Производство хрустящих хлебцев, сухарей и прочих сухарных хлебобулочных изделий","10.89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животных","25.11 Производство строительных металлических конструкций, изделий и их частей","25.12 Производство металлических дверей и окон","25.61 Обработка металлов и нанесение покрытий на металлы","25.62 Обработка металлических изделий механическая","25.99 Производство прочих готовых металлических изделий, не включенных в другие группировки","25.99.2 Производство прочих металлических изделий","46.17.1 Деятельность агентов по оптовой торговле пищевыми продуктами","46.19 Деятельность агентов по оптовой торговле универсальным ассортиментом товаров","46.21.14 Торговля оптовая кормами для сельскохозяйственных животных","46.31 Торговля оптовая фруктами и овощами","46.31.1 Торговля оптовая свежими овощами, фруктами и орехами","46.31.11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субпродукты","46.32.2 Торговля оптовая продуктами из мяса и мяса птицы","46.38 Торговля оптовая прочими пищевыми продуктами, включая рыбу, ракообразных и моллюсков","46.38.2 Торговля оптовая прочими пищевыми продуктами","46.38.22 Торговля оптовая кормами для домашних животных","46.39.1 Торговля оптовая неспециализированная замороженными пищевыми продуктами","47.11.1 Торговля розничная замороженными продуктами в неспециализированных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магазинах","47.76.2 Торговля розничная домашними животными и кормами для домашних животных в специализированных магазинах"]</t>
  </si>
  <si>
    <t>141075, Россия, Московская обл., г. Королёв, ул. Исаева, д. 3а, кв. 40</t>
  </si>
  <si>
    <t>amarant.22@mail.ru</t>
  </si>
  <si>
    <t>ШАРАЕВ ЕВГЕНИЙ АЛЕКСЕЕВИЧ, ИНН: 771804859694, Доля: 50.0%; ШАРАЕВ АНДРЕЙ АЛЕКСЕЕВИЧ, ИНН: 505202331167, Доля: 50.0%</t>
  </si>
  <si>
    <t>ШАРАЕВ ЕВГЕНИЙ АЛЕКСЕЕВИЧ</t>
  </si>
  <si>
    <t>ООО "МЕРЛИН"</t>
  </si>
  <si>
    <t>["10.92 Производство готовых кормов для непродуктивных животных","46.38.22 Торговля оптовая кормами для домашних животных","47.19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</si>
  <si>
    <t>143988, Россия, Московская обл., г. Балашиха, ул. Троицкая (мкр. Новое Павлино), д. 2, кв. 320</t>
  </si>
  <si>
    <t>interldk@gmail.com</t>
  </si>
  <si>
    <t>ЛИТВИНОВ ДМИТРИЙ КОНСТАНТИНОВИЧ, ИНН: 280123033997, Доля: 100.0%</t>
  </si>
  <si>
    <t>ЛИТВИНОВ ДМИТРИЙ КОНСТАНТИНОВИЧ</t>
  </si>
  <si>
    <t>ООО "ЗОО-ТОВАРЫ ПРОИЗВОДСТВО"</t>
  </si>
  <si>
    <t>["10.92 Производство готовых кормов для непродуктивных животных","46.38.22 Торговля оптовая кормами для домашних животных","47.73 Торговля розничная лекарственными средствами в специализированных магазинах (аптеках)","47.76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Интернет","96.03 Организация похорон и представление связанных с ними услуг"]</t>
  </si>
  <si>
    <t>142279, Россия, Московская обл., Серпухов г., п. Оболенск, тер. Квартал Б, д. 13а, помещ. 162</t>
  </si>
  <si>
    <t>п. Оболенск</t>
  </si>
  <si>
    <t>zoo-goods.prod@mail.ru</t>
  </si>
  <si>
    <t>КИРИЛЛОВ СЕРГЕЙ НИКОЛАЕВИЧ, ИНН: 781146769556, Доля: 30.0%; ФИНКЕЛЬШТЕЙН АНАТОЛИЙ, ИНН: undefined, Доля: 30.0%; УНТЕРШЛАГ ДАВИД, ИНН: undefined, Доля: 30.0%; ЗИМИН ВЛАДИМИР ВЛАДИМИРОВИЧ, ИНН: 504307985912, Доля: 10.0%</t>
  </si>
  <si>
    <t>ЗИМИН ВЛАДИМИР ВЛАДИМИРОВИЧ</t>
  </si>
  <si>
    <t>ООО "ФК "ЗООМИР"</t>
  </si>
  <si>
    <t>["10.11 Переработка и консервирование мяса","10.11.1 Производство мяса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виде","10.12.4 Производство субпродуктов домашней птицы, пригодных для употребления в пищу","10.13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овощей","10.92 Производство готовых кормов для непродуктивных животных","46.32 Торговля оптовая мясом и мясными продуктами","46.32.3 Торговля оптовая консервами из мяса и мяса птицы","46.38.22 Торговля оптовая кормами для домашних животных","47.11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</si>
  <si>
    <t>124482, Россия, Москва г., г. Зеленоград, проезд Савёлкинский, д. 4, этаж/помещ 22/ххх</t>
  </si>
  <si>
    <t>Зеленоград</t>
  </si>
  <si>
    <t>fk.zoomir@mail.ru</t>
  </si>
  <si>
    <t>СЛУГИНА ИРИНА ВЛАДИМИРОВНА, ИНН: 507303177892, Доля: 100.0%</t>
  </si>
  <si>
    <t>СЛУГИНА ИРИНА ВЛАДИМИРОВНА</t>
  </si>
  <si>
    <t>ООО "ТД "АЛЬФА"</t>
  </si>
  <si>
    <t>["10.11 Переработка и консервирование мяса","10.11.3 Производство мяса и пищевых субпродуктов в замороженном виде","10.13.3 Производство мясных (мясосодержащих) консервов","10.13.6 Производство прочей пищевой продукции из мяса или мясных пищевых субпродуктов","10.89.4 Производство пищевых ферментов","10.89.7 Производство рационов питания и пайков","10.89.8 Производство биологически активных добавок к пище","10.91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животных","20.13 Производство прочих основных неорганических химических веществ","20.14.3 Производство промышленных монокарбоновых жирных кислот, карбоновых кислот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соединений","20.14.7 Производство прочих химических органических основных веществ","20.15 Производство удобрений и азотных соединений","20.15.1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происхождения","20.59.5 Производство прочих химических продуктов, не включенных в другие группировки","28.30.83 Производство оборудования для приготовления кормов для животных","45.11 Торговля легковыми автомобилями и грузовыми автомобилями малой грузоподъемности","45.19 Торговля прочими автотранспортными средствами","46.11 Деятельность агентов по оптовой торговле сельскохозяйственным сырьем, живыми животными, текстильным сырьем и полуфабрикатами","46.11.34 Деятельность агентов по оптовой торговле кормами для сельскохозяйственных животных","46.12 Деятельность агентов по оптовой торговле топливом, рудами, металлами и химическими веществами","46.21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животных","46.32 Торговля оптовая мясом и мясными продуктами","46.33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моллюсков","46.38.21 Торговля оптовая гомогенизированными пищевыми продуктами, детским и диетическим питанием","46.38.22 Торговля оптовая кормами для домашних животных","46.39.1 Торговля оптовая неспециализированная замороженными пищевыми продуктами","46.72 Торговля оптовая металлами и металлическими рудами","46.75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магазинах","49.41 Деятельность автомобильного грузового транспорта"]</t>
  </si>
  <si>
    <t>105318, Россия, г. Москва, ул. Мироновская, д. 25, помещ. ii</t>
  </si>
  <si>
    <t>eletskiy-td@bk.ru</t>
  </si>
  <si>
    <t>КОВКОВ ИВАН ИГОРЕВИЧ, ИНН: 452303035263, Доля: 100.0%</t>
  </si>
  <si>
    <t>КОВКОВ ИВАН ИГОРЕВИЧ</t>
  </si>
  <si>
    <t>ООО "НОСИКИ ПЁСИКИ"</t>
  </si>
  <si>
    <t>["10.71 Производство хлеба и мучных кондитерских изделий, тортов и пирожных недлительного хранения","10.92 Производство готовых кормов для непродуктивных животных","13.92 Производство готовых текстильных изделий, кроме одежды","46.36.3 Торговля оптовая мучными кондитерскими изделиями","46.38.22 Торговля оптовая кормами для домашних животных","46.41 Торговля оптовая текстильными изделиями","47.76.2 Торговля розничная домашними животными и кормами для домашних животных в специализированных магазинах","60.20 Деятельность в области телевизионного вещания","68.20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имуществом","68.32.2 Управление эксплуатацией нежилого фонда за вознаграждение или на договорной основе"]</t>
  </si>
  <si>
    <t>111024, Россия, г. Москва, ш. Энтузиастов, д. 1, корп. 2, кв. 233</t>
  </si>
  <si>
    <t>9725656@mail.ru</t>
  </si>
  <si>
    <t>УСМАНОВА ГУЛЬСИНА АСХАТОВНА, ИНН: 770902710700, Доля: 100.0%</t>
  </si>
  <si>
    <t>УСМАНОВА ГУЛЬСИНА АСХАТОВНА</t>
  </si>
  <si>
    <t>ООО "ЗВЕНТА"</t>
  </si>
  <si>
    <t>["10.20.3 Производство пищевой рыбной муки или муки для корма животных","10.41 Производство масел и жиров","10.92 Производство готовых кормов для непродуктивных животных","46.14.9 Деятельность агентов по оптовой торговле прочими видами машин и промышленным оборудованием","46.15.3 Деятельность агентов по оптовой торговле электротоварами и бытовыми электроустановочными изделиями","46.15.9 Деятельность агентов по оптовой торговле прочими бытовыми товарами, не включенными в другие группировки","46.18.91 Деятельность агентов, специализирующихся на оптовой торговле бумагой и картоном","46.18.99 Деятельность агентов, специализирующихся на оптовой торговле прочими товарами, не включенными в другие группировки","46.21.1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группировки","46.66 Торговля оптовая прочей офисной техникой и оборудованием","46.69.2 Торговля оптовая эксплуатационными материалами и принадлежностями машин","46.69.3 Торговля оптовая подъемно-транспортными машинами и оборудованием","46.69.9 Торговля оптовая прочими машинами, приборами, аппаратурой и оборудованием общепромышленного и специального назначения","46.90 Торговля оптовая неспециализированная","47.29 Торговля розничная прочими пищевыми продуктами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 Деятельность курьерская","65.12 Страхование, кроме страхования жизни","66.22 Деятельность страховых агентов и брокеров","78.10 Деятельность агентств по подбору персонала","78.20 Деятельность агентств по временному трудоустройству","78.30 Деятельность по подбору персонала прочая","82.30.1 Деятельность организаторов и операторов выставочных и ярмарочных мероприятий","82.92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группировки","90.01 Деятельность в области исполнительских искусств"]</t>
  </si>
  <si>
    <t>121596, Россия, г. Москва, ул. Горбунова, д. 2, стр. 3, помещ. 209</t>
  </si>
  <si>
    <t>5046788@mail.ru</t>
  </si>
  <si>
    <t>+7 (925) 5046788</t>
  </si>
  <si>
    <t>РЫЧЕНКОВ АЛЕКСАНДР НИКОЛАЕВИЧ, ИНН: 772578499969, Доля: 100.0%</t>
  </si>
  <si>
    <t>РЫЧЕНКОВ АЛЕКСАНДР НИКОЛАЕВИЧ</t>
  </si>
  <si>
    <t>ООО "ЗЕВС"</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</si>
  <si>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птицы","10.91 Производство готовых кормов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животных","20.59.5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товаров","46.38.22 Торговля оптовая кормами для домашних животных","47.91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t>
  </si>
  <si>
    <t>108811, Россия, г. Москва, км 22-й (ш. Киевское), д. 4, стр. 5, помещ. 1</t>
  </si>
  <si>
    <t>www.answer82@gmail.com</t>
  </si>
  <si>
    <t>certificate01@mail.ru</t>
  </si>
  <si>
    <t>+7 (901) 1567892</t>
  </si>
  <si>
    <t>КОБЗЕВ АРТЕМ ВАЛЕРЬЕВИЧ, ИНН: 650623323311, Доля: 100.0%</t>
  </si>
  <si>
    <t>КОБЗЕВ АРТЕМ ВАЛЕРЬЕВИЧ</t>
  </si>
  <si>
    <t>ООО "ПРОИЗВОДСТВЕННАЯ ФИРМА "АГРОТЕХНО"</t>
  </si>
  <si>
    <t>["01.11 Выращивание зерновых (кроме риса), зернобобовых культур и семян масличных культур","01.11.1 Выращивание зерновых культур","01.21 Выращивание винограда","01.22 Выращивание тропических и субтропических культур","01.25.2 Выращивание семян плодовых и ягодных культур","01.42 Разведение прочих пород крупного рогатого скота и буйволов, производство спермы","01.43.1 Разведение лошадей, ослов, мулов, лошаков","01.45.1 Разведение овец и коз","01.47 Разведение сельскохозяйственной птицы","01.49 Разведение прочих животных","01.49.2 Разведение кроликов и прочих пушных зверей на фермах","01.49.9 Разведение прочих животных, не включенных в другие группировки","01.50 Смешанное сельское хозяйство","01.61 Предоставление услуг в области растениеводства","10.91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полуфабрикатами","46.11.34 Деятельность агентов по оптовой торговле кормами для сельскохозяйственных животных","46.21.11 Торговля оптовая зерном","46.21.14 Торговля оптовая кормами для сельскохозяйственных животных","46.21.19 Торговля оптовая сельскохозяйственным сырьем, не включенным в другие группировки","46.23 Торговля оптовая живыми животными","46.38.22 Торговля оптовая кормами для домашних животных","46.75.1 Торговля оптовая удобрениями и агрохимическими продуктами","47.22.1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t>
  </si>
  <si>
    <t>109129, Россия, г. Москва, ул. 8-я Текстильщиков, д. 13, корп. 2, кв. 264</t>
  </si>
  <si>
    <t>pf-agrotehno@mail.ru</t>
  </si>
  <si>
    <t>+7 (495) 9684115</t>
  </si>
  <si>
    <t>САМСОНЕНКО ВЛАДИМИР АЛЕКСАНДРОВИЧ, ИНН: 772380078505, Доля: 100.0%</t>
  </si>
  <si>
    <t>САМСОНЕНКО ВЛАДИМИР АЛЕКСАНДРОВИЧ</t>
  </si>
  <si>
    <t>ООО "БФФ"</t>
  </si>
  <si>
    <t>["10.11 Переработка и консервирование мяса","10.13 Производство продукции из мяса убойных животных и мяса птицы","10.85 Производство готовых пищевых продуктов и блюд","10.86 Производство детского питания и диетических пищевых продуктов","10.92 Производство готовых кормов для непродуктивных животных","11.07.2 Производство безалкогольных напитков ароматизированных и/или с добавлением сахара, кроме минеральных вод","46.31.2 Торговля оптовая консервированными овощами, фруктами и орехами","46.32.1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морепродуктов","46.38.21 Торговля оптовая гомогенизированными пищевыми продуктами, детским и диетическим питанием","46.38.22 Торговля оптовая кормами для домашних животных","46.38.29 Торговля оптовая прочими пищевыми продуктами, не включенными в другие группировки","47.76.2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</si>
  <si>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121087, Россия, г. Москва, проезд Береговой, д. 5а, корп. 1, помещ. 1/17</t>
  </si>
  <si>
    <t>bentocakemsk@gmail.com</t>
  </si>
  <si>
    <t>+7 (916) 0925086</t>
  </si>
  <si>
    <t>САРДАРОВ РАШИД СЕЛИМОВИЧ, ИНН: 772700797075, Доля: 50.0%; ПЕТРОВ АНДРЕЙ АНАТОЛЬЕВИЧ, ИНН: 666104072830, Доля: 25.0%; ЯСТРЕБОВА ИРИНА ВЛАДИМИРОВНА, ИНН: 773606330849, Доля: 25.0%</t>
  </si>
  <si>
    <t>БАЛАБАНОВА ИРИНА АЛЕКСАНДРОВНА</t>
  </si>
  <si>
    <t>АО "ВЕКЪ ТЕХНОЛОГИЙ"</t>
  </si>
  <si>
    <t>["10.13.1 Производство соленого, вареного, запеченого, копченого, вяленого и прочего мяса","10.13.9 Предоставление услуг по тепловой обработке и прочим способам переработки мясных продуктов","10.51.1 Производство питьевого молока и питьевых сливок","10.51.3 Производство сыра и сырных продуктов","10.51.9 Производство прочей молочной продукции","10.86.61 Производство пищевой продукции диетического и диабетического питания","10.92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магазинах","72.11 Научные исследования и разработки в области биотехнологии"]</t>
  </si>
  <si>
    <t>111141, Россия, г. Москва, проезд 1-й Перова Поля, д. 9, стр. 2</t>
  </si>
  <si>
    <t>info@vektech.ru</t>
  </si>
  <si>
    <t>https://vektech.ru</t>
  </si>
  <si>
    <t>https://vetgourmet.ru</t>
  </si>
  <si>
    <t>https://vektech.ru/</t>
  </si>
  <si>
    <t>ЗВЕЗДИН ВАСИЛИЙ НИКОЛАЕВИЧ</t>
  </si>
  <si>
    <t>ООО "ГЛОБАЛ ГУДС"</t>
  </si>
  <si>
    <t>["10.11 Переработка и консервирование мяса","10.20 Переработка и консервирование рыбы, ракообразных и моллюсков","10.31 Переработка и консервирование картофеля","10.32 Производство соковой продукции из фруктов и овощей","10.39 Прочие виды переработки и консервирования фруктов и овощей","10.41 Производство масел и жиров","10.61 Производство продуктов мукомольной и крупяной промышленности","10.89.4 Производство пищевых ферментов","10.89.7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полуфабрикатами","46.11.31 Деятельность агентов по оптовой торговле зерном","46.11.32 Деятельность агентов по оптовой торговле семенами, кроме семян масличных культур","46.12 Деятельность агентов по оптовой торговле топливом, рудами, металлами и химическими веществами","46.12.3 Деятельность агентов по оптовой торговле промышленными и техническими химическими веществами, удобрениями и агрохимикатами","46.14.9 Деятельность агентов по оптовой торговле прочими видами машин и промышленным оборудованием","46.18.1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средствами","46.18.3 Деятельность агентов, специализирующихся на оптовой торговле техникой, оборудованием и инструментами, применяемыми в медицинских целях","46.21.1 Торговля оптовая зерном, семенами и кормами для животных","46.21.14 Торговля оптовая кормами для сельскохозяйственных животных","46.31 Торговля оптовая фруктами и овощами","46.34 Торговля оптовая напитками","46.34.2 Торговля оптовая алкогольными напитками, включая пиво и пищевой этиловый спирт","46.34.21 Торговля оптовая алкогольными напитками, кроме пива и пищевого этилового спирта","46.36.2 Торговля оптовая шоколадом и сахаристыми кондитерскими изделиями","46.38.2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изделиями","46.42.1 Торговля оптовая одеждой","46.42.12 Торговля оптовая нательным бельем","47.22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магазинах","47.29.2 Торговля розничная пищевыми маслами и жирами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t>
  </si>
  <si>
    <t>142701, Россия, Московская обл., г. Видное, д. Сапроново, кв-л Центральный (мкр. Купелинка), д. 1, помещ. xlv</t>
  </si>
  <si>
    <t>Видное, д. Сапроново</t>
  </si>
  <si>
    <t>roman.aksenov@globalgoods.ru</t>
  </si>
  <si>
    <t>+7 (985) 7330359</t>
  </si>
  <si>
    <t>АКСЕНОВ РОМАН АНДРЕЕВИЧ, ИНН: 614209825684, Доля: 50.0%; ООО "ГЛОБАЛ ГУДС", ИНН: 5003138398, Доля: 50.0%</t>
  </si>
  <si>
    <t>АКСЕНОВ РОМАН АНДРЕЕВИЧ</t>
  </si>
  <si>
    <t>КУЗНЕЦОВА АНАСТАСИЯ АЛЕКСАНДРОВНА</t>
  </si>
  <si>
    <t>Индивидуальный предприниматель</t>
  </si>
  <si>
    <t>["10.92 Производство готовых кормов для непродуктивных животных","13.92 Производство готовых текстильных изделий, кроме одежды","47.91 Торговля розничная по почте или по информационно-коммуникационной сети Интернет","69.20.2 Деятельность по оказанию услуг в области бухгалтерского учета"]</t>
  </si>
  <si>
    <t>Россия, Московская обл., г. Серпухов</t>
  </si>
  <si>
    <t>Серпухов</t>
  </si>
  <si>
    <t>vorona2886@mail.ru</t>
  </si>
  <si>
    <t>ГАМОНИН ЮРИЙ СЕРГЕЕВИЧ</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</si>
  <si>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птицы","10.92 Производство готовых кормов для непродуктивных животных","46.32 Торговля оптовая мясом и мясными продуктами","47.22 Торговля розничная мясом и мясными продуктами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t>
  </si>
  <si>
    <t>Россия, Московская обл., г. Королёв</t>
  </si>
  <si>
    <t>ir-maltz@yandex.ru</t>
  </si>
  <si>
    <t>НОВИКОВА МАРИЯ СЕРГЕЕВНА</t>
  </si>
  <si>
    <t>["10.92 Производство готовых кормов для непродуктивных животных","47.78.9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t>
  </si>
  <si>
    <t>Россия, Московская обл., Сергиев Посад г., д. Репихово</t>
  </si>
  <si>
    <t>д. Репихово</t>
  </si>
  <si>
    <t>ms.marinovikova1986@mail.ru</t>
  </si>
  <si>
    <t>ФРОЛОВ СТАНИСЛАВ МИХАЙЛОВИЧ</t>
  </si>
  <si>
    <t>["10.92 Производство готовых кормов для непродуктивных животных","45.11.31 Торговля розничная легковыми автомобилями и легкими автотранспортными средствами через информационно-коммуникационную сеть Интернет","45.11.39 Торговля розничная легковыми автомобилями и легкими автотранспортными средствами прочая, не включенная в другие группировки","46.15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товаров","46.38 Торговля оптовая прочими пищевыми продуктами, включая рыбу, ракообразных и моллюсков","47.75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Интернет","64.99 Предоставление прочих финансовых услуг, кроме услуг по страхованию и пенсионному обеспечению, не включенных в другие группировки","66.19 Деятельность вспомогательная прочая в сфере финансовых услуг, кроме страхования и пенсионного обеспечения","68.20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</si>
  <si>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Россия, Московская обл., г. Красногорск</t>
  </si>
  <si>
    <t>stasoooo@gmail.com</t>
  </si>
  <si>
    <t>3200533@gmail.com</t>
  </si>
  <si>
    <t>+7 (977) 3200533</t>
  </si>
  <si>
    <t>ЧЕНЦОВ ДМИТРИЙ АЛЕКСАНДРОВИЧ</t>
  </si>
  <si>
    <t>["10.91.3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животных","47.64.2 Торговля розничная рыболовными принадлежностями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Интернет","49.42 Предоставление услуг по перевозкам","52.10 Деятельность по складированию и хранению","52.29 Деятельность вспомогательная прочая, связанная с перевозками","82.92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</si>
  <si>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dmitri776@mail.ru</t>
  </si>
  <si>
    <t>ТИМОФЕЕВ СЕРГЕЙ ЛЬВОВИЧ</t>
  </si>
  <si>
    <t>["10.92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полуфабрикатами","47.91 Торговля розничная по почте или по информационно-коммуникационной сети Интернет"]</t>
  </si>
  <si>
    <t>akara3a@ya.ru</t>
  </si>
  <si>
    <t>ШИБАЕВ ЕГОР ВИТАЛЬЕВИЧ</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</si>
  <si>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животных","46.38.22 Торговля оптовая кормами для домашних животных","46.90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</si>
  <si>
    <t>e.shibaev@yandex.ru</t>
  </si>
  <si>
    <t>КРЕУШЕНКО ОЛЬГА ВЛАДИМИРОВНА</t>
  </si>
  <si>
    <t>["10.11.2 Производство пищевых субпродуктов в охлажденном виде","10.92 Производство готовых кормов для непродуктивных животных","46.38.22 Торговля оптовая кормами для домашних животных","47.91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</si>
  <si>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Россия, Московская обл., г. Солнечногорск, пгт. Чашниково</t>
  </si>
  <si>
    <t>Солнечногорск, пгт. Чашниково</t>
  </si>
  <si>
    <t>farmturtle@yandex.ru</t>
  </si>
  <si>
    <t>shmolga@mail.ru</t>
  </si>
  <si>
    <t>+7 (916) 4979118</t>
  </si>
  <si>
    <t>БАГИНСКИЙ ПЛАТОН СТАНИСЛАВОВИЧ</t>
  </si>
  <si>
    <t>["10.92 Производство готовых кормов для непродуктивных животных"]</t>
  </si>
  <si>
    <t>Россия, Московская обл., г. Дмитров</t>
  </si>
  <si>
    <t>platon.bbbaginskiy@gmail.com</t>
  </si>
  <si>
    <t>ЗИНОВА ОЛЬГА ВЛАДИМИРОВНА</t>
  </si>
  <si>
    <t>["10.11 Переработка и консервирование мяса","10.11.1 Производство мяса в охлажденном виде","10.11.3 Производство мяса и пищевых субпродуктов в замороженном виде","10.11.5 Производство животных жиров","10.12 Производство и консервирование мяса птицы","10.39 Прочие виды переработки и консервирования фруктов и овощей","10.39.2 Переработка и консервирование фруктов и орехов","10.83 Производство чая и кофе","10.91 Производство готовых кормов для животных, содержащихся на фермах","10.92 Производство готовых кормов для непродуктивных животных","28.29.21 Производство оборудования для мойки, заполнения, закупоривания или упаковывания бутылок или прочих емкостей","46.21.1 Торговля оптовая зерном, семенами и кормами для животных","46.21.14 Торговля оптовая кормами для сельскохозяйственных животных","46.21.19 Торговля оптовая сельскохозяйственным сырьем, не включенным в другие группировки","46.31 Торговля оптовая фруктами и овощами","46.31.11 Торговля оптовая свежим картофелем","46.32 Торговля оптовая мясом и мясными продуктами","46.32.1 Торговля оптовая мясом и мясом птицы, включая субпродукты","46.38.22 Торговля оптовая кормами для домашних животных","46.38.29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группировки","47.61 Торговля розничная книгами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магазинах","47.91.2 Торговля розничная, осуществляемая непосредственно при помощи информационно-коммуникационной сети Интернет","69.20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</si>
  <si>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Россия, Московская обл., г. Раменское</t>
  </si>
  <si>
    <t>olga_zinova@mail.ru</t>
  </si>
  <si>
    <t>minyaytsev@gmail.com</t>
  </si>
  <si>
    <t>+7 (905) 7506093</t>
  </si>
  <si>
    <t>+7 (916) 8606232</t>
  </si>
  <si>
    <t>ВАТАМАНЮК ПАВЕЛ АНДРЕЕВИЧ</t>
  </si>
  <si>
    <t>["01.62 Предоставление услуг в области животноводства","10.11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изделий","10.13.4 Производство мясных (мясосодержащих) полуфабрикатов","10.13.6 Производство прочей пищевой продукции из мяса или мясных пищевых субпродуктов","10.91.1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животных","33.12 Ремонт машин и оборудования","33.13 Ремонт электронного и оптического оборудования","33.14 Ремонт электрического оборудования","33.17 Ремонт и техническое обслуживание прочих транспортных средств и оборудования","33.19 Ремонт прочего оборудования","33.20 Монтаж промышленных машин и оборудования","46.21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зерном","46.31 Торговля оптовая фруктами и овощами","46.32 Торговля оптовая мясом и мясными продуктами","46.32.3 Торговля оптовая консервами из мяса и мяса птицы","46.38.22 Торговля оптовая кормами для домашних животных","46.49 Торговля оптовая прочими бытовыми товарами","46.52 Торговля оптовая электронным и телекоммуникационным оборудованием и его запасными частями","46.52.1 Торговля оптовая телекоммуникационным оборудованием и его запасными частями","46.52.2 Торговля оптовая электронным оборудованием и его запасными частями","46.61 Торговля оптовая машинами, оборудованием и инструментами для сельского хозяйства","46.61.1 Торговля оптовая сельскохозяйственными и лесохозяйственными машинами, оборудованием и инструментами, включая тракторы","46.63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оборудованием","46.69.3 Торговля оптовая подъемно-транспортными машинами и оборудованием","46.69.4 Торговля оптовая машинами и оборудованием для производства пищевых продуктов, напитков и табачных изделий","46.69.5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оборудованием","46.69.8 Торговля оптовая техникой, оборудованием и инструментами, применяемыми в медицинских целях","46.69.9 Торговля оптовая прочими машинами, приборами, аппаратурой и оборудованием общепромышленного и специального назначения","47.11.1 Торговля розничная замороженными продуктами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магазинах","47.22.1 Торговля розничная мясом и мясом птицы, включая субпродукты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t>
  </si>
  <si>
    <t>Россия, Московская обл., г. Подольск</t>
  </si>
  <si>
    <t>Подольск</t>
  </si>
  <si>
    <t>vatamanyukp@bk.ru</t>
  </si>
  <si>
    <t>work@pavik.ru</t>
  </si>
  <si>
    <t>info@pavik.ru</t>
  </si>
  <si>
    <t>https://pavik.ru</t>
  </si>
  <si>
    <t>+7 (916) 4082837</t>
  </si>
  <si>
    <t>+7 (495) 0047700</t>
  </si>
  <si>
    <t>+7 (977) 5709380</t>
  </si>
  <si>
    <t>+7 (985) 2197177</t>
  </si>
  <si>
    <t>ООО "МИКА"</t>
  </si>
  <si>
    <t>["10.11 Переработка и консервирование мяса","10.12 Производство и консервирование мяса птицы","10.13 Производство продукции из мяса убойных животных и мяса птицы","10.91 Производство готовых кормов для животных, содержащихся на фермах","10.92 Производство готовых кормов для непродуктивных животных","16.29 Производство прочих деревянных изделий","46.32 Торговля оптовая мясом и мясными продуктами","46.38.22 Торговля оптовая кормами для домашних животных","46.90 Торговля оптовая неспециализированная","47.22 Торговля розничная мясом и мясными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t>
  </si>
  <si>
    <t>141426, Россия, Московская обл., г. Химки, проезд 2-й Северный, влад. 20, стр. 3</t>
  </si>
  <si>
    <t>Химки</t>
  </si>
  <si>
    <t>verolukio@gmail.com</t>
  </si>
  <si>
    <t>ГУРЬЯНОВА ВЕРОНИКА МИХАЙЛОВНА, ИНН: 502506961359, Доля: 100.0%</t>
  </si>
  <si>
    <t>ГУРЬЯНОВА ВЕРОНИКА МИХАЙЛОВНА</t>
  </si>
  <si>
    <t>ООО "ПУШИСТЫЙ ГИГАНТ"</t>
  </si>
  <si>
    <t>["10.92 Производство готовых кормов для непродуктивных животных","41.20 Строительство жилых и нежилых зданий","46.21.14 Торговля оптовая кормами для сельскохозяйственных животных","46.38.22 Торговля оптовая кормами для домашних животных","46.42 Торговля оптовая одеждой и обувью","47.76.2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товарами","63.99.1 Деятельность по оказанию консультационных и информационных услуг","68.20 Аренда и управление собственным или арендованным недвижимым имуществом","69.10 Деятельность в области права","73.11 Деятельность рекламных агентств","77.11 Аренда и лизинг легковых автомобилей и легких автотранспортных средств","77.12 Аренда и лизинг грузовых транспортных средств","96.09 Предоставление прочих персональных услуг, не включенных в другие группировки"]</t>
  </si>
  <si>
    <t>143581, Россия, Московская обл., Истра г., п. Ивановское, д. 127а, кв. 2</t>
  </si>
  <si>
    <t>п. Ивановское</t>
  </si>
  <si>
    <t>i.romashkin@papi-pet.ru</t>
  </si>
  <si>
    <t>http://alferosplav.ru</t>
  </si>
  <si>
    <t>https://papi-pet.ru</t>
  </si>
  <si>
    <t>+7 (929) 9001171</t>
  </si>
  <si>
    <t>РОМАШКИН ИЛЬЯ ПАВЛОВИЧ, ИНН: 770179113698, Доля: 50.0%; СИМЕОНИДИ СЕМЕН КОНСТАНТИНОВИЧ, ИНН: 501720177783, Доля: 50.0%</t>
  </si>
  <si>
    <t>РОМАШКИН ИЛЬЯ ПАВЛОВИЧ</t>
  </si>
  <si>
    <t>КУНТЫШ ЭЛИНА ЭРНСТОВНА</t>
  </si>
  <si>
    <t>["10.92 Производство готовых кормов для непродуктивных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</si>
  <si>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Россия, Московская обл., г. Люберцы</t>
  </si>
  <si>
    <t>elina.kuntysh@mail.ru</t>
  </si>
  <si>
    <t>ДМИТРИЕВА АННА ЮРЬЕВНА</t>
  </si>
  <si>
    <t>["10.92 Производство готовых кормов для непродуктивных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</si>
  <si>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Россия, Московская обл., г. Балашиха</t>
  </si>
  <si>
    <t>anna-vasilyeva@inbox.ru</t>
  </si>
  <si>
    <t>ИВАННИКОВА АНАСТАСИЯ АЛЕКСАНДРОВНА</t>
  </si>
  <si>
    <t>["10.91 Производство готовых кормов для животных, содержащихся на фермах","10.92 Производство готовых кормов для непродуктивных животных","46.21.1 Торговля оптовая зерном, семенами и кормами для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</si>
  <si>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Россия, Московская обл., г. Подольск, д. Борисовка</t>
  </si>
  <si>
    <t>Подольск, д. Борисовка</t>
  </si>
  <si>
    <t>ivannikovaaa.cd@yandex.ru</t>
  </si>
  <si>
    <t>БУРДЕЙНЫЙ РОМАН ЮРЬЕВИЧ</t>
  </si>
  <si>
    <t>["10.11 Переработка и консервирование мяса","10.89 Производство прочих пищевых продуктов, не включенных в другие группировки","10.91.1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животных","23.99 Производство прочей неметаллической минеральной продукции, не включенной в другие группировки","38.32.59 Утилизация прочих вторичных неметаллических ресурсов во вторичное сырье","46.38.22 Торговля оптовая кормами для домашних животных","46.90 Торговля оптовая неспециализированная","47.76.2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ресурсов","73.11 Деятельность рекламных агентств","82.92 Деятельность по упаковыванию товаров","95.29 Ремонт прочих предметов личного потребления и бытовых товаров"]</t>
  </si>
  <si>
    <t>Россия, Московская обл., г. Реутов</t>
  </si>
  <si>
    <t>Реутов</t>
  </si>
  <si>
    <t>burdeinyi.roman@gmail.com</t>
  </si>
  <si>
    <t>hello@petchef.me</t>
  </si>
  <si>
    <t>https://petchef.me</t>
  </si>
  <si>
    <t>+7 (495) 2917006</t>
  </si>
  <si>
    <t>АСТАШЕВ ПАВЕЛ ЕВГЕНЬЕВИЧ</t>
  </si>
  <si>
    <t>astashevp@inbox.ru</t>
  </si>
  <si>
    <t>ООО "ЗООКАТРИНПРОДУКТ"</t>
  </si>
  <si>
    <t>143330, Московская обл., Наро-фоминск г., п. Пионерский, д. адм. здание часть 1, офис 1</t>
  </si>
  <si>
    <t>п. ПИОНЕРСКИЙ</t>
  </si>
  <si>
    <t>pet2000@bk.ru</t>
  </si>
  <si>
    <t>+7 (903) 7733780</t>
  </si>
  <si>
    <t>+7 (903) 7956481</t>
  </si>
  <si>
    <t>+7 (905) 7259087</t>
  </si>
  <si>
    <t>ГУРОВА ЕЛЕНА СЕРГЕЕВНА, ИНН: 771591952872, Доля: 100.0%</t>
  </si>
  <si>
    <t>ГУРОВА ЕЛЕНА СЕРГЕЕВНА</t>
  </si>
  <si>
    <t>ООО "ЭКСТРАКОРМА"</t>
  </si>
  <si>
    <t>["10.91 Производство готовых кормов для животных, содержащихся на фермах","10.92 Производство готовых кормов для непродуктивных животных","46.21.1 Торговля оптовая зерном, семенами и кормами для животных"]</t>
  </si>
  <si>
    <t>141840, Россия, Московская обл., Дмитров г., г. Яхрома, мкр. Левобережье, д. 5, кв. 75</t>
  </si>
  <si>
    <t>Яхрома</t>
  </si>
  <si>
    <t>elena-shershakova@rambler.ru</t>
  </si>
  <si>
    <t>extra-korma@rambler.ru</t>
  </si>
  <si>
    <t>+7 (985) 2799230</t>
  </si>
  <si>
    <t>Шершакова Елена Владимировна, ИНН: 500704010150, Доля: 100.0%</t>
  </si>
  <si>
    <t>Шершакова Елена Владимировна</t>
  </si>
  <si>
    <t>ООО "НАТУРПЕТ"</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</si>
  <si>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</si>
  <si>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141107, Россия, Московская обл., г. Щёлково, ул. Браварская, д. 100</t>
  </si>
  <si>
    <t>Щёлково</t>
  </si>
  <si>
    <t>naturpet77@gmail.com</t>
  </si>
  <si>
    <t>ВАРФОЛОМЕЕВ КИРИЛЛ АЛЕКСАНДРОВИЧ, ИНН: 771988767480, Доля: 100.0%</t>
  </si>
  <si>
    <t>ВАРФОЛОМЕЕВ КИРИЛЛ АЛЕКСАНДРОВИЧ</t>
  </si>
  <si>
    <t>МУХИНА АЛЛА ЛЕОНИДОВНА</t>
  </si>
  <si>
    <t>mkhnalena@rambler.ru</t>
  </si>
  <si>
    <t>+7 (916) 5207552</t>
  </si>
  <si>
    <t>ЧЕРНЫЙ ФЕДОР ОЛЕГОВИЧ</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</si>
  <si>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животных","46.38.22 Торговля оптовая кормами для домашних животных","68.20 Аренда и управление собственным или арендованным недвижимым имуществом","70.22 Консультирование по вопросам коммерческой деятельности и управления","96.09 Предоставление прочих персональных услуг, не включенных в другие группировки"]</t>
  </si>
  <si>
    <t>f.cherniy@gmail.com</t>
  </si>
  <si>
    <t>+7 (903) 7006589</t>
  </si>
  <si>
    <t>МУРАШОВ НИКОЛАЙ ДМИТРИЕВИЧ</t>
  </si>
  <si>
    <t>["10.92 Производство готовых кормов для непродуктивных животных","46.21.14 Торговля оптовая кормами для сельскохозяйственных животных","46.38.22 Торговля оптовая кормами для домашних животных","47.91.1 Торговля розничная по почте","47.91.2 Торговля розничная, осуществляемая непосредственно при помощи информационно-коммуникационной сети Интернет"]</t>
  </si>
  <si>
    <t>Россия, Московская обл., Воскресенск г., г. Белоозёрский</t>
  </si>
  <si>
    <t>Белоозёрский</t>
  </si>
  <si>
    <t>murashovn@mail.ru</t>
  </si>
  <si>
    <t>ООО "ТАЛЛЕР ФУД"</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</si>
  <si>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 Торговля оптовая прочими пищевыми продуктами, включая рыбу, ракообразных и моллюсков","47.76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</si>
  <si>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143132, Россия, Московская обл., г. Руза, пгт. Тучково, ул. Партизан, д. 49</t>
  </si>
  <si>
    <t>Руза, пгт. Тучково</t>
  </si>
  <si>
    <t>info@taller-food.com</t>
  </si>
  <si>
    <t>http://taller-food.com</t>
  </si>
  <si>
    <t>АКЦИОНЕРНОЕ ОБЩЕСТВО "ТОРГОВО-ПРОМЫШЛЕННАЯ ГРУППА "ПОЛИС-XXI ВЕК", ИНН: 7726285510, Доля: 100.0%</t>
  </si>
  <si>
    <t>ЕГОРКИН СЕРГЕЙ СЕРГЕЕВИЧ</t>
  </si>
  <si>
    <t>ГОНЧАРЕНКО ЛЮДМИЛА АЛЕКСЕЕВНА</t>
  </si>
  <si>
    <t>["10.92 Производство готовых кормов для непродуктивных животных","47.91 Торговля розничная по почте или по информационно-коммуникационной сети Интернет"]</t>
  </si>
  <si>
    <t>Россия, Московская обл., Истра г., д. Красновидово</t>
  </si>
  <si>
    <t>д. Красновидово</t>
  </si>
  <si>
    <t>ldubrovina@mail.ru</t>
  </si>
  <si>
    <t>ДАНИЛОВА КАРИНА ЭДУАРДОВНА</t>
  </si>
  <si>
    <t>["01.49.5 Разведение домашних животных","01.62 Предоставление услуг в области животноводства","10.11 Переработка и консервирование мяса","10.13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продуктов","10.20 Переработка и консервирование рыбы, ракообразных и моллюсков","10.20.3 Производство пищевой рыбной муки или муки для корма животных","10.92 Производство готовых кормов для непродуктивных животных","46.32 Торговля оптовая мясом и мясными продуктами","46.38 Торговля оптовая прочими пищевыми продуктами, включая рыбу, ракообразных и моллюсков","46.38.22 Торговля оптовая кормами для домашних животных","47.22 Торговля розничная мясом и мясными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рынков","96.09 Предоставление прочих персональных услуг, не включенных в другие группировки"]</t>
  </si>
  <si>
    <t>Россия, Московская обл., Истра г., д. Исаково</t>
  </si>
  <si>
    <t>д. Исаково</t>
  </si>
  <si>
    <t>karinadan@mail.ru</t>
  </si>
  <si>
    <t>+7 (928) 4144449</t>
  </si>
  <si>
    <t>ИВАННИКОВА СВЕТЛАНА ЮРЬЕВНА</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</si>
  <si>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t>
  </si>
  <si>
    <t>svetlanaivannikova@yandex.ru</t>
  </si>
  <si>
    <t>ЭЛЬБИЕВА ОЛЕСЯ СЕРГЕЕВНА</t>
  </si>
  <si>
    <t>["10.92 Производство готовых кормов для непродуктивных животных","46.38.22 Торговля оптовая кормами для домашних животных","47.91 Торговля розничная по почте или по информационно-коммуникационной сети Интернет","47.99 Торговля розничная прочая вне магазинов, палаток, рынков","96.02.2 Предоставление косметических услуг парикмахерскими и салонами красоты"]</t>
  </si>
  <si>
    <t>Россия, Московская обл., г. Долгопрудный</t>
  </si>
  <si>
    <t>Долгопрудный</t>
  </si>
  <si>
    <t>olesia.dorofeeva@yandex.ru</t>
  </si>
  <si>
    <t>АО "РУСКАН"</t>
  </si>
  <si>
    <t>["10.92 Производство готовых кормов для непродуктивных животных","18.12 Прочие виды полиграфической деятельности","41.20 Строительство жилых и нежилых зданий","46.38.22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магазинах","58.11 Издание книг","68.20.2 Аренда и управление собственным или арендованным нежилым недвижимым имуществом","73.20.1 Исследование конъюнктуры рынка"]</t>
  </si>
  <si>
    <t>141870, Россия, Московская обл., Дмитров г., д. Кузяево, д. 70</t>
  </si>
  <si>
    <t>д. Кузяево</t>
  </si>
  <si>
    <t>lyubov.ryzhkova@royalcanin.com</t>
  </si>
  <si>
    <t>info@royal-canin.ru</t>
  </si>
  <si>
    <t>stanislav.volnikov@royalcanin.com</t>
  </si>
  <si>
    <t>aleksey.balashov@royalcanin.com</t>
  </si>
  <si>
    <t>https://royal-canin.ru</t>
  </si>
  <si>
    <t>https://royalcanin.com</t>
  </si>
  <si>
    <t>+7 (495) 2218290</t>
  </si>
  <si>
    <t>+7 (495) 2218291</t>
  </si>
  <si>
    <t>+7 (495) 2218295</t>
  </si>
  <si>
    <t>+7 (495) 2767391</t>
  </si>
  <si>
    <t>КОНДРАШЕВ ИВАН АЛЕКСАНДРОВИЧ</t>
  </si>
  <si>
    <t>АРУТЮНЯН МЕРИ КАРЕНОВНА</t>
  </si>
  <si>
    <t>["10.91.3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животных","46.90 Торговля оптовая неспециализированная","47.76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</si>
  <si>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Россия, Московская обл., Одинцово г., с. Ромашково</t>
  </si>
  <si>
    <t>с. Ромашково</t>
  </si>
  <si>
    <t>lkmmeri@yandex.ru</t>
  </si>
  <si>
    <t>ЦЫМПОВ СЕРГЕЙ ИВАНОВИЧ</t>
  </si>
  <si>
    <t>["10.92 Производство готовых кормов для непродуктивных животных","47.76.2 Торговля розничная домашними животными и кормами для домашних животных в специализированных магазинах","53.20.3 Деятельность курьерская","53.20.31 Деятельность по курьерской доставке различными видами транспорта","53.20.39 Деятельность курьерская прочая"]</t>
  </si>
  <si>
    <t>s.tsympov@gmail.com</t>
  </si>
  <si>
    <t>БАГИНСКИЙ МАТВЕЙ СТАНИСЛАВОВИЧ</t>
  </si>
  <si>
    <t>shapeisforyou@gmail.com</t>
  </si>
  <si>
    <t>ООО "ТЕЙЛОРД"</t>
  </si>
  <si>
    <t>["10.92 Производство готовых кормов для непродуктивных животных","46.38 Торговля оптовая прочими пищевыми продуктами, включая рыбу, ракообразных и моллюсков","46.90 Торговля оптовая неспециализированная","47.76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</si>
  <si>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141804, Россия, Московская обл., г. Дмитров, ул. Московская, д. 5, кв. 83</t>
  </si>
  <si>
    <t>tailord.petfood@mail.ru</t>
  </si>
  <si>
    <t>+7 (999) 8271472</t>
  </si>
  <si>
    <t>ЗАЙЦЕВА АЛЕКСАНДРА АНАТОЛЬЕВНА, ИНН: 502920679327, Доля: 100.0%</t>
  </si>
  <si>
    <t>ЗАЙЦЕВА АЛЕКСАНДРА АНАТОЛЬЕВНА</t>
  </si>
  <si>
    <t>БАКОВА ОЛЬГА ВАЛЕРЬЕВНА</t>
  </si>
  <si>
    <t>["10.92 Производство готовых кормов для непродуктивных животных","46.90 Торговля оптовая неспециализированная","47.89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</si>
  <si>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Россия, Московская обл., г. Видное, пгт. Мисайлово</t>
  </si>
  <si>
    <t>Видное, пгт. Мисайлово</t>
  </si>
  <si>
    <t>burlaka_evgeniya@bk.ru</t>
  </si>
  <si>
    <t>mr.frankfood@yandex.ru</t>
  </si>
  <si>
    <t>+7 (495) 1092363</t>
  </si>
  <si>
    <t>МАЛЫШЕВ ДМИТРИЙ ВАСИЛЬЕВИЧ</t>
  </si>
  <si>
    <t>["10.91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</si>
  <si>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Россия, Московская обл., г. Раменское, с. Загорново</t>
  </si>
  <si>
    <t>Раменское, с. Загорново</t>
  </si>
  <si>
    <t>tolick.njk@yandex.ru</t>
  </si>
  <si>
    <t>ШЕРШАКОВА ЕЛЕНА ВЛАДИМИРОВНА</t>
  </si>
  <si>
    <t>["01.30 Выращивание рассады","01.49.7 Разведение дождевых червей","10.92 Производство готовых кормов для непродуктивных животных","20.15.8 Производство удобрений животного или растительного происхождения","49.42 Предоставление услуг по перевозкам","52.10 Деятельность по складированию и хранению","53.20.3 Деятельность курьерская"]</t>
  </si>
  <si>
    <t>Россия, Московская обл., Дмитров г., г. Яхрома</t>
  </si>
  <si>
    <t>ГАЛАКТИОНОВ АНДРЕЙ ВИТАЛЬЕВИЧ</t>
  </si>
  <si>
    <t>["10.92 Производство готовых кормов для непродуктивных животных","46.18 Деятельность агентов, специализирующихся на оптовой торговле прочими отдельными видами товаров"]</t>
  </si>
  <si>
    <t>piton333@inbox.ru</t>
  </si>
  <si>
    <t>МАКЕЕВ АЛЕКСЕЙ АЛЕКСАНДРОВИЧ</t>
  </si>
  <si>
    <t>["10.91 Производство готовых кормов для животных, содержащихся на фермах","10.92 Производство готовых кормов для непродуктивных животных","32.30 Производство спортивных товаров","46.21.11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группировки","46.38.22 Торговля оптовая кормами для домашних животных","46.90 Торговля оптовая неспециализированная","47.64 Торговля розничная спортивным оборудованием и спортивными товарами в специализированных магазинах","47.76.2 Торговля розничная домашними животными и кормами для домашних животных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t>
  </si>
  <si>
    <t>Россия, Московская обл., г. Химки</t>
  </si>
  <si>
    <t>aamakeev1103@gmail.com</t>
  </si>
  <si>
    <t>АШМАРИН ИЛЬЯ АЛЕКСАНДРОВИЧ</t>
  </si>
  <si>
    <t>["01.11 Выращивание зерновых (кроме риса), зернобобовых культур и семян масличных культур","10.91 Производство готовых кормов для животных, содержащихся на фермах","10.92 Производство готовых кормов для непродуктивных животных","11.06 Производство солода"]</t>
  </si>
  <si>
    <t>Россия, Московская обл., г. Видное</t>
  </si>
  <si>
    <t>i9104403671@yandex.ru</t>
  </si>
  <si>
    <t>СПИРИДОНОВА ИРАИДА ВИКТОРОВНА</t>
  </si>
  <si>
    <t>["10.92 Производство готовых кормов для непродуктивных животных","47.19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t>
  </si>
  <si>
    <t>Россия, Московская обл., г. Ногинск</t>
  </si>
  <si>
    <t>Ногинск</t>
  </si>
  <si>
    <t>amurpana@mail.ru</t>
  </si>
  <si>
    <t>ОВСЯННИКОВ ДМИТРИЙ ЮРЬЕВИЧ</t>
  </si>
  <si>
    <t>["10.91 Производство готовых кормов для животных, содержащихся на фермах","10.92 Производство готовых кормов для непродуктивных животных","16.10 Распиловка и строгание древесины","16.29.1 Производство прочих деревянных изделий","46.12.1 Деятельность агентов по оптовой торговле твердым, жидким и газообразным топливом и связанными продуктами","46.13 Деятельность агентов по оптовой торговле лесоматериалами и строительными материалами","46.21.1 Торговля оптовая зерном, семенами и кормами для животных","46.32 Торговля оптовая мясом и мясными продуктами","46.33.2 Торговля оптовая яйцами","46.38.1 Торговля оптовая рыбой, ракообразными и моллюсками, консервами и пресервами из рыбы и морепродуктов","46.38.22 Торговля оптовая кормами для домашних животных","46.39.1 Торговля оптовая неспециализированная замороженными пищевыми продуктами","46.49.2 Торговля оптовая плетеными изделиями, изделиями из пробки, бондарными изделиями и прочими бытовыми деревянными изделиями","46.71.1 Торговля оптовая твердым топливом","46.73.1 Торговля оптовая древесным сырьем и необработанными лесоматериалами","46.73.2 Торговля оптовая пиломатериалами","46.73.6 Торговля оптовая прочими строительными материалами и изделиями","46.90 Торговля оптовая неспециализированная","47.11.1 Торговля розничная замороженными продуктами в неспециализированных магазинах","47.22 Торговля розничная мясом и мясными продуктами в специализированных магазинах","47.23.1 Торговля розничная рыбой и морепродуктами в специализированных магазинах","47.29.12 Торговля розничная яйцами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t>
  </si>
  <si>
    <t>Россия, Московская обл., г. Мытищи, д. Большая Черная</t>
  </si>
  <si>
    <t>Мытищи, д. Большая Черная</t>
  </si>
  <si>
    <t>musatova1970@yandex.ru</t>
  </si>
  <si>
    <t>aquakorma@mail.ru</t>
  </si>
  <si>
    <t>korma.bio@yandex.ru</t>
  </si>
  <si>
    <t>+7 (926) 8554080</t>
  </si>
  <si>
    <t>ГРИШУНИН ВАДИМ АРКАДЬЕВИЧ</t>
  </si>
  <si>
    <t>["01.49 Разведение прочих животных","10.92 Производство готовых кормов для непродуктивных животных","33.20 Монтаж промышленных машин и оборудования","42.22 Строительство коммунальных объектов для обеспечения электроэнергией и телекоммуникациями","42.99 Строительство прочих инженерных сооружений, не включенных в другие группировки","43.21 Производство электромонтажных работ","43.29 Производство прочих строительно-монтажных работ","46.51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частями","46.69 Торговля оптовая прочими машинами и оборудованием","47.22 Торговля розничная мясом и мясными продуктами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перевозкам","53.20 Деятельность почтовой связи прочая и курьерская деятельность","61.10 Деятельность в области связи на базе проводных технологий","61.20 Деятельность в области связи на базе беспроводных технологий","61.90 Деятельность в области телекоммуникаций прочая","62.01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деятельность","74.90 Деятельность профессиональная, научная и техническая прочая, не включенная в другие группировки","80.20 Деятельность систем обеспечения безопасности","95.12 Ремонт коммуникационного оборудования"]</t>
  </si>
  <si>
    <t>auron91@bk.ru</t>
  </si>
  <si>
    <t>zux2@yandex.ru</t>
  </si>
  <si>
    <t>+7 (926) 6543141</t>
  </si>
  <si>
    <t>ОРЛОВ АЛЕКСАНДР АЛЕКСЕЕВИЧ</t>
  </si>
  <si>
    <t>["10.11 Переработка и консервирование мяса","10.11.1 Производство мяса в охлажденном виде","10.11.3 Производство мяса и пищевых субпродуктов в замороженном виде","10.12 Производство и консервирование мяса птицы","10.13 Производство продукции из мяса убойных животных и мяса птицы","10.91.1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животных","46.11.34 Деятельность агентов по оптовой торговле кормами для сельскохозяйственных животных","46.32 Торговля оптовая мясом и мясными продуктами","46.32.3 Торговля оптовая консервами из мяса и мяса птицы","46.38.22 Торговля оптовая кормами для домашних животных","46.90 Торговля оптовая неспециализированная","47.76.2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хранению","70.22 Консультирование по вопросам коммерческой деятельности и управления"]</t>
  </si>
  <si>
    <t>Россия, Московская обл., г. Котельники</t>
  </si>
  <si>
    <t>Котельники</t>
  </si>
  <si>
    <t>aa.orlov@icloud.com</t>
  </si>
  <si>
    <t>sanches4@yandex.ru</t>
  </si>
  <si>
    <t>info@heybro.msk.ru</t>
  </si>
  <si>
    <t>+7 (925) 3765423</t>
  </si>
  <si>
    <t>ТРУХАЧЕВ ИВАН ЮРЬЕВИЧ</t>
  </si>
  <si>
    <t>["10.92 Производство готовых кормов для непродуктивных животных","46.38.22 Торговля оптовая кормами для домашних животных","47.91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</si>
  <si>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Россия, Московская обл., г. Жуковский</t>
  </si>
  <si>
    <t>Жуковский</t>
  </si>
  <si>
    <t>truhachevi@mail.ru</t>
  </si>
  <si>
    <t>+7 (915) 3865639</t>
  </si>
  <si>
    <t>ПЕТРОВА АЛЕКСАНДРА АЛЕКСАНДРОВНА</t>
  </si>
  <si>
    <t>["10.11 Переработка и консервирование мяса","10.11.6 Производство субпродуктов, непригодных для употребления в пищу","10.92 Производство готовых кормов для непродуктивных животных","47.99 Торговля розничная прочая вне магазинов, палаток, рынков"]</t>
  </si>
  <si>
    <t>aleispetlove@mail.ru</t>
  </si>
  <si>
    <t>ООО "ХИЩНИКОФ"</t>
  </si>
  <si>
    <t>["10.89 Производство прочих пищевых продуктов, не включенных в другие группировки","10.92 Производство готовых кормов для непродуктивных животных","46.38.22 Торговля оптовая кормами для домашних животных","46.90 Торговля оптовая неспециализированная","47.19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</si>
  <si>
    <t>141031, Россия, Московская обл., г. Мытищи, п. Вешки, ул. Архитектора Жолтовского, стр. 1а/1, офис 1</t>
  </si>
  <si>
    <t>4084721@gmail.com</t>
  </si>
  <si>
    <t>+7 (903) 1814157</t>
  </si>
  <si>
    <t>СОКОЛИНСКИЙ ДМИТРИЙ ВИКТОРОВИЧ, ИНН: 501811312768, Доля: 100.0%</t>
  </si>
  <si>
    <t>СОКОЛИНСКИЙ ДМИТРИЙ ВИКТОРОВИЧ</t>
  </si>
  <si>
    <t>ООО "НАШИ КОРМА"</t>
  </si>
  <si>
    <t>["10.91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животных","46.11.34 Деятельность агентов по оптовой торговле кормами для сельскохозяйственных животных","46.21 Торговля оптовая зерном, необработанным табаком, семенами и кормами для сельскохозяйственных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</si>
  <si>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142105, Россия, Московская обл., г. Подольск, ул. Большая Серпуховская, д. 43, помещ. 1</t>
  </si>
  <si>
    <t>chevaldor@yandex.ru</t>
  </si>
  <si>
    <t>+7 (903) 9605605</t>
  </si>
  <si>
    <t>ИВАННИКОВА СВЕТЛАНА ЮРЬЕВНА, ИНН: 503610686333, Доля: 55.0%; ООО "НАШИ КОРМА", ИНН: 5074080190, Доля: 45.0%</t>
  </si>
  <si>
    <t>ООО "АКВАГРАНУЛА"</t>
  </si>
  <si>
    <t>["01.11 Выращивание зерновых (кроме риса), зернобобовых культур и семян масличных культур","01.13 Выращивание овощей, бахчевых, корнеплодных и клубнеплодных культур, грибов и трюфелей","01.41 Разведение молочного крупного рогатого скота, производство сырого молока","01.45 Разведение овец и коз","01.46 Разведение свиней","01.47 Разведение сельскохозяйственной птицы","01.49 Разведение прочих животных","01.50 Смешанное сельское хозяйство","10.11 Переработка и консервирование мяса","10.12 Производство и консервирование мяса птицы","10.20 Переработка и консервирование рыбы, ракообразных и моллюсков","10.61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хранения","10.85 Производство готовых пищевых продуктов и блюд","10.89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напитками","46.38.22 Торговля оптовая кормами для домашних животных","46.38.24 Торговля оптовая крупами","46.38.25 Торговля оптовая солью","46.38.29 Торговля оптовая прочими пищевыми продуктами, не включенными в другие группировки","46.90 Торговля оптовая неспециализированная","47.21.1 Торговля розничная свежими фруктами, овощами, картофелем и орехами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магазинах","47.29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средствами","49.41.2 Перевозка грузов неспециализированными автотранспортными средствами","52.10.3 Хранение и складирование зерна","52.10.9 Хранение и складирование прочих грузов","55.10 Деятельность гостиниц и прочих мест для временного проживания","56.10 Деятельность ресторанов и услуги по доставке продуктов питания"]</t>
  </si>
  <si>
    <t>142664, Россия, Московская обл., Орехово-Зуево г., д. Кабаново, д. 144, помещ. 27</t>
  </si>
  <si>
    <t>д. Кабаново</t>
  </si>
  <si>
    <t>akvagranula@mail.ru</t>
  </si>
  <si>
    <t>akvagranula1@mail.ru</t>
  </si>
  <si>
    <t>+7 (914) 0148899</t>
  </si>
  <si>
    <t>+7 (961) 0172682</t>
  </si>
  <si>
    <t>ГУБАНОВА НАДЕЖДА ВАСИЛЬЕВНА, ИНН: 507305302997, Доля: 76.0%; ПЕРЕВАЛОВ ЭРАСТ ВЛАДИМИРОВИЧ, ИНН: 380805459565, Доля: 12.0%; ЯНЮШКИН СЕРГЕЙ АНАТОЛЬЕВИЧ, ИНН: 380801203756, Доля: 12.0%</t>
  </si>
  <si>
    <t>ПОЛОВИНКИНА АНАСТАСИЯ ЮРЬЕВНА</t>
  </si>
  <si>
    <t>ЧЕРНОВА СВЕТЛАНА ЕВГЕНЬЕВНА</t>
  </si>
  <si>
    <t>Москва г., муниципальный округ Савеловский</t>
  </si>
  <si>
    <t>sweetie.pie.sch@gmail.com</t>
  </si>
  <si>
    <t>petsnack@mail.ru</t>
  </si>
  <si>
    <t>+7 (919) 7289885</t>
  </si>
  <si>
    <t>ЧЕМИСОВА МАРИНА АНДРЕЕВНА</t>
  </si>
  <si>
    <t>["10.92 Производство готовых кормов для непродуктивных животных","41.20 Строительство жилых и нежилых зданий","45.20 Техническое обслуживание и ремонт автотранспортных средств","47.73 Торговля розничная лекарственными средствами в специализированных магазинах (аптеках)","47.76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Интернет","49.32 Деятельность легкового такси и арендованных легковых автомобилей с водителем","63.11 Деятельность по обработке данных, предоставление услуг по размещению информации и связанная с этим деятельность","63.99 Деятельность информационных служб прочая, не включенная в другие группировки","68.10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основе","75.00 Деятельность ветеринарная","77.11 Аренда и лизинг легковых автомобилей и легких автотранспортных средств","96.09 Предоставление прочих персональных услуг, не включенных в другие группировки"]</t>
  </si>
  <si>
    <t>Россия, Московская обл., Серпухов г., д. Арнеево</t>
  </si>
  <si>
    <t>д. Арнеево</t>
  </si>
  <si>
    <t>ryabova1906@mail.ru</t>
  </si>
  <si>
    <t>ipchemisova@yandex.ru</t>
  </si>
  <si>
    <t>+7 (910) 4465902</t>
  </si>
  <si>
    <t>ЗАСКОКИНА МАРИЯ СЕРГЕЕВНА</t>
  </si>
  <si>
    <t>["10.20.3 Производство пищевой рыбной муки или муки для корма животных","10.91 Производство готовых кормов для животных, содержащихся на фермах","10.92 Производство готовых кормов для непродуктивных животных","46.38 Торговля оптовая прочими пищевыми продуктами, включая рыбу, ракообразных и моллюсков","46.42 Торговля оптовая одеждой и обувью"]</t>
  </si>
  <si>
    <t>Москва г., муниципальный округ Отрадное</t>
  </si>
  <si>
    <t>mktnn@yandex.ru</t>
  </si>
  <si>
    <t>БУКУРОВА ОЛЬГА ВАЛЕРЬЕВНА</t>
  </si>
  <si>
    <t>["10.13 Производство продукции из мяса убойных животных и мяса птицы","10.72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изделий","10.89 Производство прочих пищевых продуктов, не включенных в другие группировки","10.92 Производство готовых кормов для непродуктивных животных","46.11 Деятельность агентов по оптовой торговле сельскохозяйственным сырьем, живыми животными,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животных","46.23 Торговля оптовая живыми животными","46.32 Торговля оптовая мясом и мясными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ветеринарная","90.04.3 Деятельность учреждений клубного типа: клубов, дворцов и домов культуры, домов народного творчества","93.29 Деятельность по организации отдыха и развлечений прочая","96.09 Предоставление прочих персональных услуг, не включенных в другие группировки"]</t>
  </si>
  <si>
    <t>Москва г., муниципальный округ Бутырский</t>
  </si>
  <si>
    <t>7246407@mail.ru</t>
  </si>
  <si>
    <t>ООО "РУСАГРОИСТ"</t>
  </si>
  <si>
    <t>["10.81 Производство сахара","10.91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животных","46.90 Торговля оптовая неспециализированная","52.10 Деятельность по складированию и хранению","52.24 Транспортная обработка грузов","77.39 Аренда и лизинг прочих видов транспорта, оборудования и материальных средств,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</si>
  <si>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125362, Россия, г. Москва, ул. Свободы, д. 29, помещ. 1/1</t>
  </si>
  <si>
    <t>chapaev5555@gmail.com</t>
  </si>
  <si>
    <t>rusagroist@yandex.ru</t>
  </si>
  <si>
    <t>КОРКО СЕРГЕЙ ГРИГОРЬЕВИЧ, ИНН: 502240136965, Доля: 100.0%</t>
  </si>
  <si>
    <t>КОРКО СЕРГЕЙ ГРИГОРЬЕВИЧ</t>
  </si>
  <si>
    <t>ООО "АРНИ 1966"</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</si>
  <si>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деятельность","70.21 Деятельность в сфере связей с общественностью","73.11 Деятельность рекламных агентств","75.00 Деятельность ветеринарная","82.92 Деятельность по упаковыванию товаров"]</t>
  </si>
  <si>
    <t>129344, Россия, г. Москва, ул. Лётчика Бабушкина, д. 1, корп. 3, помещ. 419</t>
  </si>
  <si>
    <t>a9251412701@yandex.ru</t>
  </si>
  <si>
    <t>БАРАНОВ ДЕНИС ОЛЕГОВИЧ, ИНН: 280803253830, Доля: 100.0%</t>
  </si>
  <si>
    <t>БАРАНОВ ДЕНИС ОЛЕГОВИЧ</t>
  </si>
  <si>
    <t>ДОСКОВСКИХ ДЕНИС СЕРГЕЕВИЧ</t>
  </si>
  <si>
    <t>94denis@mail.ru</t>
  </si>
  <si>
    <t>АФОНИН ДМИТРИЙ ОЛЕГОВИЧ</t>
  </si>
  <si>
    <t>["10.91 Производство готовых кормов для животных, содержащихся на фермах","10.92 Производство готовых кормов для непродуктивных животных","46.11.34 Деятельность агентов по оптовой торговле кормами для сельскохозяйственных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</si>
  <si>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Москва г., муниципальный округ Гольяново</t>
  </si>
  <si>
    <t>d11job@rambler.ru</t>
  </si>
  <si>
    <t>КОЛЕСНИКОВА ОЛЬГА АЛЕКСАНДРОВНА</t>
  </si>
  <si>
    <t>["10.71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животных","46.38.26 Торговля оптовая мороженым и замороженными десертами","46.38.29 Торговля оптовая прочими пищевыми продуктами, не включенными в другие группировки","47.29 Торговля розничная прочими пищевыми продуктами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хранению","56.10 Деятельность ресторанов и услуги по доставке продуктов питания","56.21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имуществом","82.92 Деятельность по упаковыванию товаров","96.09 Предоставление прочих персональных услуг, не включенных в другие группировки"]</t>
  </si>
  <si>
    <t>elianak@list.ru</t>
  </si>
  <si>
    <t>Москва г., муниципальный округ Измайлово</t>
  </si>
  <si>
    <t>+7 (909) 9725656</t>
  </si>
  <si>
    <t>КИКТЕНКО АННА АНДРЕЕВНА</t>
  </si>
  <si>
    <t>["10.11 Переработка и консервирование мяса","10.12 Производство и консервирование мяса птицы","10.39 Прочие виды переработки и консервирования фруктов и овощей","10.83 Производство чая и кофе","10.92 Производство готовых кормов для непродуктивных животных","28.29.21 Производство оборудования для мойки, заполнения, закупоривания или упаковывания бутылок или прочих емкостей","46.21.1 Торговля оптовая зерном, семенами и кормами для животных","46.21.11 Торговля оптовая зерном","46.21.14 Торговля оптовая кормами для сельскохозяйственных животных","46.21.19 Торговля оптовая сельскохозяйственным сырьем, не включенным в другие группировки","46.31 Торговля оптовая фруктами и овощами","46.32 Торговля оптовая мясом и мясными продуктами","46.38.22 Торговля оптовая кормами для домашних животных","46.38.29 Торговля оптовая прочими пищевыми продуктами, не включенными в другие группировки","46.39.1 Торговля оптовая неспециализированная замороженными пищевыми продуктами","47.11.1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магазинах","47.22.1 Торговля розничная мясом и мясом птицы, включая субпродукты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группировки","47.76.2 Торговля розничная домашними животными и кормами для домашних животных в специализированных магазинах","47.78.3 Торговля розничная сувенирами, изделиями народных художественных промыслов","47.99 Торговля розничная прочая вне магазинов, палаток, рынков","52.10 Деятельность по складированию и хранению","52.24 Транспортная обработка грузов","53.20 Деятельность почтовой связи прочая и курьерская деятельность","82.92 Деятельность по упаковыванию товаров"]</t>
  </si>
  <si>
    <t>Москва г., муниципальный округ Чертаново Северное</t>
  </si>
  <si>
    <t>spanki686@mail.ru</t>
  </si>
  <si>
    <t>КОНОНОВ АЛЕКСАНДР ДМИТРИЕВИЧ</t>
  </si>
  <si>
    <t>["10.92 Производство готовых кормов для непродуктивных животных","47.76.2 Торговля розничная домашними животными и кормами для домашних животных в специализированных магазинах"]</t>
  </si>
  <si>
    <t>alex.kononov161@gmail.com</t>
  </si>
  <si>
    <t>ГАВРИЛОВА КСЕНИЯ РОМАНОВНА</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</si>
  <si>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Интернет","53.20 Деятельность почтовой связи прочая и курьерская деятельность","70.21 Деятельность в сфере связей с общественностью","73.11 Деятельность рекламных агентств","73.20 Исследование конъюнктуры рынка и изучение общественного мнения","82.92 Деятельность по упаковыванию товаров"]</t>
  </si>
  <si>
    <t>Москва г., муниципальный округ Раменки</t>
  </si>
  <si>
    <t>gavrilovaksenia2006@gmail.com</t>
  </si>
  <si>
    <t>+7 (967) 0086015</t>
  </si>
  <si>
    <t>БАЛАБАН МАРИНА МИХАЙЛОВНА</t>
  </si>
  <si>
    <t>["10.11 Переработка и консервирование мяса","10.39 Прочие виды переработки и консервирования фруктов и овощей","10.91 Производство готовых кормов для животных, содержащихся на фермах","10.92 Производство готовых кормов для непродуктивных животных","45.20 Техническое обслуживание и ремонт автотранспортных средств","45.31 Торговля оптовая автомобильными деталями, узлами и принадлежностями","45.40 Торговля мотоциклами, их деталями, узлами и принадлежностями","46.38.22 Торговля оптовая кормами для домашних животных","47.22.1 Торговля розничная мясом и мясом птицы, включая субпродукты в специализированных магазинах","47.76.2 Торговля розничная домашними животными и кормами для домашних животных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транспортом","53.20 Деятельность почтовой связи прочая и курьерская деятельность","68.20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t>
  </si>
  <si>
    <t>Москва г., муниципальный округ Зюзино</t>
  </si>
  <si>
    <t>marina_volkova543@bk.ru</t>
  </si>
  <si>
    <t>+7 (904) 6542345</t>
  </si>
  <si>
    <t>ООО "ЭНТОБЕЛОК"</t>
  </si>
  <si>
    <t>["10.11.5 Производство животных жиров","10.20.3 Производство пищевой рыбной муки или муки для корма животных","10.91 Производство готовых кормов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животных","20.15.8 Производство удобрений животного или растительного происхождения","46.11 Деятельность агентов по оптовой торговле сельскохозяйственным сырьем, живыми животными, текстильным сырьем и полуфабрикатами","46.21.14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группировки","46.38.22 Торговля оптовая кормами для домашних животных","47.19 Торговля розничная прочая в неспециализированных магазинах","47.89.1 Торговля розничная в нестационарных торговых объектах прочими товарами","47.89.2 Торговля розничная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t>
  </si>
  <si>
    <t>105523, Россия, г. Москва, ул. 15-я Парковая, д. 42, корп. 1, кв. 62</t>
  </si>
  <si>
    <t>entobelok@mail.ru</t>
  </si>
  <si>
    <t>НАГЛЮК ТАТЬЯНА ИВАНОВНА, ИНН: 434600979160, Доля: 50.0%; БОНДАРЧУК ЕЛЕНА ЛЕОНИДОВНА, ИНН: 503410894985, Доля: 50.0%</t>
  </si>
  <si>
    <t>НАГЛЮК ТАТЬЯНА ИВАНОВНА</t>
  </si>
  <si>
    <t>ПУЖАЙКИНА ЕЛЕНА ВАСИЛЬЕВНА</t>
  </si>
  <si>
    <t>["10.92 Производство готовых кормов для непродуктивных животных","46.21.1 Торговля оптовая зерном, семенами и кормами для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магазинах","47.99 Торговля розничная прочая вне магазинов, палаток, рынков","52.10 Деятельность по складированию и хранению"]</t>
  </si>
  <si>
    <t>Москва г., муниципальный округ Преображенское</t>
  </si>
  <si>
    <t>ip-puzhaikina@mail.ru</t>
  </si>
  <si>
    <t>КАТЕРИНИЧ НИКИТА СЕРГЕЕВИЧ</t>
  </si>
  <si>
    <t>["10.91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животных","46.49 Торговля оптовая прочими бытовыми товарами","46.90 Торговля оптовая неспециализированная","47.76.2 Торговля розничная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</si>
  <si>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Москва г., муниципальный округ Котловка</t>
  </si>
  <si>
    <t>knsnikita@ya.ru</t>
  </si>
  <si>
    <t>СЕРГЕЕВА ЕЛЕНА ЛЕОНИДОВНА</t>
  </si>
  <si>
    <t>["10.13.6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пищу","10.89.8 Производство биологически активных добавок к пище","10.89.9 Производство прочих продуктов питания, не включенных в другие группировки","10.92 Производство готовых кормов для непродуктивных животных","46.11.34 Деятельность агентов по оптовой торговле кормами для сельскохозяйственных животных","46.18.1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группировки","46.38.22 Торговля оптовая кормами для домашних животных","46.38.29 Торговля оптовая прочими пищевыми продуктами,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ассортимента","47.22.2 Торговля розничная продуктами из мяса и мяса птицы в специализированных магазинах","47.29 Торговля розничная прочими пищевыми продуктами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магазинах","47.51 Торговля розничная текстильными изделиями в специализированных магазинах","47.51.2 Торговля розничная галантерейными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магазинах","47.52.3 Торговля розничная стеклом в специализированных магазинах","47.52.4 Торговля розничная материалами и оборудованием для изготовления поделок в специализированных магазинах","47.52.5 Торговля розничная санитарно-техническим оборудованием в специализированных магазинах","47.52.6 Торговля розничная садово-огородной техникой и инвентарем в специализированных магазинах","47.52.7 Торговля розничная строительными материалами, не включенными в другие группировки, в специализированных магазинах","47.52.73 Торговля розничная металлическими и неметаллическими конструкциями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магазинах","47.59.1 Торговля розничная мебелью в специализированных магазинах","47.59.2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магазинах","47.59.4 Торговля розничная изделиями из дерева, пробки и плетеными изделиями в специализированных магазинах","47.59.6 Торговля розничная неэлектрическими бытовыми приборами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магазинах","47.62 Торговля розничная газетами и канцелярскими товарами в специализированных магазинах","47.62.2 Торговля розничная писчебумажными и канцелярскими товарами в специализированных магазинах","47.64 Торговля розничная спортивным оборудованием и спортивными товарами в специализированных магазинах","47.64.1 Торговля розничная спортивным оборудованием и спортивными товарами в специализированных магазинах","47.64.2 Торговля розничная рыболовными принадлежностями в специализированных магазинах","47.64.3 Торговля розничная туристическим снаряжением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магазинах","47.71.1 Торговля розничная мужской, женской и детской одеждой в специализированных магазинах"]</t>
  </si>
  <si>
    <t>myaumarket@yandex.ru</t>
  </si>
  <si>
    <t>КРЕЩУК СВЕТЛАНА ЖОРЖЕВНА</t>
  </si>
  <si>
    <t>["10.11 Переработка и консервирование мяса","10.91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t>
  </si>
  <si>
    <t>Москва г., муниципальный округ Южное Бутово</t>
  </si>
  <si>
    <t>svetgorgevna@gmail.com</t>
  </si>
  <si>
    <t>ПАПИН КОНСТАНТИН ВЛАДИМИРОВИЧ</t>
  </si>
  <si>
    <t>["10.92 Производство готовых кормов для непродуктивных животных","43.21 Производство электромонтажных работ","43.29 Производство прочих строительно-монтажных работ","47.76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Интернет","95.12 Ремонт коммуникационного оборудования"]</t>
  </si>
  <si>
    <t>Москва г., муниципальный округ Ивановское</t>
  </si>
  <si>
    <t>eee.akf@bk.ru</t>
  </si>
  <si>
    <t>ГЕРАЩЕНКО ОКСАНА НИКОЛАЕВНА</t>
  </si>
  <si>
    <t>["10.92 Производство готовых кормов для непродуктивных животных","47.91 Торговля розничная по почте или по информационно-коммуникационной сети Интернет","74.10 Деятельность специализированная в области дизайна","81.30 Деятельность по благоустройству ландшафта"]</t>
  </si>
  <si>
    <t>Москва г., муниципальный округ Головинский</t>
  </si>
  <si>
    <t>ogeraschenko@yandex.ru</t>
  </si>
  <si>
    <t>ДУХИН РОМАН НИКОЛАЕВИЧ</t>
  </si>
  <si>
    <t>Москва г., муниципальный округ Новокосино</t>
  </si>
  <si>
    <t>41272@mail.ru</t>
  </si>
  <si>
    <t>АФАНАСЬЕВ ЛЕОНИД МИХАЙЛОВИЧ</t>
  </si>
  <si>
    <t>["10.91.1 Производство готовых кормов (смешанных и несмешанных), кроме муки и гранул из люцерны, для животных, содержащихся на фермах","10.91.2 Производство муки грубого помола и гранул из люцерны","10.91.3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t>
  </si>
  <si>
    <t>Москва г., муниципальный округ Ховрино</t>
  </si>
  <si>
    <t>leo200385@mail.ru</t>
  </si>
  <si>
    <t>БОЛЬШАКОВА НАДЕЖДА РАШЕТОВНА</t>
  </si>
  <si>
    <t>["10.92 Производство готовых кормов для непродуктивных животных","46.38.22 Торговля оптовая кормами для домашних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</si>
  <si>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nkhope@mail.ru</t>
  </si>
  <si>
    <t>АНИСИМОВ МАКСИМ АЛЕКСЕЕВИЧ</t>
  </si>
  <si>
    <t>["01.49.5 Разведение домашних животных","10.92 Производство готовых кормов для непродуктивных животных","46.38.22 Торговля оптовая кормами для домашних животных","46.45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прочая","75.00.2 Деятельность ветеринарная для домашних животных","82.92 Деятельность по упаковыванию товаров","96.09 Предоставление прочих персональных услуг, не включенных в другие группировки"]</t>
  </si>
  <si>
    <t>anisimov5a1852@yandex.ru</t>
  </si>
  <si>
    <t>АБАЛАЕВА МАРГАРИТА АНДРЕЕВНА</t>
  </si>
  <si>
    <t>puppyjoy2024@yandex.ru</t>
  </si>
  <si>
    <t>+7 (968) 5979818</t>
  </si>
  <si>
    <t>СКОРИН АНАТОЛИЙ ЛЕОНИДОВИЧ</t>
  </si>
  <si>
    <t>["10.91.1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животных","46.21.14 Торговля оптовая кормами для сельскохозяйственных животных","46.38.22 Торговля оптовая кормами для домашних животных","47.91.2 Торговля розничная, осуществляемая непосредственно при помощи информационно-коммуникационной сети Интернет"]</t>
  </si>
  <si>
    <t>Москва г., муниципальный округ Вешняки</t>
  </si>
  <si>
    <t>anatolyskorin@gmail.com</t>
  </si>
  <si>
    <t>+7 (916) 6642715</t>
  </si>
  <si>
    <t>ПУСТАРНАКОВ АНАТОЛИЙ АНАТОЛЬЕВИЧ</t>
  </si>
  <si>
    <t>["10.91 Производство готовых кормов для животных, содержащихся на фермах","10.92 Производство готовых кормов для непродуктивных животных","46.11.3 Деятельность агентов по оптовой торговле прочим сельскохозяйственным сырьем, текстильным сырьем и полуфабрикатами","46.19 Деятельность агентов по оптовой торговле универсальным ассортиментом товаров","46.21.14 Торговля оптовая кормами для сельскохозяйственных животных","46.90 Торговля оптовая неспециализированная","47.76.2 Торговля розничная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рынков","53.20.31 Деятельность по курьерской доставке различными видами транспорта","62.01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web-порталов","70.22 Консультирование по вопросам коммерческой деятельности и управления","82.30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</si>
  <si>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Россия, Москва г., Вороново р-н</t>
  </si>
  <si>
    <t>pustarnakovct@yandex.ru</t>
  </si>
  <si>
    <t>КОНДРАТЬЕВА ЮЛИЯ МИХАЙЛОВНА</t>
  </si>
  <si>
    <t>["10.92 Производство готовых кормов для непродуктивных животных","47.91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деятельность","71.20 Технические испытания, исследования, анализ и сертификация","82.92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</si>
  <si>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Россия, Москва г., Щербинка р-н</t>
  </si>
  <si>
    <t>ntcrd@yandex.ru</t>
  </si>
  <si>
    <t>ПАНОВ СЕРГЕЙ ЕВГЕНЬЕВИЧ</t>
  </si>
  <si>
    <t>["10.92 Производство готовых кормов для непродуктивных животных","46.38 Торговля оптовая прочими пищевыми продуктами, включая рыбу, ракообразных и моллюсков","47.76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t>
  </si>
  <si>
    <t>Россия, Москва г., Коммунарка р-н</t>
  </si>
  <si>
    <t>sergeypanovtrade@gmail.com</t>
  </si>
  <si>
    <t>СЕНОКОСОВА ЮЛИЯ СЕРГЕЕВНА</t>
  </si>
  <si>
    <t>senokosova_yuliya@mail.ru</t>
  </si>
  <si>
    <t>РУССКОВА МАРИЯ НИКОЛАЕВНА</t>
  </si>
  <si>
    <t>["10.91.3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животных","46.38.22 Торговля оптовая кормами для домашних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Интернет","96.09 Предоставление прочих персональных услуг, не включенных в другие группировки"]</t>
  </si>
  <si>
    <t>rus@mosmiso.ru</t>
  </si>
  <si>
    <t>https://mosmiso.ru</t>
  </si>
  <si>
    <t>+7 (926) 5809444</t>
  </si>
  <si>
    <t>МАКСИМЕНКОВ ЮРИЙ АЛЕКСАНДРОВИЧ</t>
  </si>
  <si>
    <t>["10.91 Производство готовых кормов для животных, содержащихся на фермах","10.92 Производство готовых кормов для непродуктивных животных","47.19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магазинах","47.99 Торговля розничная прочая вне магазинов, палаток, рынков"]</t>
  </si>
  <si>
    <t>Москва г., муниципальный округ Лефортово</t>
  </si>
  <si>
    <t>uriyvspoloh@gmail.com</t>
  </si>
  <si>
    <t>БУСЛОВСКАЯ ЕКАТЕРИНА ДМИТРИЕВНА</t>
  </si>
  <si>
    <t>["10.91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 Деятельность почтовой связи прочая и курьерская деятельность"]</t>
  </si>
  <si>
    <t>Москва г., муниципальный округ Орехово-Борисово Южное</t>
  </si>
  <si>
    <t>katenkamaksimova31129@gmail.com</t>
  </si>
  <si>
    <t>КЛИШИНА ЕЛЕНА ВАЛЕРЬЕВНА</t>
  </si>
  <si>
    <t>["10.13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овощей","10.92 Производство готовых кормов для непродуктивных животных","13.99 Производство прочих текстильных изделий, не включенных в другие группировки","16.29 Производство прочих деревянных изделий","25.61 Обработка металлов и нанесение покрытий на металлы","25.62 Обработка металлических изделий механическая","25.99 Производство прочих готовых металлических изделий, не включенных в другие группировки","43.21 Производство электромонтажных работ","46.32 Торговля оптовая мясом и мясными продуктами","46.38 Торговля оптовая прочими пищевыми продуктами, включая рыбу, ракообразных и моллюсков","46.43 Торговля оптовая бытовыми электротоварами","46.47 Торговля оптовая мебелью, коврами и осветительным оборудованием","46.49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станками","46.65 Торговля оптовая офисной мебелью","46.66 Торговля оптовая прочей офисной техникой и оборудованием","46.69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</si>
  <si>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Москва г., муниципальный округ Крылатское</t>
  </si>
  <si>
    <t>ek6832@gmail.com</t>
  </si>
  <si>
    <t>СЕРЕБРО ИЗАБЕЛЛА ГЕННАДЬЕВНА</t>
  </si>
  <si>
    <t>["10.41.4 Производство жмыха и муки тонкого и грубого помола из семян или плодов масличных культур","10.92 Производство готовых кормов для непродуктивных животных","17.29 Производство прочих изделий из бумаги и картона","46.16 Деятельность агентов по оптовой торговле текстильными изделиями, одеждой, обувью, изделиями из кожи и меха","46.19 Деятельность агентов по оптовой торговле универсальным ассортиментом товаров","46.22 Торговля оптовая цветами и растениями","46.42 Торговля оптовая одеждой и обувью","46.75.1 Торговля оптовая удобрениями и агрохимическими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перевозками","63.11 Деятельность по обработке данных, предоставление услуг по размещению информации и связанная с этим деятельность","63.99 Деятельность информационных служб прочая, не включенная в другие группировки"]</t>
  </si>
  <si>
    <t>Москва г., муниципальный округ Люблино</t>
  </si>
  <si>
    <t>izabellcom@mail.ru</t>
  </si>
  <si>
    <t>ООО "ПЁСЛАНДИЯ"</t>
  </si>
  <si>
    <t>["10.20.3 Производство пищевой рыбной муки или муки для корма животных","10.91 Производство готовых кормов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животных","46.38.22 Торговля оптовая кормами для домашних животных","46.90 Торговля оптовая неспециализированная","47.11.3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автоматы","53.20 Деятельность почтовой связи прочая и курьерская деятельность"]</t>
  </si>
  <si>
    <t>123112, Россия, г. Москва, наб. Пресненская, д. 12, помещ. 10/45</t>
  </si>
  <si>
    <t>nadindim@mail.ru</t>
  </si>
  <si>
    <t>АНФИНОГЕНОВ ДМИТРИЙ МИХАЙЛОВИЧ, ИНН: 773405132798, Доля: 100.0%</t>
  </si>
  <si>
    <t>АНФИНОГЕНОВ ДМИТРИЙ МИХАЙЛОВИЧ</t>
  </si>
  <si>
    <t>ПАРШКОВА ВЕРОНИКА ИЛЬИНИЧНА</t>
  </si>
  <si>
    <t>["01.61 Предоставление услуг в области растениеводства","10.91 Производство готовых кормов для животных, содержащихся на фермах","10.91.3 Производство кормового микробиологического белка, премиксов, кормовых витаминов, антибиотиков, аминокислот и ферментов","10.92 Производство готовых кормов для непродуктивных животных","46.11.3 Деятельность агентов по оптовой торговле прочим сельскохозяйственным сырьем, текстильным сырьем и полуфабрикатами","46.11.34 Деятельность агентов по оптовой торговле кормами для сельскохозяйственных животных","46.17.1 Деятельность агентов по оптовой торговле пищевыми продуктами","46.21 Торговля оптовая зерном, необработанным табаком, семенами и кормами для сельскохозяйственных животных","46.21.11 Торговля оптовая зерном","46.21.14 Торговля оптовая кормами для сельскохозяйственных животных","46.38.22 Торговля оптовая кормами для домашних животных","46.49.4 Торговля оптовая прочими потребительскими товарами","46.52 Торговля оптовая электронным и телекоммуникационным оборудованием и его запасными частями","47.11 Торговля розничная преимущественно пищевыми продуктами, включая напитки, и табачными изделиями в неспециализированных магазинах","47.25 Торговля розничная напитками в специализированных магазинах","47.25.1 Торговля розничная алкогольными напитками, включая пиво, в специализированных магазинах","47.25.2 Торговля розничная безалкогольными напитками в специализированных магазинах","47.29.3 Торговля розничная прочими пищевыми продуктами в специализированных магазинах","47.76.2 Торговля розничная домашними животными и кормами для домашних животных в специализированных магазинах"]</t>
  </si>
  <si>
    <t>Москва г., муниципальный округ Строгино</t>
  </si>
  <si>
    <t>6603201@mail.ru</t>
  </si>
  <si>
    <t>ДМИТРИЕВСКИЙ АЛЕКСЕЙ СЕРГЕЕВИЧ</t>
  </si>
  <si>
    <t>["10.92 Производство готовых кормов для непродуктивных животных","46.19 Деятельность агентов по оптовой торговле универсальным ассортиментом товаров","46.38.22 Торговля оптовая кормами для домашних животных","46.90 Торговля оптовая неспециализированная","47.19.2 Деятельность универсальных магазинов, торгующих товарами общего ассортимента","47.76.2 Торговля розничная домашними животными и кормами для домашних животных в специализированных магазинах","49.32 Деятельность легкового такси и арендованных легковых автомобилей с водителем","52.29 Деятельность вспомогательная прочая, связанная с перевозками","53.20.31 Деятельность по курьерской доставке различными видами транспорта"]</t>
  </si>
  <si>
    <t>Москва г., муниципальный округ Левобережный</t>
  </si>
  <si>
    <t>ip.dmytrievsky@yandex.ru</t>
  </si>
  <si>
    <t>ip.dmitrievsky@yandex.ru</t>
  </si>
  <si>
    <t>info@shop-animal.ru</t>
  </si>
  <si>
    <t>https://shop-animal.ru:443/</t>
  </si>
  <si>
    <t>+7 (926) 3837026</t>
  </si>
  <si>
    <t>+7 (967) 0571647</t>
  </si>
  <si>
    <t>ЩЕРБАКОВ ВЛАДИМИР БОРИСОВИЧ</t>
  </si>
  <si>
    <t>["01.49 Разведение прочих животных","10.89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животных","46.38.22 Торговля оптовая кормами для домашних животных","47.76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</si>
  <si>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89851993881@mail.ru</t>
  </si>
  <si>
    <t>ШАПОШНИКОВ АЛЕКСЕЙ ЕВГЕНЬЕВИЧ</t>
  </si>
  <si>
    <t>["10.91 Производство готовых кормов для животных, содержащихся на фермах","10.92 Производство готовых кормов для непродуктивных животных","46.21.14 Торговля оптовая кормами для сельскохозяйственных животных","46.38.22 Торговля оптовая кормами для домашних животных","46.90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рынков","53.20.3 Деятельность курьерская","68.10.23 Покупка и продажа земельных участков","68.20 Аренда и управление собственным или арендованным недвижимым имуществом","69.10 Деятельность в области права","70.22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</si>
  <si>
    <t>Москва г., муниципальный округ Кузьминки</t>
  </si>
  <si>
    <t>79295956446@yandex.ru</t>
  </si>
  <si>
    <t>shaposhnikov.ae@yandex.ru</t>
  </si>
  <si>
    <t>zakupki@buddydinner.ru</t>
  </si>
  <si>
    <t>i9126640564@mail.ru</t>
  </si>
  <si>
    <t>https://buddydinner.ru</t>
  </si>
  <si>
    <t>+7 (495) 2055665</t>
  </si>
  <si>
    <t>+7 (926) 1182046</t>
  </si>
  <si>
    <t>+7 (929) 5956446</t>
  </si>
  <si>
    <t>+7 (495) 1479323</t>
  </si>
  <si>
    <t>ООО "АКВА АРТЕ"</t>
  </si>
  <si>
    <t>["10.92 Производство готовых кормов для непродуктивных животных","46.32.3 Торговля оптовая консервами из мяса и мяса птицы","46.38.22 Торговля оптовая кормами для домашних животных","46.39 Торговля оптовая неспециализированная пищевыми продуктами, напитками и табачными изделиями","52.10 Деятельность по складированию и хранению","52.24 Транспортная обработка грузов","52.29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</si>
  <si>
    <t>117556, Россия, г. Москва, ул. Фруктовая, д. 7, корп. 1, офис 5, этаж 2</t>
  </si>
  <si>
    <t>info@acqua-arte.ru</t>
  </si>
  <si>
    <t>+7 (495) 2263226</t>
  </si>
  <si>
    <t>ООО "АКВА АРТЕ", ИНН: 7724829469, Доля: 83.33%; ЗОТОВ ПАВЕЛ НИКОЛАЕВИЧ, ИНН: 504026622783, Доля: 20.0%</t>
  </si>
  <si>
    <t>ЮРКШАТ АЛЕКСАНДР СЕРГЕЕВИЧ</t>
  </si>
  <si>
    <t>ООО  "ДРИССЕН ГЛОБАЛ СЕРВИС"</t>
  </si>
  <si>
    <t>["10.92 Производство готовых кормов для непродуктивных животных","16.23.1 Производство деревянных строительных конструкций и столярных изделий","16.23.2 Производство сборных деревянных строений","23.61 Производство изделий из бетона для использования в строительстве","23.62 Производство гипсовых изделий для использования в строительстве","26.20 Производство компьютеров и периферийного оборудования","33.14 Ремонт электрического оборудования","33.20 Монтаж промышленных машин и оборудования","42.21 Строительство инженерных коммуникаций для водоснабжения и водоотведения, газоснабжения","42.22.2 Строительство местных линий электропередачи и связи","46.90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Интернет","59.11 Производство кинофильмов, видеофильмов и телевизионных программ","59.13 Деятельность по распространению кинофильмов, видеофильмов и телевизионных программ","60.10 Деятельность в области радиовещания","60.20 Деятельность в области телевизионного вещания","71.1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продукции","95.11 Ремонт компьютеров и периферийного компьютерного оборудования"]</t>
  </si>
  <si>
    <t>119619, Россия, г. Москва, ул. Производственная, д. 2, помещ. 1</t>
  </si>
  <si>
    <t>1157746140089@mail.ru</t>
  </si>
  <si>
    <t>9996583940@mail.ru</t>
  </si>
  <si>
    <t>info@perrogato.ru</t>
  </si>
  <si>
    <t>https://perrogato.ru</t>
  </si>
  <si>
    <t>+7 (495) 6480390</t>
  </si>
  <si>
    <t>+7 (999) 6583940</t>
  </si>
  <si>
    <t>КОРОЛЕВА ЕКАТЕРИНА ВЛАДИМИРОВНА, ИНН: 615490963803, Доля: 100.0%</t>
  </si>
  <si>
    <t>РАТНИКОВА МАРИЯ СТАНИСЛАВОВНА</t>
  </si>
  <si>
    <t>ООО "ЮТА"</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</si>
  <si>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виде","10.12 Производство и консервирование мяса птицы","10.13 Производство продукции из мяса убойных животных и мяса птицы","10.91.1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животных","46.11.34 Деятельность агентов по оптовой торговле кормами для сельскохозяйственных животных","46.32 Торговля оптовая мясом и мясными продуктами","46.32.3 Торговля оптовая консервами из мяса и мяса птицы","46.38.22 Торговля оптовая кормами для домашних животных","46.90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хранению","70.22 Консультирование по вопросам коммерческой деятельности и управления"]</t>
  </si>
  <si>
    <t>119602, Россия, г. Москва, ул. Мичуринский проспект.Олимпийская деревня, д. 1, корп. 1, кв. 103</t>
  </si>
  <si>
    <t>0640280@mail.ru</t>
  </si>
  <si>
    <t>5270614@gmail.com</t>
  </si>
  <si>
    <t>oleg734@yandex.ru</t>
  </si>
  <si>
    <t>+7 (926) 5270413</t>
  </si>
  <si>
    <t>+7 (926) 5270614</t>
  </si>
  <si>
    <t>КОЛОМИЕЦ ОЛЕГ АЛЕКСАНДРОВИЧ, ИНН: 772970148593, Доля: 100.0%</t>
  </si>
  <si>
    <t>КОЛОМИЕЦ ОЛЕГ АЛЕКСАНДРОВИЧ</t>
  </si>
  <si>
    <t>КОНСТАНТИНОВА МАРИНА СЕРГЕЕВНА</t>
  </si>
  <si>
    <t>["10.92 Производство готовых кормов для непродуктивных животных","47.76.2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Интернет","73.11 Деятельность рекламных агентств","74.10 Деятельность специализированная в области дизайна"]</t>
  </si>
  <si>
    <t>ghostofnight2012@yandex.ru</t>
  </si>
  <si>
    <t>ie.msk.biz@yandex.ru</t>
  </si>
  <si>
    <t>+7 (916) 3673238</t>
  </si>
  <si>
    <t>МЕНЬШИКОВ МИХАИЛ АНАТОЛЬЕВИЧ</t>
  </si>
  <si>
    <t>["10.92 Производство готовых кормов для непродуктивных животных","13.99 Производство прочих текстильных изделий, не включенных в другие группировки","15.12 Производство чемоданов, дамских сумок и аналогичных изделий из кожи и других материалов","46.38 Торговля оптовая прочими пищевыми продуктами, включая рыбу, ракообразных и моллюсков","46.49 Торговля оптовая прочими бытовыми товарами","47.19 Торговля розничная прочая в неспециализированных магазинах","47.72 Торговля розничная обувью и изделиями из кожи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рынков","49.31 Деятельность сухопутного пассажирского транспорта: перевозки пассажиров в городском и пригородном сообщении","49.32 Деятельность легкового такси и арендованных легковых автомобилей с водителем","53.20.3 Деятельность курьерская","75.00 Деятельность ветеринарная","96.09 Предоставление прочих персональных услуг, не включенных в другие группировки"]</t>
  </si>
  <si>
    <t>Москва г., муниципальный округ Марьино</t>
  </si>
  <si>
    <t>bonehrust@gmail.com</t>
  </si>
  <si>
    <t>+7 (963) 6426969</t>
  </si>
  <si>
    <t>ГОЛЫШКОВА АРИНА СЕРГЕЕВНА</t>
  </si>
  <si>
    <t>["10.92 Производство готовых кормов для непродуктивных животных","47.91 Торговля розничная по почте или по информационно-коммуникационной сети Интернет","47.99 Торговля розничная прочая вне магазинов, палаток, рынков"]</t>
  </si>
  <si>
    <t>Москва г., муниципальный округ Басманный</t>
  </si>
  <si>
    <t>anv3101@yandex.ru</t>
  </si>
  <si>
    <t>arina-3105@yandex.ru</t>
  </si>
  <si>
    <t>fijimeal@yandex.ru</t>
  </si>
  <si>
    <t>+7 (962) 9399606</t>
  </si>
  <si>
    <t>+7 (999) 6662001</t>
  </si>
  <si>
    <t>ПОНОМАРЕВ ЕГОР АЛЕКСАНДРОВИЧ</t>
  </si>
  <si>
    <t>["10.92 Производство готовых кормов для непродуктивных животных","46.90 Торговля оптовая неспециализированная","47.19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</si>
  <si>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ponomarev88@outlook.com</t>
  </si>
  <si>
    <t>egor.ponomarev@vk.com</t>
  </si>
  <si>
    <t>+7 (906) 0850674</t>
  </si>
  <si>
    <t>КОЗИНСКИЙ ИГОРЬ АНАТОЛЬЕВИЧ</t>
  </si>
  <si>
    <t>["10.92 Производство готовых кормов для непродуктивных животных","46.38.22 Торговля оптовая кормами для домашних животных","46.49.42 Торговля оптовая играми и игрушками","46.49.49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доставкой","47.99.2 Деятельность по осуществлению торговли через автоматы","47.99.5 Деятельность по осуществлению розничных продаж комиссионными агентами вне магазинов","53.20.31 Деятельность по курьерской доставке различными видами транспорта","53.20.39 Деятельность курьерская прочая"]</t>
  </si>
  <si>
    <t>Москва г., муниципальный округ Северное Бутово</t>
  </si>
  <si>
    <t>antkoz@mail.ru</t>
  </si>
  <si>
    <t>+7 (983) 5102045</t>
  </si>
  <si>
    <t>СТЕФАНОВА НАТАЛИЯ АЛЕКСАНДРОВНА</t>
  </si>
  <si>
    <t>["10.92 Производство готовых кормов для непродуктивных животных","47.91 Торговля розничная по почте или по информационно-коммуникационной сети Интернет","53.20.31 Деятельность по курьерской доставке различными видами транспорта","71.11 Деятельность в области архитектуры","71.12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</si>
  <si>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Москва г., муниципальный округ Марьина роща</t>
  </si>
  <si>
    <t>vinni-pux-i-vse-vse-vse@mail.ru</t>
  </si>
  <si>
    <t>+7 (967) 0963269</t>
  </si>
  <si>
    <t>КОПЫЛОВА ЮЛИЯ ВИКТОРОВНА</t>
  </si>
  <si>
    <t>Москва г., муниципальный округ Пресненский</t>
  </si>
  <si>
    <t>redprayd@yandex.ru</t>
  </si>
  <si>
    <t>+7 (926) 0523206</t>
  </si>
  <si>
    <t>БЕШЛИУ ТАТЬЯНА СЕРГЕЕВНА</t>
  </si>
  <si>
    <t>Москва г., муниципальный округ Войковский</t>
  </si>
  <si>
    <t>tanyushkabeshliu@yandex.ru</t>
  </si>
  <si>
    <t>soarelemeu@inbox.ru</t>
  </si>
  <si>
    <t>+7 (903) 7815551</t>
  </si>
  <si>
    <t>СТУКАЛО ОЛЬГА ИГОРЕВНА</t>
  </si>
  <si>
    <t>["10.92 Производство готовых кормов для непродуктивных животных","43.31 Производство штукатурных работ","43.32.2 Работы по установке внутренних лестниц, встроенных шкафов, встроенного кухонного оборудования","43.33 Работы по устройству покрытий полов и облицовке стен","43.39 Производство прочих отделочных и завершающих работ","43.99 Работы строительные специализированные прочие, не включенные в другие группировки","43.99.9 Работы строительные специализированные, не включенные в другие группировки","46.38.22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магазинах","81.10 Деятельность по комплексному обслуживанию помещений","81.21 Деятельность по общей уборке зданий","81.21.9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прочая","81.29.2 Подметание улиц и уборка снега","81.30 Деятельность по благоустройству ландшафта","82.11 Деятельность административно-хозяйственная комплексная по обеспечению работы организации","82.99 Деятельность по предоставлению прочих вспомогательных услуг для бизнеса, не включенная в другие группировки"]</t>
  </si>
  <si>
    <t>Москва г., муниципальный округ Перово</t>
  </si>
  <si>
    <t>olgastukalo@yandex.ru</t>
  </si>
  <si>
    <t>info@donlapo.ru</t>
  </si>
  <si>
    <t>https://donlapo.ru</t>
  </si>
  <si>
    <t>+7 (989) 0488027</t>
  </si>
  <si>
    <t>СОЛОВЬЕВА ЕЛИЗАВЕТА ДМИТРИЕВНА</t>
  </si>
  <si>
    <t>["10.11 Переработка и консервирование мяса","10.11.1 Производство мяса в охлажденном виде","10.11.2 Производство пищевых субпродуктов в охлажденном виде","10.11.3 Производство мяса и пищевых субпродуктов в замороженном виде","10.11.4 Производство щипаной шерсти, сырых шкур и кож крупного рогатого скота, животных семейств лошадиных и оленевых, овец и коз","10.11.5 Производство животных жиров","10.11.6 Производство субпродуктов, непригодных для употребления в пищу","10.12 Производство и консервирование мяса птицы","10.12.1 Производство мяса птицы в охлажденном виде","10.12.2 Производство мяса птицы в замороженном виде","10.12.3 Производство жиров домашней птицы","10.12.4 Производство субпродуктов домашней птицы, пригодных для употребления в пищу","10.12.5 Производство пера и пуха","10.13 Производство продукции из мяса убойных животных и мяса птицы","10.13.1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консервов","10.13.4 Производство мясных (мясосодержащих) полуфабрикатов","10.13.5 Производство кулинарных мясных (мясосодержащих) изделий","10.13.6 Производство прочей пищевой продукции из мяса или мясных пищевых субпродуктов","10.13.7 Производство муки и гранул из мяса и мясных субпродуктов, непригодных для употребления в пищу","10.13.9 Предоставление услуг по тепловой обработке и прочим способам переработки мясных продуктов","10.20.3 Производство пищевой рыбной муки или муки для корма животных","10.39 Прочие виды переработки и консервирования фруктов и овощей","10.91 Производство готовых кормов для животных, содержащихся на фермах","10.92 Производство готовых кормов для непродуктивных животных","46.17.1 Деятельность агентов по оптовой торговле пищевыми продуктами","46.31 Торговля оптовая фруктами и овощами","46.38.22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</si>
  <si>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Москва г., муниципальный округ Обручевский</t>
  </si>
  <si>
    <t>elizaveta.guskova@gmail.com</t>
  </si>
  <si>
    <t>АКСЮТИН АЛЕКСАНДР ИГОРЕВИЧ</t>
  </si>
  <si>
    <t>["10.11.2 Производство пищевых субпродуктов в охлажденном виде","10.11.3 Производство мяса и пищевых субпродуктов в замороженном виде","10.11.6 Производство субпродуктов, непригодных для употребления в пищу","10.12 Производство и консервирование мяса птицы","10.12.1 Производство мяса птицы в охлажденном виде","10.12.2 Производство мяса птицы в замороженном виде","10.13 Производство продукции из мяса убойных животных и мяса птицы","10.13.1 Производство соленого, вареного, запеченого, копченого, вяленого и прочего мяса","10.13.6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продуктов","10.39 Прочие виды переработки и консервирования фруктов и овощей","10.92 Производство готовых кормов для непродуктивных животных","46.32 Торговля оптовая мясом и мясными продуктами","46.38 Торговля оптовая прочими пищевыми продуктами, включая рыбу, ракообразных и моллюсков","47.11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магазинах","47.22 Торговля розничная мясом и мясными продуктами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t>
  </si>
  <si>
    <t>Москва г., муниципальный округ Восточное Дегунино</t>
  </si>
  <si>
    <t>dorwork-m@mail.ru</t>
  </si>
  <si>
    <t>+7 (963) 7107930</t>
  </si>
  <si>
    <t>КРЫЛОВА ОЛЬГА МИХАЙЛОВНА</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</si>
  <si>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магазинах","47.89.1 Торговля розничная в нестационарных торговых объектах прочими товарами","47.89.2 Торговля розничная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t>
  </si>
  <si>
    <t>Москва г., муниципальный округ Ломоносовский</t>
  </si>
  <si>
    <t>infogranum@ya.ru</t>
  </si>
  <si>
    <t>infogranum@yandex.ru</t>
  </si>
  <si>
    <t>+7 (917) 5617476</t>
  </si>
  <si>
    <t>РУСАКОВА КРИСТИНА АНДРЕЕВНА</t>
  </si>
  <si>
    <t>["10.92 Производство готовых кормов для непродуктивных животных","13.99.9 Производство текстильных изделий различного назначения, не включенных в другие группировки","32.99 Производство прочих готовых изделий, не включенных в другие группировки","47.76.2 Торговля розничная домашними животными и кормами для домашних животных в специализированных магазинах","47.91.2 Торговля розничная, осуществляемая непосредственно при помощи информационно-коммуникационной сети Интернет"]</t>
  </si>
  <si>
    <t>nazarova29@gmail.com</t>
  </si>
  <si>
    <t>+7 (916) 8564516</t>
  </si>
  <si>
    <t>ДЕМЧЕНКО ЕЛЕНА КОНСТАНТИНОВНА</t>
  </si>
  <si>
    <t>["01.49 Разведение прочих животных","10.11 Переработка и консервирование мяса","10.12 Производство и консервирование мяса птицы","10.13 Производство продукции из мяса убойных животных и мяса птицы","10.20 Переработка и консервирование рыбы, ракообразных и моллюсков","10.39 Прочие виды переработки и консервирования фруктов и овощей","10.71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хранения","10.89 Производство прочих пищевых продуктов, не включенных в другие группировки","10.91 Производство готовых кормов для животных, содержащихся на фермах","10.92 Производство готовых кормов для непродуктивных животных","13.92 Производство готовых текстильных изделий, кроме одежды","46.32 Торговля оптовая мясом и мясными продуктами","46.38 Торговля оптовая прочими пищевыми продуктами, включая рыбу, ракообразных и моллюсков","46.45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магазинах","47.73 Торговля розничная лекарственными средствами в специализированных магазинах (аптеках)","47.74.1 Торговля розничная изделиями, применяемыми в медицинских целях,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</si>
  <si>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elena_dis@list.ru</t>
  </si>
  <si>
    <t>cert.otdel@mail.ru</t>
  </si>
  <si>
    <t>+7 (499) 3406974</t>
  </si>
  <si>
    <t>+7 (925) 7770506</t>
  </si>
  <si>
    <t>КУДРЯВИН АЛЕКСАНДР АЛЕКСАНДРОВИЧ</t>
  </si>
  <si>
    <t>["10.91 Производство готовых кормов для животных, содержащихся на фермах","10.92 Производство готовых кормов для непродуктивных животных","46.21 Торговля оптовая зерном, необработанным табаком, семенами и кормами для сельскохозяйственных животных","46.38.22 Торговля оптовая кормами для домашних животных","47.19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перевозками","53.20.3 Деятельность курьерская","53.20.31 Деятельность по курьерской доставке различными видами транспорта","53.20.39 Деятельность курьерская прочая"]</t>
  </si>
  <si>
    <t>Москва г., муниципальный округ Ясенево</t>
  </si>
  <si>
    <t>ak-81@list.ru</t>
  </si>
  <si>
    <t>progecktkorm@mail.ru</t>
  </si>
  <si>
    <t>+7 (910) 7901858</t>
  </si>
  <si>
    <t>МЕЛЬНИКОВ КОНСТАНТИН АНАТОЛЬЕВИЧ</t>
  </si>
  <si>
    <t>["10.92 Производство готовых кормов для непродуктивных животных","46.38.22 Торговля оптовая кормами для домашних животных","47.19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рынков","53.20.31 Деятельность по курьерской доставке различными видами транспорта","53.20.39 Деятельность курьерская прочая"]</t>
  </si>
  <si>
    <t>Москва г., муниципальный округ Северное Тушино</t>
  </si>
  <si>
    <t>mel19@list.ru</t>
  </si>
  <si>
    <t>7292013@mail.ru</t>
  </si>
  <si>
    <t>+7 (926) 4677818</t>
  </si>
  <si>
    <t>["10.92 Производство готовых кормов для непродуктивных животных","46.38.22 Торговля оптовая кормами для домашних животных","47.19 Торговля розничная прочая в неспециализированных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почте","70.22 Консультирование по вопросам коммерческой деятельности и управления"]</t>
  </si>
  <si>
    <t>Москва г., муниципальный округ Фили-Давыдково</t>
  </si>
  <si>
    <t>ЛАПАЕВА ИРИНА СЕРГЕЕВНА</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</si>
  <si>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t>
  </si>
  <si>
    <t>Москва г., муниципальный округ Зябликово</t>
  </si>
  <si>
    <t>lapaeva.ira@rambler.ru</t>
  </si>
  <si>
    <t>+7 (985) 6253190</t>
  </si>
  <si>
    <t>БАЙКИНА НАДЕЖДА КОНСТАНТИНОВНА</t>
  </si>
  <si>
    <t>["10.13 Производство продукции из мяса убойных животных и мяса птицы","10.92 Производство готовых кормов для непродуктивных животных","46.38.22 Торговля оптовая кормами для домашних животных","47.19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магазинах","47.76.2 Торговля розничная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</si>
  <si>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Москва г., Троицк г.о.</t>
  </si>
  <si>
    <t>bnk-n@mail.ru</t>
  </si>
  <si>
    <t>+7 (926) 7345424</t>
  </si>
  <si>
    <t>УШАКОВА ЕВГЕНИЯ АЛЕКСЕЕВНА</t>
  </si>
  <si>
    <t>["10.92 Производство готовых кормов для непродуктивных животных","62.01 Разработка компьютерного программного обеспечения","62.09 Деятельность, связанная с использованием вычислительной техники и информационных технологий, прочая","63.99 Деятельность информационных служб прочая, не включенная в другие группировки","69.20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учета","70.22 Консультирование по вопросам коммерческой деятельности и управления"]</t>
  </si>
  <si>
    <t>eaushakova@bk.ru</t>
  </si>
  <si>
    <t>ushakova.a.a@bk.ru</t>
  </si>
  <si>
    <t>+7 (966) 3443647</t>
  </si>
  <si>
    <t>ОХРИМЕНКО АЛИНА ОЛЕГОВНА</t>
  </si>
  <si>
    <t>["10.20.3 Производство пищевой рыбной муки или муки для корма животных","10.92 Производство готовых кормов для непродуктивных животных","46.38.22 Торговля оптовая кормами для домашних животных","46.76 Торговля оптовая прочими промежуточными продуктами","46.76.2 Торговля оптовая текстильными волокнами","46.90 Торговля оптовая неспециализированная","47.19 Торговля розничная прочая в неспециализированных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t>
  </si>
  <si>
    <t>Москва г., муниципальный округ Филевский парк</t>
  </si>
  <si>
    <t>ohrimenki@gmail.com</t>
  </si>
  <si>
    <t>alina.integro@gmail.com</t>
  </si>
  <si>
    <t>+7 (915) 1917250</t>
  </si>
  <si>
    <t>ГАРИПОВА РУЗАЛИЯ РАШИДОВНА</t>
  </si>
  <si>
    <t>["10.92 Производство готовых кормов для непродуктивных животных","46.38.22 Торговля оптовая кормами для домашних животных","47.76.2 Торговля розничная домашними животными и кормами для домашних животных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t>
  </si>
  <si>
    <t>Москва г., муниципальный округ Тропарево-Никулино</t>
  </si>
  <si>
    <t>mingazova.ruzali@gmail.com</t>
  </si>
  <si>
    <t>snekjack.ru@gmail.com</t>
  </si>
  <si>
    <t>+7 (915) 2409863</t>
  </si>
  <si>
    <t>ПУШКИН АНДРЕЙ АЛЕКСЕЕВИЧ</t>
  </si>
  <si>
    <t>["01.62 Предоставление услуг в области животноводства","10.92 Производство готовых кормов для непродуктивных животных","46.38.22 Торговля оптовая кормами для домашних животных","47.91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</si>
  <si>
    <t>dronpushkin@gmail.com</t>
  </si>
  <si>
    <t>info@hatifood.ru</t>
  </si>
  <si>
    <t>https://hatifood.ru</t>
  </si>
  <si>
    <t>+7 (977) 4159949</t>
  </si>
  <si>
    <t>БЛЮМБЕРГ ВАСИЛИЙ ЮРЬЕВИЧ</t>
  </si>
  <si>
    <t>["10.91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животных","47.19 Торговля розничная прочая в неспециализированных магазинах","47.99 Торговля розничная прочая вне магазинов, палаток, рынков","49.32 Деятельность легкового такси и арендованных легковых автомобилей с водителем","49.41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проживания","55.30 Деятельность по предоставлению мест для временного проживания в кемпингах, жилых автофургонах и туристических автоприцепах","56.10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питания","68.31 Деятельность агентств недвижимости за вознаграждение или на договорной основе","69.10 Деятельность в области права","70.22 Консультирование по вопросам коммерческой деятельности и управления","85.41 Образование дополнительное детей и взрослых","96.02 Предоставление услуг парикмахерскими и салонами красоты","96.09 Предоставление прочих персональных услуг, не включенных в другие группировки","97.00 Деятельность домашних хозяйств с наемными работниками"]</t>
  </si>
  <si>
    <t>Москва г., муниципальный округ Тимирязевский</t>
  </si>
  <si>
    <t>МЕЗЕНЦЕВ ВИТАЛИЙ ВАЛЕРЬЕВИЧ</t>
  </si>
  <si>
    <t>["10.92 Производство готовых кормов для непродуктивных животных","47.91.2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t>
  </si>
  <si>
    <t>vitalya_m@list.ru</t>
  </si>
  <si>
    <t>+7 (923) 1449988</t>
  </si>
  <si>
    <t>ООО "ВЫСШИЙ КЛАСС"</t>
  </si>
  <si>
    <t>["10.81 Производство сахара","10.91 Производство готовых кормов для животных, содержащихся на фермах","10.92 Производство готовых кормов для непродуктивных животных","20.12 Производство красителей и пигментов","46.21 Торговля оптовая зерном, необработанным табаком, семенами и кормами для сельскохозяйственных животных","46.90 Торговля оптовая неспециализированная","52.10 Деятельность по складированию и хранению","52.24 Транспортная обработка грузов","63.99.1 Деятельность по оказанию консультационных и информационных услуг","73.11 Деятельность рекламных агентств","73.20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</si>
  <si>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123060, Россия, г. Москва, ул. Маршала Рыбалко, д. 2, корп. 6, помещ. 15н8</t>
  </si>
  <si>
    <t>topclass25@mail.ru</t>
  </si>
  <si>
    <t>НОВИКОВ ВЛАДИМИР АЛЕКСАНДРОВИЧ, ИНН: 672704921147, Доля: 100.0%</t>
  </si>
  <si>
    <t>НОВИКОВ ВЛАДИМИР АЛЕКСАНДРОВИЧ</t>
  </si>
  <si>
    <t>.borozdin@uralceramica.ru</t>
  </si>
  <si>
    <t>007@technocoat.ru</t>
  </si>
  <si>
    <t>03rufa@gmail.com</t>
  </si>
  <si>
    <t>0752kalibr@mail.ru</t>
  </si>
  <si>
    <t>0855-261904@mail.ru</t>
  </si>
  <si>
    <t>09karachai@mail.ru</t>
  </si>
  <si>
    <t>1@7cup.ru</t>
  </si>
  <si>
    <t>1@cultstroy.su</t>
  </si>
  <si>
    <t>1@spbzpi.ru</t>
  </si>
  <si>
    <t>100@vitsyan.ru</t>
  </si>
  <si>
    <t>1016@heatholder.ru</t>
  </si>
  <si>
    <t>104@507711.ru</t>
  </si>
  <si>
    <t>106@pt-med.ru</t>
  </si>
  <si>
    <t>108@okbssp.ru</t>
  </si>
  <si>
    <t>112@kontiss.ru</t>
  </si>
  <si>
    <t>1143@pk-strop.ru</t>
  </si>
  <si>
    <t>116@ornamita.ru</t>
  </si>
  <si>
    <t>118@maslodmf.ru</t>
  </si>
  <si>
    <t>119@rpkbk.ru</t>
  </si>
  <si>
    <t>1191132@mail.ru</t>
  </si>
  <si>
    <t>12-doors@bk.ru</t>
  </si>
  <si>
    <t>1212098@mail.ru</t>
  </si>
  <si>
    <t>125snab@mail.ru</t>
  </si>
  <si>
    <t>128@zmir.ru</t>
  </si>
  <si>
    <t>1292552@mail.ru</t>
  </si>
  <si>
    <t>12pavlos21@gmail.com</t>
  </si>
  <si>
    <t>13@primalinea.ru</t>
  </si>
  <si>
    <t>1506luba@mail.ru</t>
  </si>
  <si>
    <t>161@tkrusdom.ru</t>
  </si>
  <si>
    <t>16323mea@rupipe.com</t>
  </si>
  <si>
    <t>166@ldtd.ru</t>
  </si>
  <si>
    <t>1703057@gmail.com</t>
  </si>
  <si>
    <t>183518@bk.ru</t>
  </si>
  <si>
    <t>189@hims.pro</t>
  </si>
  <si>
    <t>19@alfa-him.ru</t>
  </si>
  <si>
    <t>1980330@mail.ru</t>
  </si>
  <si>
    <t>1990site@mail.ru</t>
  </si>
  <si>
    <t>1baby_dreams@mail.ru</t>
  </si>
  <si>
    <t>1dymohod@gmail.com</t>
  </si>
  <si>
    <t>1seller.neo@gmail.com</t>
  </si>
  <si>
    <t>1ststep.fomin@gmail.com</t>
  </si>
  <si>
    <t>2@abuco.ru</t>
  </si>
  <si>
    <t>204@supler.ru</t>
  </si>
  <si>
    <t>207@global-sp.ru</t>
  </si>
  <si>
    <t>208@poleznof.ru</t>
  </si>
  <si>
    <t>209@pgs1.ru</t>
  </si>
  <si>
    <t>210@distkontrol.com</t>
  </si>
  <si>
    <t>210@kpk.group</t>
  </si>
  <si>
    <t>211@technoli.ru</t>
  </si>
  <si>
    <t>2110310@mail.ru</t>
  </si>
  <si>
    <t>212@ruselcom.ru</t>
  </si>
  <si>
    <t>212492@mail.ru</t>
  </si>
  <si>
    <t>212701@mail.ru</t>
  </si>
  <si>
    <t>2128001@mail.ru</t>
  </si>
  <si>
    <t>2131208@beauty-pack.ru</t>
  </si>
  <si>
    <t>21veksvet.ru@gmail.com</t>
  </si>
  <si>
    <t>2214464@mail.ru</t>
  </si>
  <si>
    <t>222222tyr@mail.ru</t>
  </si>
  <si>
    <t>2237343@mail.ru</t>
  </si>
  <si>
    <t>224130@mail.ru</t>
  </si>
  <si>
    <t>2271833@mail.ru</t>
  </si>
  <si>
    <t>2272227@stkural.ru</t>
  </si>
  <si>
    <t>2294091@mail.ru</t>
  </si>
  <si>
    <t>23@odis-svet.ru</t>
  </si>
  <si>
    <t>2323778@gmail.com</t>
  </si>
  <si>
    <t>236622@list.ru</t>
  </si>
  <si>
    <t>2421034@mail.ru</t>
  </si>
  <si>
    <t>242187@mail.ru</t>
  </si>
  <si>
    <t>2451107@i-krasnodar23.ru</t>
  </si>
  <si>
    <t>2454360@mail.ru</t>
  </si>
  <si>
    <t>2467703@mail.ru</t>
  </si>
  <si>
    <t>253393@bk.ru</t>
  </si>
  <si>
    <t>2662806@mail.ru</t>
  </si>
  <si>
    <t>2663560@mail.ru</t>
  </si>
  <si>
    <t>269698@bk.ru</t>
  </si>
  <si>
    <t>26kom@renoton.ru</t>
  </si>
  <si>
    <t>284559@mail.ru</t>
  </si>
  <si>
    <t>2886000@mail.ru</t>
  </si>
  <si>
    <t>2915778@mail.ru</t>
  </si>
  <si>
    <t>2920217@mail.ru</t>
  </si>
  <si>
    <t>2926800@mail.ru</t>
  </si>
  <si>
    <t>2932773@mail.ru</t>
  </si>
  <si>
    <t>2951181@gmail.com</t>
  </si>
  <si>
    <t>2965884@mail.ru</t>
  </si>
  <si>
    <t>299003@mail.ru</t>
  </si>
  <si>
    <t>2packtorg@internet.ru</t>
  </si>
  <si>
    <t>2twowomen@gmail.com</t>
  </si>
  <si>
    <t>3@e-t.ru</t>
  </si>
  <si>
    <t>305-y@mail.ru</t>
  </si>
  <si>
    <t>3050@akdeniz-1.ru</t>
  </si>
  <si>
    <t>305889@mail.ru</t>
  </si>
  <si>
    <t>3059@promexcut.ru</t>
  </si>
  <si>
    <t>30608984a@gmail.com</t>
  </si>
  <si>
    <t>312@dahatex.ru</t>
  </si>
  <si>
    <t>312019@mail.ru</t>
  </si>
  <si>
    <t>3330178@gmail.com</t>
  </si>
  <si>
    <t>3349198@voleks-spb.ru</t>
  </si>
  <si>
    <t>34@rvd-plus.ru</t>
  </si>
  <si>
    <t>3417578@mail.ru</t>
  </si>
  <si>
    <t>350669@mail.ru</t>
  </si>
  <si>
    <t>3536807@mail.ru</t>
  </si>
  <si>
    <t>3632061@novomix.ru</t>
  </si>
  <si>
    <t>3633970@alm7.ru</t>
  </si>
  <si>
    <t>37brezent@mail.ru</t>
  </si>
  <si>
    <t>3885530@mail.ru</t>
  </si>
  <si>
    <t>39mik@mail.ru</t>
  </si>
  <si>
    <t>3aka3.48@mail.ru</t>
  </si>
  <si>
    <t>3vspb@mail.ru</t>
  </si>
  <si>
    <t>4-3-4@mail.ru</t>
  </si>
  <si>
    <t>40@pkmm.ru</t>
  </si>
  <si>
    <t>4022221@gmail.com</t>
  </si>
  <si>
    <t>4144961@gmail.com</t>
  </si>
  <si>
    <t>4237989@inbox.ru</t>
  </si>
  <si>
    <t>442028sea@mail.ru</t>
  </si>
  <si>
    <t>443@pzkm.ru</t>
  </si>
  <si>
    <t>4456737@mail.ru</t>
  </si>
  <si>
    <t>4489427@mail.ru</t>
  </si>
  <si>
    <t>4548823@tkprok.ru</t>
  </si>
  <si>
    <t>47@labmetall.ru</t>
  </si>
  <si>
    <t>4748547@mail.ru</t>
  </si>
  <si>
    <t>477288@mail.ru</t>
  </si>
  <si>
    <t>488779@mail.ru</t>
  </si>
  <si>
    <t>4957814889@mail.ru</t>
  </si>
  <si>
    <t>4divana@mail.ru</t>
  </si>
  <si>
    <t>5000938@mail.ru</t>
  </si>
  <si>
    <t>503888@mail.ru</t>
  </si>
  <si>
    <t>5046326@mail.ru</t>
  </si>
  <si>
    <t>5065538@gmail.com</t>
  </si>
  <si>
    <t>515052@mgs34.ru</t>
  </si>
  <si>
    <t>516833@mail.ru</t>
  </si>
  <si>
    <t>5225338@mail.ru</t>
  </si>
  <si>
    <t>533690@mail.ru</t>
  </si>
  <si>
    <t>555@bsk1.ru</t>
  </si>
  <si>
    <t>5550284@mail.ru</t>
  </si>
  <si>
    <t>555original2016@mail.ru</t>
  </si>
  <si>
    <t>55masterwood@gmail.com</t>
  </si>
  <si>
    <t>562979@rusoko.ru</t>
  </si>
  <si>
    <t>5668340@gmail.com</t>
  </si>
  <si>
    <t>581242@inbox.ru</t>
  </si>
  <si>
    <t>5859678@mail.ru</t>
  </si>
  <si>
    <t>592999@bk.ru</t>
  </si>
  <si>
    <t>6-vks@mail.ru</t>
  </si>
  <si>
    <t>6@p-ltd.ru</t>
  </si>
  <si>
    <t>6016401@gmail.com</t>
  </si>
  <si>
    <t>605980@mail.ru</t>
  </si>
  <si>
    <t>62@62met.ru</t>
  </si>
  <si>
    <t>620@lzp.ru</t>
  </si>
  <si>
    <t>640515vn@mail.ru</t>
  </si>
  <si>
    <t>6686888@list.ru</t>
  </si>
  <si>
    <t>7@0762.ru</t>
  </si>
  <si>
    <t>701544@bk.ru</t>
  </si>
  <si>
    <t>702806@mail.ru</t>
  </si>
  <si>
    <t>712@gmail.com</t>
  </si>
  <si>
    <t>7156147@mail.ru</t>
  </si>
  <si>
    <t>7226228@mail.ru</t>
  </si>
  <si>
    <t>72327@mail.ru</t>
  </si>
  <si>
    <t>7249557@gmail.com</t>
  </si>
  <si>
    <t>7308121@bk.ru</t>
  </si>
  <si>
    <t>74@specstali.ru</t>
  </si>
  <si>
    <t>7403059@mail.ru</t>
  </si>
  <si>
    <t>7410354@mail.ru</t>
  </si>
  <si>
    <t>7415628@cup-paper.ru</t>
  </si>
  <si>
    <t>74929@mail.ru</t>
  </si>
  <si>
    <t>74nazarov@mail.ru</t>
  </si>
  <si>
    <t>7500369@mail.ru</t>
  </si>
  <si>
    <t>750111@maria-irk.ru</t>
  </si>
  <si>
    <t>77-favorit@mail.ru</t>
  </si>
  <si>
    <t>7724411@mail.ru</t>
  </si>
  <si>
    <t>77reg@1mk-nn.ru</t>
  </si>
  <si>
    <t>79049847433@yandex.com</t>
  </si>
  <si>
    <t>7905493@gmail.com</t>
  </si>
  <si>
    <t>79204018888@ya.ru</t>
  </si>
  <si>
    <t>79227995004@yandex.ru</t>
  </si>
  <si>
    <t>794930@mail.ru</t>
  </si>
  <si>
    <t>79635723030@yandex.ru</t>
  </si>
  <si>
    <t>7973053@mail.ru</t>
  </si>
  <si>
    <t>79800943496@yandex.ru</t>
  </si>
  <si>
    <t>7986055@mail.ru</t>
  </si>
  <si>
    <t>79992401856@mail.ru</t>
  </si>
  <si>
    <t>7999668@gmail.com</t>
  </si>
  <si>
    <t>8@agrovest22.ru</t>
  </si>
  <si>
    <t>800@5507730.ru</t>
  </si>
  <si>
    <t>8007005448@mail.ru</t>
  </si>
  <si>
    <t>84012564354@mail.ru</t>
  </si>
  <si>
    <t>84957956399@yandex.ru</t>
  </si>
  <si>
    <t>85@chapaew.ru</t>
  </si>
  <si>
    <t>870800@bk.ru</t>
  </si>
  <si>
    <t>88007003824@mail.ru</t>
  </si>
  <si>
    <t>88elenas88@mail.ru</t>
  </si>
  <si>
    <t>89016866850@bk.ru</t>
  </si>
  <si>
    <t>89032491054@mail.ru</t>
  </si>
  <si>
    <t>89032838887@mail.ru</t>
  </si>
  <si>
    <t>89052008759@mail.ru</t>
  </si>
  <si>
    <t>89058006565@mail.ru</t>
  </si>
  <si>
    <t>89096884162@mail.ru</t>
  </si>
  <si>
    <t>89112345454@mail.ru</t>
  </si>
  <si>
    <t>89154751104@bk.ru</t>
  </si>
  <si>
    <t>89165491035@mail.ru</t>
  </si>
  <si>
    <t>89165649697@mail.ru</t>
  </si>
  <si>
    <t>89219067464@mail.ru</t>
  </si>
  <si>
    <t>89221222266@bk.ru</t>
  </si>
  <si>
    <t>89227501900@mail.ru</t>
  </si>
  <si>
    <t>89234037179@mail.ru</t>
  </si>
  <si>
    <t>89262287804@mail.ru</t>
  </si>
  <si>
    <t>89266594448@mail.ru</t>
  </si>
  <si>
    <t>89282099092@mail.ru</t>
  </si>
  <si>
    <t>89287662315@mail.ru</t>
  </si>
  <si>
    <t>89623505008@mail.ru</t>
  </si>
  <si>
    <t>89623739992@mail.ru</t>
  </si>
  <si>
    <t>89625675777@mail.ru</t>
  </si>
  <si>
    <t>89667677733@mail.ru</t>
  </si>
  <si>
    <t>89805628888@mail.ru</t>
  </si>
  <si>
    <t>900600@tordv.ru</t>
  </si>
  <si>
    <t>9028905065@mail.ru</t>
  </si>
  <si>
    <t>9034387030@td-rtpz.ru</t>
  </si>
  <si>
    <t>9047752@tlk-line.ru</t>
  </si>
  <si>
    <t>9067452505@mail.ru</t>
  </si>
  <si>
    <t>9093071110@mail.ru</t>
  </si>
  <si>
    <t>9097771@mail.ru</t>
  </si>
  <si>
    <t>9101703400@mail.ru</t>
  </si>
  <si>
    <t>911acc@gmail.com</t>
  </si>
  <si>
    <t>9130375965@mail.ru</t>
  </si>
  <si>
    <t>9159966000@mail.ru</t>
  </si>
  <si>
    <t>9186944196@mail.ru</t>
  </si>
  <si>
    <t>9221399@mail.ru</t>
  </si>
  <si>
    <t>9229434@gmail.ru</t>
  </si>
  <si>
    <t>9258489945@orisprom.ru</t>
  </si>
  <si>
    <t>9262322119@mail.ru</t>
  </si>
  <si>
    <t>9281311131@mail.ru</t>
  </si>
  <si>
    <t>9348610@mail.ru</t>
  </si>
  <si>
    <t>9437597@list.ru</t>
  </si>
  <si>
    <t>9615356014@mail.ru</t>
  </si>
  <si>
    <t>9628196809@mail.ru</t>
  </si>
  <si>
    <t>9636224760@mail.ru</t>
  </si>
  <si>
    <t>9653107170@mail.ru</t>
  </si>
  <si>
    <t>9808395@mail.ru</t>
  </si>
  <si>
    <t>9820972@mail.ru</t>
  </si>
  <si>
    <t>9863655@bk.ru</t>
  </si>
  <si>
    <t>9889609@gmail.com</t>
  </si>
  <si>
    <t>9891659@mail.ru</t>
  </si>
  <si>
    <t>9892860@mail.ru</t>
  </si>
  <si>
    <t>a_evdokymov@mail.ru</t>
  </si>
  <si>
    <t>a_petrov@dlyabani.ru</t>
  </si>
  <si>
    <t>a-2052052@yandex.ru</t>
  </si>
  <si>
    <t>a-furnitura@mail.ru</t>
  </si>
  <si>
    <t>a-groups@inbox.ru</t>
  </si>
  <si>
    <t>a-mebel52@mail.ru</t>
  </si>
  <si>
    <t>a-trunov@list.ru</t>
  </si>
  <si>
    <t>a.astafjev@neoproduct.ru</t>
  </si>
  <si>
    <t>a.blehman@elis.ru</t>
  </si>
  <si>
    <t>a.boev@npp-starlink.ru</t>
  </si>
  <si>
    <t>a.e.sizenev@yandex.ru</t>
  </si>
  <si>
    <t>a.eliseev@ecodeck.ru</t>
  </si>
  <si>
    <t>a.eremenko@allmatex.com</t>
  </si>
  <si>
    <t>a.ermakov@okna-stolicy.ru</t>
  </si>
  <si>
    <t>a.ermakova@tomeow.ru</t>
  </si>
  <si>
    <t>a.fayzpro@mail.ru</t>
  </si>
  <si>
    <t>a.fomin@miniworks.ru</t>
  </si>
  <si>
    <t>a.ganzina@m-konstruktor.ru</t>
  </si>
  <si>
    <t>a.gelman@decs.su</t>
  </si>
  <si>
    <t>a.granit56@gmail.com</t>
  </si>
  <si>
    <t>a.ismagilova@slavkom.biz</t>
  </si>
  <si>
    <t>a.k.popov@zemi-nsk.ru</t>
  </si>
  <si>
    <t>a.kashkarova@aminosib.ru</t>
  </si>
  <si>
    <t>a.klitochenko@bionagroup.ru</t>
  </si>
  <si>
    <t>a.kolesnikova@vtmbelt.ru</t>
  </si>
  <si>
    <t>a.kondratev@thermals.ru</t>
  </si>
  <si>
    <t>a.korovnikova@passim.ru</t>
  </si>
  <si>
    <t>a.kozlova@prosoftsystems.ru</t>
  </si>
  <si>
    <t>a.kuimov@nnt.su</t>
  </si>
  <si>
    <t>a.kuznetsov@aqua39.com</t>
  </si>
  <si>
    <t>a.lapko@linfas.ru</t>
  </si>
  <si>
    <t>a.lukashkin@smilexpert.ru</t>
  </si>
  <si>
    <t>a.lyalin@granada-flame.ru</t>
  </si>
  <si>
    <t>a.n@myigris.com</t>
  </si>
  <si>
    <t>a.nikitina@tubavilsen.ru</t>
  </si>
  <si>
    <t>a.pehotnik@yandex.ru</t>
  </si>
  <si>
    <t>a.poluektova@avnvent.ru</t>
  </si>
  <si>
    <t>a.praskurin@rpigroup.ru</t>
  </si>
  <si>
    <t>a.revtov@melkom.ru</t>
  </si>
  <si>
    <t>a.rozinova@icecraft.ru</t>
  </si>
  <si>
    <t>a.seleznev.vmk@yandex.ru</t>
  </si>
  <si>
    <t>a.shahov@belpol.ru</t>
  </si>
  <si>
    <t>a.shepelev@orgpol.com</t>
  </si>
  <si>
    <t>a.shurygin@momochi.ru</t>
  </si>
  <si>
    <t>a.smelov@sunprotein.ru</t>
  </si>
  <si>
    <t>a.tarusov@its-spb.ru</t>
  </si>
  <si>
    <t>a.volkovich@groupdsk.ru</t>
  </si>
  <si>
    <t>a.zuyev@phoenix-apr.ru</t>
  </si>
  <si>
    <t>a@markov.design</t>
  </si>
  <si>
    <t>a@revasm.ru</t>
  </si>
  <si>
    <t>a154aa@yandex.ru</t>
  </si>
  <si>
    <t>a21008@yandex.ru</t>
  </si>
  <si>
    <t>a6366636@eandex.ru</t>
  </si>
  <si>
    <t>a7809900@yandex.ru</t>
  </si>
  <si>
    <t>a89260194451@rambler.ru</t>
  </si>
  <si>
    <t>A9136050013@yandex.ru</t>
  </si>
  <si>
    <t>aa@osnova.pw</t>
  </si>
  <si>
    <t>aaa@levada-cos.ru</t>
  </si>
  <si>
    <t>aabelousov@rde.ru</t>
  </si>
  <si>
    <t>aaindyukov@rusmash.org</t>
  </si>
  <si>
    <t>aalia_09@mail.ru</t>
  </si>
  <si>
    <t>aaoglobal@mail.ru</t>
  </si>
  <si>
    <t>aapalikov@74teplo.ru</t>
  </si>
  <si>
    <t>aar@agrodenix.ru</t>
  </si>
  <si>
    <t>aas.sibir@yandex.ru</t>
  </si>
  <si>
    <t>ab@happykon.ru</t>
  </si>
  <si>
    <t>abcx555@gmail.com</t>
  </si>
  <si>
    <t>aberegazova@ya.ru</t>
  </si>
  <si>
    <t>aberkhaev@list.ru</t>
  </si>
  <si>
    <t>abermit67@mail.ru</t>
  </si>
  <si>
    <t>abiproduct@abiproduct.ru</t>
  </si>
  <si>
    <t>abis-rf@yandex.ru</t>
  </si>
  <si>
    <t>abk.ad@yandex.ru</t>
  </si>
  <si>
    <t>abm63@inbox.ru</t>
  </si>
  <si>
    <t>abramova1177@mail.ru</t>
  </si>
  <si>
    <t>abris-fabrika-pechatey@mail.ru</t>
  </si>
  <si>
    <t>abriszakaz@gmail.com</t>
  </si>
  <si>
    <t>ac@canwash.ru</t>
  </si>
  <si>
    <t>account@eco-systema.com</t>
  </si>
  <si>
    <t>accountant.krona@yandex.ru</t>
  </si>
  <si>
    <t>achplgame@yandex.ru</t>
  </si>
  <si>
    <t>ad1979min@gmail.com</t>
  </si>
  <si>
    <t>adanilova@semargl.pro</t>
  </si>
  <si>
    <t>adazeq@mailto.plus</t>
  </si>
  <si>
    <t>addi_rus@dekortex.ru</t>
  </si>
  <si>
    <t>adg@zavavto.ru</t>
  </si>
  <si>
    <t>adk@miakom.ru</t>
  </si>
  <si>
    <t>admin_knigi@prof-press.ru</t>
  </si>
  <si>
    <t>admin@euroelement.com</t>
  </si>
  <si>
    <t>admin@kordav.ru</t>
  </si>
  <si>
    <t>admin@nordway.ru</t>
  </si>
  <si>
    <t>admin@ober-dveri.ru</t>
  </si>
  <si>
    <t>admin@radius-5.ru</t>
  </si>
  <si>
    <t>admin@rosholod.org</t>
  </si>
  <si>
    <t>admin@silkplasters.com</t>
  </si>
  <si>
    <t>admin@tmim.ru</t>
  </si>
  <si>
    <t>admin@ufafito.ru</t>
  </si>
  <si>
    <t>admin@zinstudio.ru</t>
  </si>
  <si>
    <t>adp@centerir.ru</t>
  </si>
  <si>
    <t>adv@ferrum.ru</t>
  </si>
  <si>
    <t>adv1@alliance-dv.ru</t>
  </si>
  <si>
    <t>ae@agg.world</t>
  </si>
  <si>
    <t>ae@hsbn.ru</t>
  </si>
  <si>
    <t>aeromach@mail.ru</t>
  </si>
  <si>
    <t>aeroplusva@ya.ru</t>
  </si>
  <si>
    <t>aev@centrmetall.com</t>
  </si>
  <si>
    <t>afs@afsib.ru</t>
  </si>
  <si>
    <t>ag@lavporta.ru</t>
  </si>
  <si>
    <t>agat-mebel@bk.ru</t>
  </si>
  <si>
    <t>agava@kb-agava.ru</t>
  </si>
  <si>
    <t>agdyrus@yandex.ru</t>
  </si>
  <si>
    <t>agentnettypro@gmail.com</t>
  </si>
  <si>
    <t>agents@ourcity.khv.ru</t>
  </si>
  <si>
    <t>agitstend@mail.ru</t>
  </si>
  <si>
    <t>agro_oao@mail.ru</t>
  </si>
  <si>
    <t>agro@ecomash.ru</t>
  </si>
  <si>
    <t>agro1@glavagrosnab.ru</t>
  </si>
  <si>
    <t>agroastra.info@gmail.com</t>
  </si>
  <si>
    <t>agrocom.opt@mail.ru</t>
  </si>
  <si>
    <t>agrodostup@mail.ru</t>
  </si>
  <si>
    <t>agrofermplast@yandex.ru</t>
  </si>
  <si>
    <t>agrofirma@ariant.ru</t>
  </si>
  <si>
    <t>agrofirmatender@yandex.ru</t>
  </si>
  <si>
    <t>AgroindustriyLV@yandex.ru</t>
  </si>
  <si>
    <t>agrokotel@gmail.com</t>
  </si>
  <si>
    <t>agromaster@mail.ru</t>
  </si>
  <si>
    <t>agromax.sellers@gmail.com</t>
  </si>
  <si>
    <t>Agromenu7@mail.ru</t>
  </si>
  <si>
    <t>agroprod1996@mail.ru</t>
  </si>
  <si>
    <t>agrorusy@mail.ru</t>
  </si>
  <si>
    <t>Agroservis1@mail.ru</t>
  </si>
  <si>
    <t>agrostal@mail.ru</t>
  </si>
  <si>
    <t>agtrans@mail.ru</t>
  </si>
  <si>
    <t>ai@bioicecream.ru</t>
  </si>
  <si>
    <t>ai@eklektika.ru</t>
  </si>
  <si>
    <t>air@air27.ru</t>
  </si>
  <si>
    <t>airtubepack@mail.ru</t>
  </si>
  <si>
    <t>ak@ag47.ru</t>
  </si>
  <si>
    <t>ak@thgm.ru</t>
  </si>
  <si>
    <t>akate.brand@yandex.ru</t>
  </si>
  <si>
    <t>akfs@list.ru</t>
  </si>
  <si>
    <t>akimbo@bk.ru</t>
  </si>
  <si>
    <t>akimov@3LRUS.ru</t>
  </si>
  <si>
    <t>akimov@mmaribel.ru</t>
  </si>
  <si>
    <t>akkop@yandex.ru</t>
  </si>
  <si>
    <t>akmai16@mail.ru</t>
  </si>
  <si>
    <t>akmo@akmo.ru</t>
  </si>
  <si>
    <t>akova_store@mail.ru</t>
  </si>
  <si>
    <t>AKraynev@samotlor.biz</t>
  </si>
  <si>
    <t>aksisvyaz@ya.ru</t>
  </si>
  <si>
    <t>aktion_gaz@mail.ru</t>
  </si>
  <si>
    <t>aktivreal@mail.ru</t>
  </si>
  <si>
    <t>akvilyanov@mail.ru</t>
  </si>
  <si>
    <t>akwatitanusmanovamedine@yandex.ru</t>
  </si>
  <si>
    <t>akz93@inbox.ru</t>
  </si>
  <si>
    <t>al@westcom.su</t>
  </si>
  <si>
    <t>alaverdyan-artem@mail.rui</t>
  </si>
  <si>
    <t>Alazutkin_78@mail.ru</t>
  </si>
  <si>
    <t>aleks-reklama2012@mail.ru</t>
  </si>
  <si>
    <t>aleks-shoes@mail.ru</t>
  </si>
  <si>
    <t>Aleks.saimaa@mail.ru</t>
  </si>
  <si>
    <t>aleksandr-ivanov36@mail.ru</t>
  </si>
  <si>
    <t>aleksandra@steelnet.ru</t>
  </si>
  <si>
    <t>aleksbaltex@yandex.ru</t>
  </si>
  <si>
    <t>alekseeva@mebel.net</t>
  </si>
  <si>
    <t>aleksei@fortune-cookies.ru</t>
  </si>
  <si>
    <t>alekseiklyuh@yandex.ru</t>
  </si>
  <si>
    <t>aleksey_medvedev_1988@mail.ru</t>
  </si>
  <si>
    <t>aleksey_p@svetosystem.ru</t>
  </si>
  <si>
    <t>aleksey-k@torgsib.com</t>
  </si>
  <si>
    <t>aleksey.elitplast@gmail.com</t>
  </si>
  <si>
    <t>alena@stradiator.com</t>
  </si>
  <si>
    <t>alenalevina0902@gmail.com</t>
  </si>
  <si>
    <t>alenkin@proartel.ru</t>
  </si>
  <si>
    <t>alensiomoskow@yandex.ru</t>
  </si>
  <si>
    <t>alesha1990.1990@mail.ru</t>
  </si>
  <si>
    <t>alevtina@paksmet.ru</t>
  </si>
  <si>
    <t>alex-shkz2001@mail.ru</t>
  </si>
  <si>
    <t>alex.gar@andtools.ru</t>
  </si>
  <si>
    <t>alex.s@briketts.ru</t>
  </si>
  <si>
    <t>alex@kotelnedelka.ru</t>
  </si>
  <si>
    <t>alex@lidertorg.com</t>
  </si>
  <si>
    <t>alex@raltex.ru</t>
  </si>
  <si>
    <t>alex1vanov199@yandex.ru</t>
  </si>
  <si>
    <t>alex21hozbit@mail.ru</t>
  </si>
  <si>
    <t>alexander@ctb-mos.com</t>
  </si>
  <si>
    <t>alexandr.malkin@francgardiner.ru</t>
  </si>
  <si>
    <t>alexej.glazkoff@yandex.ru</t>
  </si>
  <si>
    <t>alexey77s@yandex.ru</t>
  </si>
  <si>
    <t>Alexfrolovmarket@yandex.ru</t>
  </si>
  <si>
    <t>alexfurniture.info@yandex.ru</t>
  </si>
  <si>
    <t>alexmebel@bk.ru</t>
  </si>
  <si>
    <t>alexpromtex@mail.ru</t>
  </si>
  <si>
    <t>alextorgne@gmail.com</t>
  </si>
  <si>
    <t>alfacolor@mail.ru</t>
  </si>
  <si>
    <t>alfamodul@list.ru</t>
  </si>
  <si>
    <t>alfaplastspb@yandex.ru</t>
  </si>
  <si>
    <t>alfavit11@yandex.ru</t>
  </si>
  <si>
    <t>alfitoctsk@mail.ru</t>
  </si>
  <si>
    <t>alfitodiva@mail.ru</t>
  </si>
  <si>
    <t>algem@list.ru</t>
  </si>
  <si>
    <t>alicalavoro@yandex.ru</t>
  </si>
  <si>
    <t>alierdakt@gmail.com</t>
  </si>
  <si>
    <t>alilyeva@mail.ru</t>
  </si>
  <si>
    <t>alina@tool-art.ru</t>
  </si>
  <si>
    <t>alisa@caviar.ru</t>
  </si>
  <si>
    <t>AlishaStiles42@yandex.ru</t>
  </si>
  <si>
    <t>all_tkani@mail.ru</t>
  </si>
  <si>
    <t>allakozlovska@yandex.ru</t>
  </si>
  <si>
    <t>alligator-pk@mail.ru</t>
  </si>
  <si>
    <t>alligatorboat@yandex.ru</t>
  </si>
  <si>
    <t>allrightpharm@gmail.com</t>
  </si>
  <si>
    <t>almazik-davlekanovo@yandex.ru</t>
  </si>
  <si>
    <t>alolika@alolika.ru</t>
  </si>
  <si>
    <t>alpeev54@mail.ru</t>
  </si>
  <si>
    <t>alt_etalon@mail.ru</t>
  </si>
  <si>
    <t>alt_vernissage@mail.ru</t>
  </si>
  <si>
    <t>alt-fish@mail.ru</t>
  </si>
  <si>
    <t>altaibario@gmail.com</t>
  </si>
  <si>
    <t>altaiecosort@mail.ru</t>
  </si>
  <si>
    <t>altair_jc@mail.ru</t>
  </si>
  <si>
    <t>altair-razvitie@mail.ru</t>
  </si>
  <si>
    <t>altaria-11@yandex.ru</t>
  </si>
  <si>
    <t>altay_maslo@mail.ru</t>
  </si>
  <si>
    <t>altdubel@yandex.ru</t>
  </si>
  <si>
    <t>alterhimmpro@yandex.ru</t>
  </si>
  <si>
    <t>alteya_altay@mail.ru</t>
  </si>
  <si>
    <t>aluplastik-msk@mail.ru</t>
  </si>
  <si>
    <t>alvalex@bk.ru</t>
  </si>
  <si>
    <t>alxsmsnv@gmail.com</t>
  </si>
  <si>
    <t>am-barchik@mail.ru</t>
  </si>
  <si>
    <t>am.sporting@bk.ru</t>
  </si>
  <si>
    <t>am@politeks-tlt.ru</t>
  </si>
  <si>
    <t>am1824@ya.ru</t>
  </si>
  <si>
    <t>amarantmetal@yandex.ru</t>
  </si>
  <si>
    <t>amber_protect@bk.ru</t>
  </si>
  <si>
    <t>amdmanager1@gmail.com</t>
  </si>
  <si>
    <t>ameliprm@mail.ru</t>
  </si>
  <si>
    <t>ameria@ameria.ru</t>
  </si>
  <si>
    <t>amethandadoy@mail.ru</t>
  </si>
  <si>
    <t>amf@bk.ru</t>
  </si>
  <si>
    <t>amidbudo@gmail.com</t>
  </si>
  <si>
    <t>amk.crimea@gmail.com</t>
  </si>
  <si>
    <t>amurmanufactura@gmail.com</t>
  </si>
  <si>
    <t>amv-zmi@yandex.ru</t>
  </si>
  <si>
    <t>an@antiga.ru</t>
  </si>
  <si>
    <t>an@milv.ru</t>
  </si>
  <si>
    <t>ana.karpenok@yandex.ru</t>
  </si>
  <si>
    <t>anapahleb@mail.ru</t>
  </si>
  <si>
    <t>anapakalo@yandex.by</t>
  </si>
  <si>
    <t>anasshitova@yandex.ru</t>
  </si>
  <si>
    <t>anastasia.fedotchenko@gmail.com</t>
  </si>
  <si>
    <t>anastasia.moskovskya@lock-chain.ru</t>
  </si>
  <si>
    <t>anastasia.shakhova@mymileo.ru</t>
  </si>
  <si>
    <t>anasty@outlook.com</t>
  </si>
  <si>
    <t>Andrei.NMF@yandex.ru</t>
  </si>
  <si>
    <t>andrew_sale@list.ru</t>
  </si>
  <si>
    <t>Andrey_ag@mail.ru</t>
  </si>
  <si>
    <t>andrey_tg@mail.ru</t>
  </si>
  <si>
    <t>andrey-muravyev@chemalliance.ru</t>
  </si>
  <si>
    <t>andrey.chernyshkov@zirax.com</t>
  </si>
  <si>
    <t>andrey.zhogov@bk.ru</t>
  </si>
  <si>
    <t>andreyakim66@yandex.ru</t>
  </si>
  <si>
    <t>andrkgk1@yandex.ru</t>
  </si>
  <si>
    <t>angaras@irk.ru</t>
  </si>
  <si>
    <t>angel_n82@mail.ru</t>
  </si>
  <si>
    <t>anikeeva@fabrika23.ru</t>
  </si>
  <si>
    <t>anikolskaya@gefestcapital.com</t>
  </si>
  <si>
    <t>anirus_obuv@mail.ru</t>
  </si>
  <si>
    <t>anm@5075.ru</t>
  </si>
  <si>
    <t>anna-n-97@mail.ru</t>
  </si>
  <si>
    <t>anna@cheftea.ru</t>
  </si>
  <si>
    <t>anna@lashmanov.ru</t>
  </si>
  <si>
    <t>anna0990@mail.ru</t>
  </si>
  <si>
    <t>annaik-1@mail.ru</t>
  </si>
  <si>
    <t>anopers@mail.ru</t>
  </si>
  <si>
    <t>anritoria@mail.ru</t>
  </si>
  <si>
    <t>anshershneva24@yandex.ru</t>
  </si>
  <si>
    <t>ant0nvs@yandex.ru</t>
  </si>
  <si>
    <t>ant19r@inbox.ru</t>
  </si>
  <si>
    <t>antex999@mail.ru</t>
  </si>
  <si>
    <t>anton_band@inbox.ru</t>
  </si>
  <si>
    <t>anton.starodumov@kccc.ru</t>
  </si>
  <si>
    <t>anton@teagroup.ru</t>
  </si>
  <si>
    <t>anutina@internet.ru</t>
  </si>
  <si>
    <t>anvarus@internet.ru</t>
  </si>
  <si>
    <t>Anzhelika.Salamakha@abs-him.ru</t>
  </si>
  <si>
    <t>ao@krtd.ru</t>
  </si>
  <si>
    <t>aok11@yandex.ru</t>
  </si>
  <si>
    <t>ap-magazin@mail.ru</t>
  </si>
  <si>
    <t>ap@avi-plast.ru</t>
  </si>
  <si>
    <t>apetrov@ritverc.com</t>
  </si>
  <si>
    <t>apk-komotdel@mail.ru</t>
  </si>
  <si>
    <t>apksrv@mail.ru</t>
  </si>
  <si>
    <t>apn_msk@mail.ru</t>
  </si>
  <si>
    <t>apngold@yandex.ru</t>
  </si>
  <si>
    <t>apogrebnak@mail.ru</t>
  </si>
  <si>
    <t>applevrn@gmail.com</t>
  </si>
  <si>
    <t>apsalex@yandex.ru</t>
  </si>
  <si>
    <t>aptmex@yandex.ru</t>
  </si>
  <si>
    <t>aqualedstroy@yandex.ru</t>
  </si>
  <si>
    <t>aquazar.ooo@yandex.ru</t>
  </si>
  <si>
    <t>architectoriacompany@gmail.com</t>
  </si>
  <si>
    <t>arcid@yandex.ru</t>
  </si>
  <si>
    <t>arefeva@tverkonditer.ru</t>
  </si>
  <si>
    <t>argo-odejda@mail.ru</t>
  </si>
  <si>
    <t>argonavangard@gmail.com</t>
  </si>
  <si>
    <t>argus.dom@mail.ru</t>
  </si>
  <si>
    <t>arhipov@rosstro.spb.ru</t>
  </si>
  <si>
    <t>arhkonstruktor@yandex.ru</t>
  </si>
  <si>
    <t>arina-radionova-88@mail.ru</t>
  </si>
  <si>
    <t>aris_manager@mail.ru</t>
  </si>
  <si>
    <t>ArishaErshova1210@yandex.ru</t>
  </si>
  <si>
    <t>aristocrat-zlat@mail.ru</t>
  </si>
  <si>
    <t>aritekstil@mail.ru</t>
  </si>
  <si>
    <t>arkonzoo@mail.ru</t>
  </si>
  <si>
    <t>arluapova@mail.ru</t>
  </si>
  <si>
    <t>arma-crypta@yandex.ru</t>
  </si>
  <si>
    <t>armada160320@yandex.ru</t>
  </si>
  <si>
    <t>armadameh@yandex.ru</t>
  </si>
  <si>
    <t>armazoil@mail.ru</t>
  </si>
  <si>
    <t>armed@armed.ru</t>
  </si>
  <si>
    <t>armsbabyft@yandex.ru</t>
  </si>
  <si>
    <t>arnady@arnady.ru</t>
  </si>
  <si>
    <t>aroma_73@mail.ru</t>
  </si>
  <si>
    <t>aromaprime@inbox.ru</t>
  </si>
  <si>
    <t>aromavyatka@mail.ru</t>
  </si>
  <si>
    <t>aromica.mb@gmail.com</t>
  </si>
  <si>
    <t>aroraluxury@gmail.com</t>
  </si>
  <si>
    <t>arpk2003@mail.ru</t>
  </si>
  <si>
    <t>arrankatalog@yandex.ru</t>
  </si>
  <si>
    <t>arsenal-zlat@list.ru</t>
  </si>
  <si>
    <t>art-m.sadradosti@yandex.ru</t>
  </si>
  <si>
    <t>artandkids@yandex.ru</t>
  </si>
  <si>
    <t>artbeton174@mail.ru</t>
  </si>
  <si>
    <t>artcon-sk@yandex.ru</t>
  </si>
  <si>
    <t>arteks-netkanka@rambler.ru</t>
  </si>
  <si>
    <t>artem_bocharov_95@inbox.ru</t>
  </si>
  <si>
    <t>artem@schildex.com</t>
  </si>
  <si>
    <t>artem220705@yandex.ru</t>
  </si>
  <si>
    <t>artil35@yandex.ru</t>
  </si>
  <si>
    <t>artinterier52@yandex.ru</t>
  </si>
  <si>
    <t>artlight@artlight.ru</t>
  </si>
  <si>
    <t>artmasterua@inbox.ru</t>
  </si>
  <si>
    <t>artmebelcom@mail.ru</t>
  </si>
  <si>
    <t>artmontajdizain@mail.ru</t>
  </si>
  <si>
    <t>artstoun92@mail.ru</t>
  </si>
  <si>
    <t>arttim.su@ya.ru</t>
  </si>
  <si>
    <t>asa@plastservis.su</t>
  </si>
  <si>
    <t>asantechcompany@gmail.com</t>
  </si>
  <si>
    <t>asbova@yandex.ru</t>
  </si>
  <si>
    <t>Asdy448@gmail.com</t>
  </si>
  <si>
    <t>asergeev@klampu.ru</t>
  </si>
  <si>
    <t>ashendilo@kpm-rzn.ru</t>
  </si>
  <si>
    <t>ashurina69@mail.ru</t>
  </si>
  <si>
    <t>askme@art-visage.ru</t>
  </si>
  <si>
    <t>askme@hb-group.ru</t>
  </si>
  <si>
    <t>ASLatunov@kraneks.ru</t>
  </si>
  <si>
    <t>asm_avanta@mail.ru</t>
  </si>
  <si>
    <t>asm@kodeco.ru</t>
  </si>
  <si>
    <t>asmebel2014@mail.ru</t>
  </si>
  <si>
    <t>asmiko-uglich@mail.ru</t>
  </si>
  <si>
    <t>asp-groupp2@yandex.ru</t>
  </si>
  <si>
    <t>asp64blk@yandex.ru</t>
  </si>
  <si>
    <t>assirotkin@yandex.ru</t>
  </si>
  <si>
    <t>assistant@aocombinat.ru</t>
  </si>
  <si>
    <t>assiyakzz@mail.ru</t>
  </si>
  <si>
    <t>astahova.a212@gmail.com</t>
  </si>
  <si>
    <t>astekhome@mail.ru</t>
  </si>
  <si>
    <t>astmarket2020@mail.ru</t>
  </si>
  <si>
    <t>astratara@gmail.com</t>
  </si>
  <si>
    <t>at@a-ti.ru</t>
  </si>
  <si>
    <t>atag33@mail.ru</t>
  </si>
  <si>
    <t>atanova.inna@svetopack.com</t>
  </si>
  <si>
    <t>atb12@mail.ru</t>
  </si>
  <si>
    <t>atelier@represent54.ru</t>
  </si>
  <si>
    <t>atema21@list.ru</t>
  </si>
  <si>
    <t>atgnn@atgnn.ru</t>
  </si>
  <si>
    <t>atla@atlaltd.com</t>
  </si>
  <si>
    <t>atlant3@izob.stv.ru</t>
  </si>
  <si>
    <t>atlas-cat@ya.ru</t>
  </si>
  <si>
    <t>atoll@atollnsk.ru</t>
  </si>
  <si>
    <t>Atpavel@mail.ru</t>
  </si>
  <si>
    <t>atriansk@mail.ru</t>
  </si>
  <si>
    <t>atrium_kuz@mail.ru</t>
  </si>
  <si>
    <t>atrium-modul@mail.ru</t>
  </si>
  <si>
    <t>attractionru@yandex.ru</t>
  </si>
  <si>
    <t>attraktsion23@mail.ru</t>
  </si>
  <si>
    <t>aurelie.style@mail.ru</t>
  </si>
  <si>
    <t>aurinkoplast@mail.ru</t>
  </si>
  <si>
    <t>automaticles.sales@mail.ru</t>
  </si>
  <si>
    <t>autoproduct.wholesale@gmail.com</t>
  </si>
  <si>
    <t>autosil@kzmh.ru</t>
  </si>
  <si>
    <t>av@verol.net</t>
  </si>
  <si>
    <t>avangard-3713@mail.ru</t>
  </si>
  <si>
    <t>avartexx@yandex.ru</t>
  </si>
  <si>
    <t>avateaproduct@gmail.com</t>
  </si>
  <si>
    <t>aveloncity@mail.ru</t>
  </si>
  <si>
    <t>aveo05@mail.ru</t>
  </si>
  <si>
    <t>averstver13@gmail.com</t>
  </si>
  <si>
    <t>avfilatov@orskmk.ru</t>
  </si>
  <si>
    <t>avg-04@mail.ru</t>
  </si>
  <si>
    <t>avital-voda@mail.ru</t>
  </si>
  <si>
    <t>avlcooperation@gmail.com</t>
  </si>
  <si>
    <t>avprohorov@mail.ru</t>
  </si>
  <si>
    <t>avrora-b2011@mail.ru</t>
  </si>
  <si>
    <t>avrtech37@mail.ru</t>
  </si>
  <si>
    <t>avs@zagotprom.com</t>
  </si>
  <si>
    <t>avshilov@vcmo33.ru</t>
  </si>
  <si>
    <t>avsmebel71@yandex.ru</t>
  </si>
  <si>
    <t>avsokol55@bk.ru</t>
  </si>
  <si>
    <t>avto@okna-kompas.ru</t>
  </si>
  <si>
    <t>avtoelita@bk.ru</t>
  </si>
  <si>
    <t>avtograf16@yandex.ru</t>
  </si>
  <si>
    <t>avtostyletorg@bk.ru</t>
  </si>
  <si>
    <t>avtosuvenir85@mail.ru</t>
  </si>
  <si>
    <t>avtoten-kirov@mail.ru</t>
  </si>
  <si>
    <t>axan85@mail.ru</t>
  </si>
  <si>
    <t>aygros@iedsy.ru</t>
  </si>
  <si>
    <t>azbookvarik@bk.ru</t>
  </si>
  <si>
    <t>AZHUR-TEX@mail.ru</t>
  </si>
  <si>
    <t>azmir2024@bk.ru</t>
  </si>
  <si>
    <t>azolotarev@kryotherm.ru</t>
  </si>
  <si>
    <t>azovsky.bereg@yandex.ru</t>
  </si>
  <si>
    <t>azpk@sinpro.ru</t>
  </si>
  <si>
    <t>azvkus-info@yandex.ru</t>
  </si>
  <si>
    <t>b-trikotaj@yandex.ru</t>
  </si>
  <si>
    <t>b-zhanna@yandex.ru</t>
  </si>
  <si>
    <t>b2b@baikalherbs.ru</t>
  </si>
  <si>
    <t>b2b@case-place.ru</t>
  </si>
  <si>
    <t>b2b@eximpolymer.ru</t>
  </si>
  <si>
    <t>b2b@izhsintez.ru</t>
  </si>
  <si>
    <t>b2b@lakomstvadlyasobak.ru</t>
  </si>
  <si>
    <t>b2b@luckroute.com</t>
  </si>
  <si>
    <t>b2b@poalatau.ru</t>
  </si>
  <si>
    <t>b2b1@oil30.ru</t>
  </si>
  <si>
    <t>b2btype@yandex.ru</t>
  </si>
  <si>
    <t>babushkasocks@gmail.com</t>
  </si>
  <si>
    <t>baby_shop@glamourchik.com</t>
  </si>
  <si>
    <t>babybest.spb@mail.ru</t>
  </si>
  <si>
    <t>babyortho1@mail.ru</t>
  </si>
  <si>
    <t>bacaleya.sales@yandex.ru</t>
  </si>
  <si>
    <t>baev@flpol.ru</t>
  </si>
  <si>
    <t>Baevkina@mail.ru</t>
  </si>
  <si>
    <t>bagan@bagan.ru</t>
  </si>
  <si>
    <t>bagautdinov@luxcore.ru</t>
  </si>
  <si>
    <t>baika2602@gmail.com</t>
  </si>
  <si>
    <t>Bakerybread@mail.ru</t>
  </si>
  <si>
    <t>bakhmanova.o@lubgorod.ru</t>
  </si>
  <si>
    <t>bakssru@yandex.ru</t>
  </si>
  <si>
    <t>balakhinsteklo@yandex.ru</t>
  </si>
  <si>
    <t>balakovo.lv@yandex.ru</t>
  </si>
  <si>
    <t>balandina79@list.ru</t>
  </si>
  <si>
    <t>balers71@mail.ru</t>
  </si>
  <si>
    <t>baltbz@mail.ru</t>
  </si>
  <si>
    <t>balu-tm@mail.ru</t>
  </si>
  <si>
    <t>banaev89@gmail.com</t>
  </si>
  <si>
    <t>BanetVI@bumfa.ru</t>
  </si>
  <si>
    <t>bani-mechty@yandex.ru</t>
  </si>
  <si>
    <t>banniy.mir@mail.ru</t>
  </si>
  <si>
    <t>bannovo.ru@gmail.com</t>
  </si>
  <si>
    <t>bannymaster@mail.ru</t>
  </si>
  <si>
    <t>barakatbel@mail.ru</t>
  </si>
  <si>
    <t>baranchikov@vrvtechnology.ru</t>
  </si>
  <si>
    <t>baranova@pi-production.ru</t>
  </si>
  <si>
    <t>barashkov26.info@gmail.com</t>
  </si>
  <si>
    <t>barhat@chzbh.ru</t>
  </si>
  <si>
    <t>barnaul@spets.ru</t>
  </si>
  <si>
    <t>bars-sam@yandex.ru</t>
  </si>
  <si>
    <t>bars.rkz@gmail.com</t>
  </si>
  <si>
    <t>bars5@npobars.ru</t>
  </si>
  <si>
    <t>basis37-1@yandex.ru</t>
  </si>
  <si>
    <t>bastion.69@mail.ru</t>
  </si>
  <si>
    <t>bastion313100@mail.ru</t>
  </si>
  <si>
    <t>bavali@yandex.ru</t>
  </si>
  <si>
    <t>bazorov@uralelectro.ru</t>
  </si>
  <si>
    <t>bazyakapolina@gmail.com</t>
  </si>
  <si>
    <t>bbor@bk.ru</t>
  </si>
  <si>
    <t>bd@beldolina.com</t>
  </si>
  <si>
    <t>bdt-agro@mail.ru</t>
  </si>
  <si>
    <t>bearstone.rus@yandex.ru</t>
  </si>
  <si>
    <t>beatris.opt@mail.ru</t>
  </si>
  <si>
    <t>beaverclamp@yandex.ru</t>
  </si>
  <si>
    <t>bed.berry@yandex.ru</t>
  </si>
  <si>
    <t>bedpet96@yandex.ru</t>
  </si>
  <si>
    <t>bee-wax@mail.ru</t>
  </si>
  <si>
    <t>beeandman@mail.ru</t>
  </si>
  <si>
    <t>beeton68@mail.ru</t>
  </si>
  <si>
    <t>beform.shop@gmail.com</t>
  </si>
  <si>
    <t>belfaso@belfaso.info</t>
  </si>
  <si>
    <t>belgorodmz@mail.ru</t>
  </si>
  <si>
    <t>belkan.mg@mail.ru</t>
  </si>
  <si>
    <t>belovdrakkar@gmail.com</t>
  </si>
  <si>
    <t>belsp31@yandex.ru</t>
  </si>
  <si>
    <t>belvedere@stav-decor.ru</t>
  </si>
  <si>
    <t>belyakov.rtm@gmail.com</t>
  </si>
  <si>
    <t>belyakova.kp@gmail.com</t>
  </si>
  <si>
    <t>belyh@szmix.ru</t>
  </si>
  <si>
    <t>benia@luchpack.ru</t>
  </si>
  <si>
    <t>bentizol@bentizol.ru</t>
  </si>
  <si>
    <t>berdnikovp@mail.ru</t>
  </si>
  <si>
    <t>berezaeco@mail.ru</t>
  </si>
  <si>
    <t>beridzemoscou@mail.ru</t>
  </si>
  <si>
    <t>beseda@termokont.ru</t>
  </si>
  <si>
    <t>Besov-74@mail.ru</t>
  </si>
  <si>
    <t>Best_Point@bk.ru</t>
  </si>
  <si>
    <t>best-gift-v@yandex.ru</t>
  </si>
  <si>
    <t>best.kraskon@mail.ru</t>
  </si>
  <si>
    <t>besta.order@yandex.ru</t>
  </si>
  <si>
    <t>betachem@mail.ru</t>
  </si>
  <si>
    <t>betontehnika@yandex.ru</t>
  </si>
  <si>
    <t>bf.sofiko@yandex.ru</t>
  </si>
  <si>
    <t>bg-rti@mail.ru</t>
  </si>
  <si>
    <t>bgu@energoprof-group.ru</t>
  </si>
  <si>
    <t>Bibikova-vv@yandex.ru</t>
  </si>
  <si>
    <t>bidia4@mail.ru</t>
  </si>
  <si>
    <t>bifilaktbiota@yandex.ru</t>
  </si>
  <si>
    <t>biformplus116@mail.ru</t>
  </si>
  <si>
    <t>bik@mfgerda.ru</t>
  </si>
  <si>
    <t>BikovRF@tomlesdrev.ru</t>
  </si>
  <si>
    <t>bilbau.kzn@gmail.com</t>
  </si>
  <si>
    <t>billiardstables@yandex.ru</t>
  </si>
  <si>
    <t>binkova39@gmail.com</t>
  </si>
  <si>
    <t>bio-ban@bk.ru</t>
  </si>
  <si>
    <t>bio-stm-info@yandex.ru</t>
  </si>
  <si>
    <t>bio@sistemabio.pro</t>
  </si>
  <si>
    <t>bioproekt1@mail.ru</t>
  </si>
  <si>
    <t>biosad.tlt@yandex.ru</t>
  </si>
  <si>
    <t>bioticluxe@mail.ru</t>
  </si>
  <si>
    <t>biotop-manager@mail.ru</t>
  </si>
  <si>
    <t>birusinka24@yandex.ru</t>
  </si>
  <si>
    <t>biserovo-sales@aha.ru</t>
  </si>
  <si>
    <t>Bithimservis@yandex.ru</t>
  </si>
  <si>
    <t>biz@dobrovmebel.com</t>
  </si>
  <si>
    <t>biz@pk-om.ru</t>
  </si>
  <si>
    <t>biz@spb-gefest.ru</t>
  </si>
  <si>
    <t>bizonpmp@mail.ru</t>
  </si>
  <si>
    <t>bizzone-reklama@mail.ru</t>
  </si>
  <si>
    <t>bka_to@bk.ru</t>
  </si>
  <si>
    <t>blagodat11@mail.ru</t>
  </si>
  <si>
    <t>blagoveshchensk@mirpack.ru</t>
  </si>
  <si>
    <t>blister_k@mail.ru</t>
  </si>
  <si>
    <t>blister1.3@mail.ru</t>
  </si>
  <si>
    <t>blokigranitkarelia@mail.ru</t>
  </si>
  <si>
    <t>blokpost126@yandex.ru</t>
  </si>
  <si>
    <t>blyuzsaratov@yandex.ru</t>
  </si>
  <si>
    <t>bma@adept.ru</t>
  </si>
  <si>
    <t>bmk.treid@mail.ru</t>
  </si>
  <si>
    <t>bmmdehouse@yandex.ru</t>
  </si>
  <si>
    <t>bmmk311222@gmail.com</t>
  </si>
  <si>
    <t>bmv@teplotex.ru</t>
  </si>
  <si>
    <t>bmz-natali@mail.ru</t>
  </si>
  <si>
    <t>bna@st-doors.com</t>
  </si>
  <si>
    <t>bnk_visplyus@mail.ru</t>
  </si>
  <si>
    <t>bnksteel@yandex.ru</t>
  </si>
  <si>
    <t>bnm@promkarton.com</t>
  </si>
  <si>
    <t>board@schoolmeb.ru</t>
  </si>
  <si>
    <t>bochka.dubovaya@gmail.com</t>
  </si>
  <si>
    <t>bogatina@rossa-org.ru</t>
  </si>
  <si>
    <t>bogatova@armaturakompozit.ru</t>
  </si>
  <si>
    <t>bogdankovasvet@mail.ru</t>
  </si>
  <si>
    <t>bogdanov@szpe.ru</t>
  </si>
  <si>
    <t>bogdanova@fitstyle.ru</t>
  </si>
  <si>
    <t>bokov@n-cabel.ru</t>
  </si>
  <si>
    <t>Boldenko@grandfence.ru</t>
  </si>
  <si>
    <t>bolivar.horeca@gmail.com</t>
  </si>
  <si>
    <t>bondareva@packsolutions.moscow</t>
  </si>
  <si>
    <t>bondsyou@mail.ru</t>
  </si>
  <si>
    <t>bong80@mail.ru</t>
  </si>
  <si>
    <t>bonik48@yandex.ru</t>
  </si>
  <si>
    <t>Bonsoir89@mail.ru</t>
  </si>
  <si>
    <t>bopp@npu.ru</t>
  </si>
  <si>
    <t>boris@ledvizor.ru</t>
  </si>
  <si>
    <t>borisova_mari.94@mail.ru</t>
  </si>
  <si>
    <t>borntoembody@gmail.com</t>
  </si>
  <si>
    <t>borzov@tezido.com</t>
  </si>
  <si>
    <t>bosanova00@mail.ru</t>
  </si>
  <si>
    <t>botaniclist@mail.ru</t>
  </si>
  <si>
    <t>boubnova@simfoniya-oboi.ru</t>
  </si>
  <si>
    <t>bpark63@yandex.ru</t>
  </si>
  <si>
    <t>bprs-company@yandex.ru</t>
  </si>
  <si>
    <t>bragunnm@legoplast.ru</t>
  </si>
  <si>
    <t>branchukova@satectm.com</t>
  </si>
  <si>
    <t>brand-mos@mail.ru</t>
  </si>
  <si>
    <t>brand.agro@gmail.com</t>
  </si>
  <si>
    <t>brand@rflag.ru</t>
  </si>
  <si>
    <t>bratsk_aliance1@mail.ru</t>
  </si>
  <si>
    <t>brbum@bk.ru</t>
  </si>
  <si>
    <t>brevno.lab@yandex.ru</t>
  </si>
  <si>
    <t>brezent.tkt@gmail.com</t>
  </si>
  <si>
    <t>brick.production.m@gmail.com</t>
  </si>
  <si>
    <t>britmava@mail.ru</t>
  </si>
  <si>
    <t>britva-152@yandex.ru</t>
  </si>
  <si>
    <t>brnkm@mail.ru</t>
  </si>
  <si>
    <t>bronzamini1@yandex.ru</t>
  </si>
  <si>
    <t>brummellnsk@gmail.com</t>
  </si>
  <si>
    <t>bryanskiy-les2@yandex.ru</t>
  </si>
  <si>
    <t>bst37@mail.ru</t>
  </si>
  <si>
    <t>btara@mail.ru</t>
  </si>
  <si>
    <t>bubnov.spb@yandex.ru</t>
  </si>
  <si>
    <t>buh@masterovit-spb.ru</t>
  </si>
  <si>
    <t>buhg.babenko@mail.ru</t>
  </si>
  <si>
    <t>bukarev161@mail.ru</t>
  </si>
  <si>
    <t>Buket@san.ru</t>
  </si>
  <si>
    <t>bukva@arrivareklama.ru</t>
  </si>
  <si>
    <t>bulgakova1228@yandex.ru</t>
  </si>
  <si>
    <t>bulkaimalina@yandex.ru</t>
  </si>
  <si>
    <t>buma-msk@yandex.ru</t>
  </si>
  <si>
    <t>bumerangteks@mail.ru</t>
  </si>
  <si>
    <t>bumfa@list.ru</t>
  </si>
  <si>
    <t>bungepro@bunge.com</t>
  </si>
  <si>
    <t>bus@foxbus.ru</t>
  </si>
  <si>
    <t>buterflycom@mail.ru</t>
  </si>
  <si>
    <t>buterok_abakan@mail.ru</t>
  </si>
  <si>
    <t>ButuzovDN@Kuhmaster.com</t>
  </si>
  <si>
    <t>buybuyru.showroom@yandex.ru</t>
  </si>
  <si>
    <t>buzz_mix@mail.ru</t>
  </si>
  <si>
    <t>bvn@biotrof.ru</t>
  </si>
  <si>
    <t>bw26stv@gmail.com</t>
  </si>
  <si>
    <t>by-quokka@yandex.ru</t>
  </si>
  <si>
    <t>by.glazunov@yandex.ru</t>
  </si>
  <si>
    <t>bylankun.15@gmail.com</t>
  </si>
  <si>
    <t>bytovka16@yandex.ru</t>
  </si>
  <si>
    <t>bytovki61@gmail.com</t>
  </si>
  <si>
    <t>bzc@mail.ru</t>
  </si>
  <si>
    <t>bzmoufa@yandex.ru</t>
  </si>
  <si>
    <t>bzto@list.ru</t>
  </si>
  <si>
    <t>c.s-shop@yandex.ru</t>
  </si>
  <si>
    <t>ca886@mail.ru</t>
  </si>
  <si>
    <t>Caffelice.krasnodar@mail.ru</t>
  </si>
  <si>
    <t>calculate00_00@mail.ru</t>
  </si>
  <si>
    <t>camera-alga@yandex.ru</t>
  </si>
  <si>
    <t>candyshmandy@bk.ru</t>
  </si>
  <si>
    <t>capponni@yandex.ru</t>
  </si>
  <si>
    <t>capsula.factory@gmail.com</t>
  </si>
  <si>
    <t>caratnov@mail.ru</t>
  </si>
  <si>
    <t>carbonic@bk.ru</t>
  </si>
  <si>
    <t>carkof@mail.ru</t>
  </si>
  <si>
    <t>carving116@yandex.ru</t>
  </si>
  <si>
    <t>cas.pp@proksima.ru</t>
  </si>
  <si>
    <t>catalog@protex24.ru</t>
  </si>
  <si>
    <t>catalogs@prostogbi.ru</t>
  </si>
  <si>
    <t>catsset@mail.ru</t>
  </si>
  <si>
    <t>caxaropt@ro.ru</t>
  </si>
  <si>
    <t>caymanshoes@bk.ru</t>
  </si>
  <si>
    <t>cbo@domchoco.ru</t>
  </si>
  <si>
    <t>cco@pakpakych.ru</t>
  </si>
  <si>
    <t>centr@kurgansintez.ru</t>
  </si>
  <si>
    <t>centrbetonsmr@yandex.ru</t>
  </si>
  <si>
    <t>centrstone@yandex.ru</t>
  </si>
  <si>
    <t>ceo@agroberes.com</t>
  </si>
  <si>
    <t>ceo@bubble-juice.ru</t>
  </si>
  <si>
    <t>ceo@koskam.ru</t>
  </si>
  <si>
    <t>ceo@lagomtissue.ru</t>
  </si>
  <si>
    <t>certex.spb@yandex.ru</t>
  </si>
  <si>
    <t>ch-npo@yandex.ru</t>
  </si>
  <si>
    <t>chaginov.opt@steelmuscles.ru</t>
  </si>
  <si>
    <t>chainikoveo@toroid-trans.com</t>
  </si>
  <si>
    <t>charovnica58@mail.ru</t>
  </si>
  <si>
    <t>chdsk07@yandex.ru</t>
  </si>
  <si>
    <t>cheb-tros@yandex.ru</t>
  </si>
  <si>
    <t>chebochips2023@gmail.com</t>
  </si>
  <si>
    <t>chebtorg@mail.ru</t>
  </si>
  <si>
    <t>chelotdel@insi.ru</t>
  </si>
  <si>
    <t>chelzap-74@yandex.ru</t>
  </si>
  <si>
    <t>chemsteel@mail.ru</t>
  </si>
  <si>
    <t>chernovg95@safsport.ru</t>
  </si>
  <si>
    <t>cherry_58@inbox.ru</t>
  </si>
  <si>
    <t>cherygova@paradigma-pack.ru</t>
  </si>
  <si>
    <t>chicopoli@mail.ru</t>
  </si>
  <si>
    <t>chikenland@yandex.ru</t>
  </si>
  <si>
    <t>chillerspb@yandex.ru</t>
  </si>
  <si>
    <t>chistaya-zemlya@yandex.ru</t>
  </si>
  <si>
    <t>chisto_po_armyanski@mail.ru</t>
  </si>
  <si>
    <t>chistohodov@aquaton.ru</t>
  </si>
  <si>
    <t>chistots799@gmail.com</t>
  </si>
  <si>
    <t>chlorella100@mail.ru</t>
  </si>
  <si>
    <t>choco@chintaka.ru</t>
  </si>
  <si>
    <t>chocolandiya.com@yandex.ru</t>
  </si>
  <si>
    <t>chpu36ru@yandex.ru</t>
  </si>
  <si>
    <t>chr@oaokolos.ru</t>
  </si>
  <si>
    <t>chudozero@mail.ru</t>
  </si>
  <si>
    <t>chulpanmsk-sale@mail.ru</t>
  </si>
  <si>
    <t>chuvahi-hleb@yandex.ru</t>
  </si>
  <si>
    <t>Citadel-Promholod@yandex.ru</t>
  </si>
  <si>
    <t>city_pr@mail.ru</t>
  </si>
  <si>
    <t>ck-texno@mail.ru</t>
  </si>
  <si>
    <t>cleanfeet.company@yandex.ru</t>
  </si>
  <si>
    <t>clever@acewear.ru</t>
  </si>
  <si>
    <t>client.service@egeny.team</t>
  </si>
  <si>
    <t>client@alfafit.ru</t>
  </si>
  <si>
    <t>client@master-a.eu</t>
  </si>
  <si>
    <t>client@zarnitza.ru</t>
  </si>
  <si>
    <t>clients@gdcentre.ru</t>
  </si>
  <si>
    <t>clients@texstanki.ru</t>
  </si>
  <si>
    <t>coffee_hour@bk.ru</t>
  </si>
  <si>
    <t>coffee@dammicaffe.com</t>
  </si>
  <si>
    <t>coins-mania_seo@mail.ru</t>
  </si>
  <si>
    <t>cokawoods@gmail.com</t>
  </si>
  <si>
    <t>coloryour33@gmail.com</t>
  </si>
  <si>
    <t>com.nmk@muka.pro</t>
  </si>
  <si>
    <t>com@dir-bogdanova.ru</t>
  </si>
  <si>
    <t>com@meristin.ru</t>
  </si>
  <si>
    <t>com@palich.ru</t>
  </si>
  <si>
    <t>com12.nmk@muka.pro</t>
  </si>
  <si>
    <t>comdir@akstrim.ru</t>
  </si>
  <si>
    <t>comdir@delikatesoff.com</t>
  </si>
  <si>
    <t>comdir@pzi64.ru</t>
  </si>
  <si>
    <t>comm.taktik60@gmail.com</t>
  </si>
  <si>
    <t>commer@igrushki.vrn.ru</t>
  </si>
  <si>
    <t>commerce@bchtf.ru</t>
  </si>
  <si>
    <t>commerce@rosavit.ru</t>
  </si>
  <si>
    <t>commerce@vomz.ru</t>
  </si>
  <si>
    <t>commercial@biotence.ru</t>
  </si>
  <si>
    <t>commercial@cheeseworld.ru</t>
  </si>
  <si>
    <t>commerciamay@mail.ru</t>
  </si>
  <si>
    <t>compact-service@mail.ru</t>
  </si>
  <si>
    <t>company@sibkomplekt.ru</t>
  </si>
  <si>
    <t>Compozit2021@yandex.ru</t>
  </si>
  <si>
    <t>concrete.ru@yandex.ru</t>
  </si>
  <si>
    <t>confetti_conditer@mail.ru</t>
  </si>
  <si>
    <t>confsteptgn@yandex.ru</t>
  </si>
  <si>
    <t>conmet888@yandex.ru</t>
  </si>
  <si>
    <t>connect@zaokvant.ru</t>
  </si>
  <si>
    <t>connect0309@yandex.ru</t>
  </si>
  <si>
    <t>consuldveri@mail.ru</t>
  </si>
  <si>
    <t>consultant@hlopokdom.ru</t>
  </si>
  <si>
    <t>contact.progressm@gmail.com</t>
  </si>
  <si>
    <t>contact@arnita.com</t>
  </si>
  <si>
    <t>contact@bisonte.ru</t>
  </si>
  <si>
    <t>contact@broddway.ru</t>
  </si>
  <si>
    <t>contact@drmag.pro</t>
  </si>
  <si>
    <t>contact@greenaurabeauty.ru</t>
  </si>
  <si>
    <t>contact@omixby.ru</t>
  </si>
  <si>
    <t>contact@slavjanka.ru</t>
  </si>
  <si>
    <t>contact@tayraoil.ru</t>
  </si>
  <si>
    <t>contact@ublinux.ru</t>
  </si>
  <si>
    <t>contact@yfrp.ru</t>
  </si>
  <si>
    <t>contact@zavodvody.ru</t>
  </si>
  <si>
    <t>contour_kat@mail.ru</t>
  </si>
  <si>
    <t>control@malitta.ru</t>
  </si>
  <si>
    <t>coo@acd59.ru</t>
  </si>
  <si>
    <t>cookwithmenow1@gmail.com</t>
  </si>
  <si>
    <t>cooperation@germeteks.su</t>
  </si>
  <si>
    <t>corp@leather-rm.com</t>
  </si>
  <si>
    <t>cotton_45@mail.ru</t>
  </si>
  <si>
    <t>cotton.nhk@bk.ru</t>
  </si>
  <si>
    <t>cplast@bk.ru</t>
  </si>
  <si>
    <t>cpr-it@ya.ru</t>
  </si>
  <si>
    <t>craftdrum@list.ru</t>
  </si>
  <si>
    <t>crazyferma3@mail.ru</t>
  </si>
  <si>
    <t>cross_sport@mail.ru</t>
  </si>
  <si>
    <t>crystal-water25@yandex.ru</t>
  </si>
  <si>
    <t>cucina73@mail.ru</t>
  </si>
  <si>
    <t>cuporos@prometheus78.ru</t>
  </si>
  <si>
    <t>cyclone80@yandex.ru</t>
  </si>
  <si>
    <t>cyxari.1.premiym.ko@mail.ru</t>
  </si>
  <si>
    <t>d-promo@cehmasterdon.ru</t>
  </si>
  <si>
    <t>d.barvin@machta66.ru</t>
  </si>
  <si>
    <t>d.fetnyaev@mail.ru</t>
  </si>
  <si>
    <t>d.hohlov@quorum17.ru</t>
  </si>
  <si>
    <t>d.kim@textilie.ru</t>
  </si>
  <si>
    <t>d.koshkin@chernakovo.ru</t>
  </si>
  <si>
    <t>d.lazarev@gloriatd.ru</t>
  </si>
  <si>
    <t>d.mamaeva@recyclene.ru</t>
  </si>
  <si>
    <t>d.matveeva@upakuem.com</t>
  </si>
  <si>
    <t>d.nail@mail.ru</t>
  </si>
  <si>
    <t>d.niazarov@tpg-bis.ru</t>
  </si>
  <si>
    <t>d.pennonen@mz-sinergia.ru</t>
  </si>
  <si>
    <t>d.sazonov@aqua-plus.pro</t>
  </si>
  <si>
    <t>d.shenshicheva@komitexgeo.ru</t>
  </si>
  <si>
    <t>d.varankin@akvarel-tver.ru</t>
  </si>
  <si>
    <t>d.zaykin@new-bereg.com</t>
  </si>
  <si>
    <t>d.zyryanova@akira-oil.com</t>
  </si>
  <si>
    <t>d0ors4u@yandex.ru</t>
  </si>
  <si>
    <t>d589022@yandex.ru</t>
  </si>
  <si>
    <t>d9022855d@yandex.ru</t>
  </si>
  <si>
    <t>dadskitchenoffice@gmail.com</t>
  </si>
  <si>
    <t>dali04@fabrik-dali.ru</t>
  </si>
  <si>
    <t>dalnos_mores38opt@mail.ru</t>
  </si>
  <si>
    <t>damir.umma@yandex.ru</t>
  </si>
  <si>
    <t>damirov73@mail.ru</t>
  </si>
  <si>
    <t>danchenko-nyuta@mail.ru</t>
  </si>
  <si>
    <t>Daniel@trendfood.ru</t>
  </si>
  <si>
    <t>danilova@poshe-sp.ru</t>
  </si>
  <si>
    <t>danko.danko00@inbox.ru</t>
  </si>
  <si>
    <t>dar175@mail.ru</t>
  </si>
  <si>
    <t>darhangr@gmail.com</t>
  </si>
  <si>
    <t>daria.r@futuka.ru</t>
  </si>
  <si>
    <t>daria@turron.ru</t>
  </si>
  <si>
    <t>darimir-kursk@mail.ru</t>
  </si>
  <si>
    <t>darya.baranchuk23@mail.ru</t>
  </si>
  <si>
    <t>dashkin83@gmail.com</t>
  </si>
  <si>
    <t>data.thundercloud@gmail.com</t>
  </si>
  <si>
    <t>datff@mail.ru</t>
  </si>
  <si>
    <t>dav525@yandex.ru</t>
  </si>
  <si>
    <t>Davinchi70@yandex.ru</t>
  </si>
  <si>
    <t>dawydova.uliana@gmail.com</t>
  </si>
  <si>
    <t>dd@politech-plus.com</t>
  </si>
  <si>
    <t>ddk-group@mail.ru</t>
  </si>
  <si>
    <t>ddsukharev@gmail.com</t>
  </si>
  <si>
    <t>dealer@erste.su</t>
  </si>
  <si>
    <t>dealer@nasha-lestnica.ru</t>
  </si>
  <si>
    <t>decokley@yandex.ru</t>
  </si>
  <si>
    <t>decor-beton23.ru@yandex.ru</t>
  </si>
  <si>
    <t>decorstyleglass2@yandex.ru</t>
  </si>
  <si>
    <t>decus-ekb@mail.ru</t>
  </si>
  <si>
    <t>dehna.ru@yandex.ru</t>
  </si>
  <si>
    <t>deka-ural@list.ru</t>
  </si>
  <si>
    <t>dekor.plyus@bk.ru</t>
  </si>
  <si>
    <t>dekor.rondamit@yandex.ru</t>
  </si>
  <si>
    <t>delar-50@mail.ru</t>
  </si>
  <si>
    <t>delk1@mail.ru</t>
  </si>
  <si>
    <t>delkom@inbox.ru</t>
  </si>
  <si>
    <t>dellur@inbox.ru</t>
  </si>
  <si>
    <t>delta.gr2017@yandex.ru</t>
  </si>
  <si>
    <t>deltacapital@bk.ru</t>
  </si>
  <si>
    <t>demakvv@mail.ru</t>
  </si>
  <si>
    <t>denis.bazhylin@yandex.ru</t>
  </si>
  <si>
    <t>denis.im2021@mail.ru</t>
  </si>
  <si>
    <t>denis@seticompany.ru</t>
  </si>
  <si>
    <t>denis@tdgsem.ru</t>
  </si>
  <si>
    <t>denis77_01@mail.ru</t>
  </si>
  <si>
    <t>denisova.karolina@yandex.ru</t>
  </si>
  <si>
    <t>dergacheva@rostherm.ru</t>
  </si>
  <si>
    <t>deryugin@oknadomkom.ru</t>
  </si>
  <si>
    <t>desk-80@mail.ru</t>
  </si>
  <si>
    <t>detskaya1@bk.ru</t>
  </si>
  <si>
    <t>detskii.trikotazh@yandex.ru</t>
  </si>
  <si>
    <t>dev@kormell.ru</t>
  </si>
  <si>
    <t>develop@dublzavod.ru</t>
  </si>
  <si>
    <t>develop@radiocomp.ru</t>
  </si>
  <si>
    <t>devitabel@mail.ru</t>
  </si>
  <si>
    <t>DezKov@mail.ru</t>
  </si>
  <si>
    <t>dezoforinfo@gmail.com</t>
  </si>
  <si>
    <t>di@pregio.ru</t>
  </si>
  <si>
    <t>dialog-mash@bk.ru</t>
  </si>
  <si>
    <t>Dialog-stels@ya.ru</t>
  </si>
  <si>
    <t>DiamondDirect@yandex.ru</t>
  </si>
  <si>
    <t>Did@kramz.rusal.ru</t>
  </si>
  <si>
    <t>Dikmed@mail.ru</t>
  </si>
  <si>
    <t>dikov-fedor@yandex.ru</t>
  </si>
  <si>
    <t>diktumsmc@yandex.ru</t>
  </si>
  <si>
    <t>dilon@dilon.ru</t>
  </si>
  <si>
    <t>dim_pavlov@mail.ru</t>
  </si>
  <si>
    <t>dim-normal@yandex.ru</t>
  </si>
  <si>
    <t>dima.yack1994@gmail.com</t>
  </si>
  <si>
    <t>dimma@dstudia.ru</t>
  </si>
  <si>
    <t>dinar.mulukov@zolotoikazan.ru</t>
  </si>
  <si>
    <t>dinidian@yandex.ru</t>
  </si>
  <si>
    <t>diod@npo-diod.com</t>
  </si>
  <si>
    <t>dioksid.krsk@yandex.ru</t>
  </si>
  <si>
    <t>dip-sales@yandex.ru</t>
  </si>
  <si>
    <t>dir.dev@medtechnics.ru</t>
  </si>
  <si>
    <t>dir@proftechmash.ru</t>
  </si>
  <si>
    <t>dir@rptm-spb.ru</t>
  </si>
  <si>
    <t>director@alliance-bags.ru</t>
  </si>
  <si>
    <t>director@irida26.ru</t>
  </si>
  <si>
    <t>director@kront.com</t>
  </si>
  <si>
    <t>director@laccoma.ru</t>
  </si>
  <si>
    <t>director@magend.ru</t>
  </si>
  <si>
    <t>Director@petrasvet.com</t>
  </si>
  <si>
    <t>director@rim.ru.com</t>
  </si>
  <si>
    <t>director@umrabota.ru</t>
  </si>
  <si>
    <t>direktor.dori@gmail.com</t>
  </si>
  <si>
    <t>direktor@oknalok.ru</t>
  </si>
  <si>
    <t>diriab@mail.ru</t>
  </si>
  <si>
    <t>dirtyxas@mail.ru</t>
  </si>
  <si>
    <t>dis-td@mail.ru</t>
  </si>
  <si>
    <t>dis@promix-center.com</t>
  </si>
  <si>
    <t>distribution@penoplex.ru</t>
  </si>
  <si>
    <t>distributor@lucas-cosmetics.ru</t>
  </si>
  <si>
    <t>disural@mail.ru</t>
  </si>
  <si>
    <t>divalex173@yandex.ru</t>
  </si>
  <si>
    <t>divan-design@mail.ru</t>
  </si>
  <si>
    <t>divanialeks@mail.ru</t>
  </si>
  <si>
    <t>divanov@divan-design.ru</t>
  </si>
  <si>
    <t>divinka2000@gmail.com</t>
  </si>
  <si>
    <t>divispro@gmail.com</t>
  </si>
  <si>
    <t>divosport2010@mail.ru</t>
  </si>
  <si>
    <t>diz+468856@comd.ru</t>
  </si>
  <si>
    <t>dizel-system@yandex.ru</t>
  </si>
  <si>
    <t>dizoli07@mail.ru</t>
  </si>
  <si>
    <t>dk_05@mail.ru</t>
  </si>
  <si>
    <t>dk@baltves.ru</t>
  </si>
  <si>
    <t>dkoryukov@groupe-atlantic.com</t>
  </si>
  <si>
    <t>dkutenkov@list.ru</t>
  </si>
  <si>
    <t>dlentamet@gmail.com</t>
  </si>
  <si>
    <t>dlesstroi@yandex.ru</t>
  </si>
  <si>
    <t>DM.IGNATOV@yandex.ru</t>
  </si>
  <si>
    <t>dm@bioprodtorg.ru</t>
  </si>
  <si>
    <t>dm@termopromsnab.ru</t>
  </si>
  <si>
    <t>dmc.russia@ya.ru</t>
  </si>
  <si>
    <t>dmfavrora@mail.ru</t>
  </si>
  <si>
    <t>dmit.rysin@yandex.ru</t>
  </si>
  <si>
    <t>dmitriy.t@walmi.ru</t>
  </si>
  <si>
    <t>dmitry.v@unisteam.com</t>
  </si>
  <si>
    <t>dmitry@ista-pneumatics.ru</t>
  </si>
  <si>
    <t>dmobuv.bg@yandex.ru</t>
  </si>
  <si>
    <t>dobrinya-rf@yandex.ru</t>
  </si>
  <si>
    <t>dobro.tst@gmail.com</t>
  </si>
  <si>
    <t>dobrodeya1@mail.ru</t>
  </si>
  <si>
    <t>dobrynia-rus@yandex.ru</t>
  </si>
  <si>
    <t>dog-bonus26@mail.ru</t>
  </si>
  <si>
    <t>dog@laira.info</t>
  </si>
  <si>
    <t>dogovor@europs.ru</t>
  </si>
  <si>
    <t>dok-servis73@mail.ru</t>
  </si>
  <si>
    <t>dokatorg@mail.ru</t>
  </si>
  <si>
    <t>dolce-reklama@yandex.ru</t>
  </si>
  <si>
    <t>dolcepic@yandex.ru</t>
  </si>
  <si>
    <t>dolgikh.1973@list.ru</t>
  </si>
  <si>
    <t>dom-formula@yandex.ru</t>
  </si>
  <si>
    <t>dom-nn152@yandex.ru</t>
  </si>
  <si>
    <t>domdereva2000@yandex.ru</t>
  </si>
  <si>
    <t>domdsk@mail.ru</t>
  </si>
  <si>
    <t>domik@cats-kvartal.ru</t>
  </si>
  <si>
    <t>domosprk@yandex.ru</t>
  </si>
  <si>
    <t>domremesell@yandex.ru</t>
  </si>
  <si>
    <t>don-coffee.evgeniya@mail.ru</t>
  </si>
  <si>
    <t>donchenko_78@bk.ru</t>
  </si>
  <si>
    <t>doncova@mtzd.ru</t>
  </si>
  <si>
    <t>done.ssprint@gmail.com</t>
  </si>
  <si>
    <t>donservice@aaanet.ru</t>
  </si>
  <si>
    <t>donskoy.pukh@bk.ru</t>
  </si>
  <si>
    <t>donskoystandart-com@list.ru</t>
  </si>
  <si>
    <t>dooremi2017@yandex.ru</t>
  </si>
  <si>
    <t>doors-ola@yandex.ru</t>
  </si>
  <si>
    <t>doors@guardian.ru</t>
  </si>
  <si>
    <t>doorscustommsk@gmail.com</t>
  </si>
  <si>
    <t>doorstitan@yandex.ru</t>
  </si>
  <si>
    <t>doremimebel@yandex.ru</t>
  </si>
  <si>
    <t>dormanpost@yandex.ru</t>
  </si>
  <si>
    <t>doroteya-iv@mail.ru</t>
  </si>
  <si>
    <t>doska-71@yandex.ru</t>
  </si>
  <si>
    <t>dovydenko.na@pzem.ru</t>
  </si>
  <si>
    <t>dps@swgroup.ru</t>
  </si>
  <si>
    <t>drakkar.meb@ya.ru</t>
  </si>
  <si>
    <t>dressbydress@yandex.ru</t>
  </si>
  <si>
    <t>drobko@chtp-spb.ru</t>
  </si>
  <si>
    <t>Droganov@temz.tomsk.ru</t>
  </si>
  <si>
    <t>dron583@beltmarket.ru</t>
  </si>
  <si>
    <t>drovosek156@yandex.ru</t>
  </si>
  <si>
    <t>ds@redmedia-moscow.ru</t>
  </si>
  <si>
    <t>ds@wise-filter.ru</t>
  </si>
  <si>
    <t>dsa-fur@mail.ru</t>
  </si>
  <si>
    <t>dsh-kisw@yandex.ru</t>
  </si>
  <si>
    <t>dsk_gras@mail.ru</t>
  </si>
  <si>
    <t>dsk.bum@gmail.com</t>
  </si>
  <si>
    <t>dso@temper.ru</t>
  </si>
  <si>
    <t>dtf37@mail.ru</t>
  </si>
  <si>
    <t>dubna@raptika.ru</t>
  </si>
  <si>
    <t>dubrovin@meridian-nn.com</t>
  </si>
  <si>
    <t>duet@meta.ua</t>
  </si>
  <si>
    <t>duet46@yandex.ru</t>
  </si>
  <si>
    <t>dugna-steklo@yandex.ru</t>
  </si>
  <si>
    <t>dumplingsrus@yandex.ru</t>
  </si>
  <si>
    <t>duniasha@bk.ru</t>
  </si>
  <si>
    <t>dushantorg33@mail.ru</t>
  </si>
  <si>
    <t>dveri@berbex.ru</t>
  </si>
  <si>
    <t>dveri@temp-doors.ru</t>
  </si>
  <si>
    <t>dverikapital@mail.ru</t>
  </si>
  <si>
    <t>dverizavod43@yandex.ru</t>
  </si>
  <si>
    <t>dvernisage@list.ru</t>
  </si>
  <si>
    <t>dvor_sar@mail.ru</t>
  </si>
  <si>
    <t>dx_construction@mail.ru</t>
  </si>
  <si>
    <t>dyagileva.83@mail.ru</t>
  </si>
  <si>
    <t>dynasty.yar@yandex.ru</t>
  </si>
  <si>
    <t>dzerzhinskbet1@yandex.ru</t>
  </si>
  <si>
    <t>dzti@bk.ru</t>
  </si>
  <si>
    <t>e_ogarkov@mail.ru</t>
  </si>
  <si>
    <t>E-1mebel@yandex.ru</t>
  </si>
  <si>
    <t>e-commerce@kareltd.spb.ru</t>
  </si>
  <si>
    <t>e-shop@plastilux.ru</t>
  </si>
  <si>
    <t>e.araslankin@sci-exp.ru</t>
  </si>
  <si>
    <t>e.baldova@puzziki.ru</t>
  </si>
  <si>
    <t>e.danilkin@tddyagil.ru</t>
  </si>
  <si>
    <t>e.erygin@bk.ru</t>
  </si>
  <si>
    <t>e.guba@vcslighting.com</t>
  </si>
  <si>
    <t>e.gului@p-z-m.ru</t>
  </si>
  <si>
    <t>e.hrapak@daliaf.ru</t>
  </si>
  <si>
    <t>e.kirik@inplast.ru</t>
  </si>
  <si>
    <t>e.korotkov-snabika@mail.ru</t>
  </si>
  <si>
    <t>e.koshelevi@gmail.com</t>
  </si>
  <si>
    <t>E.kubaev@orenbeef.ru</t>
  </si>
  <si>
    <t>e.kuzmicheva@st-iv.ru</t>
  </si>
  <si>
    <t>e.lapshova@briskly.online</t>
  </si>
  <si>
    <t>e.lesiv@a-group.com</t>
  </si>
  <si>
    <t>e.medvedev@btk.ru</t>
  </si>
  <si>
    <t>e.menshikova@vyborgec.ru</t>
  </si>
  <si>
    <t>E.pashkova@hotrock.ru</t>
  </si>
  <si>
    <t>e.pilipchak@eskar.ru</t>
  </si>
  <si>
    <t>e.razumovsky@pertix.ru</t>
  </si>
  <si>
    <t>e.rusinovih@ppr-ural.ru</t>
  </si>
  <si>
    <t>e.rzaeff@yandex.ru</t>
  </si>
  <si>
    <t>e.sgibneva@pesochnica.biz</t>
  </si>
  <si>
    <t>e.stikhareva@svetopribor.info</t>
  </si>
  <si>
    <t>e.stolbova@deka24.ru</t>
  </si>
  <si>
    <t>e.suhova@msk-stk.ru</t>
  </si>
  <si>
    <t>e.sunagatullin@drinks-factory.ru</t>
  </si>
  <si>
    <t>e.sunagatullin@emsport.ru</t>
  </si>
  <si>
    <t>E.Trifonova@prinzip.ru</t>
  </si>
  <si>
    <t>e.voloshina@pec-electric.ru</t>
  </si>
  <si>
    <t>E89040079190@yandex.ru</t>
  </si>
  <si>
    <t>EAL85@2klena.ru</t>
  </si>
  <si>
    <t>ealshevchenko@rosatom.ru</t>
  </si>
  <si>
    <t>ec-skat@mail.ru</t>
  </si>
  <si>
    <t>ecocheloveki@gmail.com</t>
  </si>
  <si>
    <t>ecofactor2000@gmail.com</t>
  </si>
  <si>
    <t>ecoformula@bk.ru</t>
  </si>
  <si>
    <t>ecogdp@yandex.ru</t>
  </si>
  <si>
    <t>ecoinprom@yandex.ru</t>
  </si>
  <si>
    <t>ecokorobki@list.ru</t>
  </si>
  <si>
    <t>ecolife22@mail.ru</t>
  </si>
  <si>
    <t>ecologic2019@yandex.ru</t>
  </si>
  <si>
    <t>ecoplast71@bk.ru</t>
  </si>
  <si>
    <t>ecoport.nhk@gmail.com</t>
  </si>
  <si>
    <t>ecoprodukt48@mail.ru</t>
  </si>
  <si>
    <t>ecosorb96@yandex.ru</t>
  </si>
  <si>
    <t>ecostep@mail.ru</t>
  </si>
  <si>
    <t>ecovata-kuban@yandex.ru</t>
  </si>
  <si>
    <t>ecovata-rnd@yandex.ru</t>
  </si>
  <si>
    <t>EcoWayManager@yandex.ru</t>
  </si>
  <si>
    <t>eda95@yandex.ru</t>
  </si>
  <si>
    <t>edalankovrov@yandex.ru</t>
  </si>
  <si>
    <t>edis@li.ru</t>
  </si>
  <si>
    <t>edlen66@mail.ru</t>
  </si>
  <si>
    <t>edom37@mail.ru</t>
  </si>
  <si>
    <t>eduardivan4157@gmail.com</t>
  </si>
  <si>
    <t>edv@pg-invent.ru</t>
  </si>
  <si>
    <t>eee@orgtorg.com</t>
  </si>
  <si>
    <t>een@center-proton.ru</t>
  </si>
  <si>
    <t>efeny@yandex.ru</t>
  </si>
  <si>
    <t>eflipa@yandex.ru</t>
  </si>
  <si>
    <t>egelfasad@mail.ru</t>
  </si>
  <si>
    <t>egor@yoway.ru</t>
  </si>
  <si>
    <t>egorkashorashora69@gmail.com</t>
  </si>
  <si>
    <t>egorov23@rambler.ru</t>
  </si>
  <si>
    <t>egorovakvapaskal@mail.ru</t>
  </si>
  <si>
    <t>egorovrf@mail.ru</t>
  </si>
  <si>
    <t>egyr@mail.ru</t>
  </si>
  <si>
    <t>ekaterina@hydrig.ru</t>
  </si>
  <si>
    <t>ekaterina@unekt.ru</t>
  </si>
  <si>
    <t>eko.yrmarka@mail.ru</t>
  </si>
  <si>
    <t>eko@promkom.ru</t>
  </si>
  <si>
    <t>ekoflex-decor@yandex.ru</t>
  </si>
  <si>
    <t>ekokub@mail.ru</t>
  </si>
  <si>
    <t>ekoposuda2018@mail.ru</t>
  </si>
  <si>
    <t>ekoprom@ekoprom.org</t>
  </si>
  <si>
    <t>ekosibstroy24@mail.ru</t>
  </si>
  <si>
    <t>ekostroy2005@mail.ru</t>
  </si>
  <si>
    <t>ekst2printer@mail.ru</t>
  </si>
  <si>
    <t>el-m-lock@yandex.ru</t>
  </si>
  <si>
    <t>el-plastik@mail.ru</t>
  </si>
  <si>
    <t>el.lena82@mail.ru</t>
  </si>
  <si>
    <t>elastorder@mail.ru</t>
  </si>
  <si>
    <t>elbrus.works@gmail.com</t>
  </si>
  <si>
    <t>elecom97974@mail.ru</t>
  </si>
  <si>
    <t>electra-its@mail.ru</t>
  </si>
  <si>
    <t>electrastyle5@mail.ru</t>
  </si>
  <si>
    <t>electro@gusi.ru</t>
  </si>
  <si>
    <t>electrotherm.ads@yandex.ru</t>
  </si>
  <si>
    <t>elegiya-d@mail.ru</t>
  </si>
  <si>
    <t>elektostal1@yandex.ru</t>
  </si>
  <si>
    <t>elektron-52@mail.ru</t>
  </si>
  <si>
    <t>Elena_lopatina@teres-service.ru</t>
  </si>
  <si>
    <t>elena-momotova@lenta.ru</t>
  </si>
  <si>
    <t>elena.manufactory@ya.ru</t>
  </si>
  <si>
    <t>elena.skomarokhina@euro-line.ru</t>
  </si>
  <si>
    <t>elena.zhurenkova@mail.ru</t>
  </si>
  <si>
    <t>elena@cosmos73.com</t>
  </si>
  <si>
    <t>elena@stalkersafe.ru</t>
  </si>
  <si>
    <t>elena@t-d-v.ru</t>
  </si>
  <si>
    <t>elena@zavet.link</t>
  </si>
  <si>
    <t>elena2766@yandex.ru</t>
  </si>
  <si>
    <t>elenaenl@mail.ru</t>
  </si>
  <si>
    <t>elenalift2@gmail.com</t>
  </si>
  <si>
    <t>elenamex@mail.ru</t>
  </si>
  <si>
    <t>elescom@ya.ru</t>
  </si>
  <si>
    <t>elevatorterek@yandex.ru</t>
  </si>
  <si>
    <t>elikabebi@mail.ru</t>
  </si>
  <si>
    <t>elinery60@gmail.com</t>
  </si>
  <si>
    <t>elisa.pasta@bk.ru</t>
  </si>
  <si>
    <t>eliseeva@storms.ru</t>
  </si>
  <si>
    <t>elitbeton-dv@mail.ru</t>
  </si>
  <si>
    <t>eliteclassic@yandex.ru</t>
  </si>
  <si>
    <t>eliza.alliance@mail.ru</t>
  </si>
  <si>
    <t>elizarych@gmail.com</t>
  </si>
  <si>
    <t>elizaveta.sorvenkova@mail.ru</t>
  </si>
  <si>
    <t>elizaveta@oxyfashion.com</t>
  </si>
  <si>
    <t>elka-70@list.ru</t>
  </si>
  <si>
    <t>ell.orlova@gmail.com</t>
  </si>
  <si>
    <t>ellarx89@yandex.ru</t>
  </si>
  <si>
    <t>ellcora@yandex.ru</t>
  </si>
  <si>
    <t>elle26109@yandex.ru</t>
  </si>
  <si>
    <t>elpa7870@gmail.com</t>
  </si>
  <si>
    <t>em@nppem.ru</t>
  </si>
  <si>
    <t>email@autote.ru</t>
  </si>
  <si>
    <t>email@goldfish.ru</t>
  </si>
  <si>
    <t>embarcadero.vyborg@yandex.ru</t>
  </si>
  <si>
    <t>emmelcosmetics@gmail.com</t>
  </si>
  <si>
    <t>emmy-mebel@mail.ru</t>
  </si>
  <si>
    <t>empolis@yandex.com</t>
  </si>
  <si>
    <t>emv1401@ya.ru</t>
  </si>
  <si>
    <t>energtehnology@yandex.ru</t>
  </si>
  <si>
    <t>energy@gradient-e.ru</t>
  </si>
  <si>
    <t>enerprom@enerprom.ru</t>
  </si>
  <si>
    <t>enevidimova@ktc.ru</t>
  </si>
  <si>
    <t>epa.trade@yandex.ru</t>
  </si>
  <si>
    <t>epcmsu.manager@gmail.com</t>
  </si>
  <si>
    <t>Epifanovav@sagro.ru</t>
  </si>
  <si>
    <t>eprivalov@gdcentre.ru</t>
  </si>
  <si>
    <t>era_1@mail.ru</t>
  </si>
  <si>
    <t>ermak25rus@yandex.ru</t>
  </si>
  <si>
    <t>Erogacheva@zaoferment.ru</t>
  </si>
  <si>
    <t>ervig@yandex.ru</t>
  </si>
  <si>
    <t>erz@steel-prom.ru</t>
  </si>
  <si>
    <t>es@pgs.ru</t>
  </si>
  <si>
    <t>eselivanvano@yandex.ru</t>
  </si>
  <si>
    <t>esha2005@rambler.ru</t>
  </si>
  <si>
    <t>eshemoda.ofis@mail.ru</t>
  </si>
  <si>
    <t>eshop@greenmama.ru</t>
  </si>
  <si>
    <t>eskulaprus@mail.ru</t>
  </si>
  <si>
    <t>esm_stroi@mail.ru</t>
  </si>
  <si>
    <t>essen555@yandex.ru</t>
  </si>
  <si>
    <t>estero.sibir@yandex.ru</t>
  </si>
  <si>
    <t>etalkom@mail.ru</t>
  </si>
  <si>
    <t>etalon_rpk@mail.ru</t>
  </si>
  <si>
    <t>etalon@mail.ru</t>
  </si>
  <si>
    <t>etiketka@khz2.ru</t>
  </si>
  <si>
    <t>euppvos@mail.ru</t>
  </si>
  <si>
    <t>eurobeton.ru@yandex.ru</t>
  </si>
  <si>
    <t>euroblock32@mail.ru</t>
  </si>
  <si>
    <t>eurochem.exp@mail.ru</t>
  </si>
  <si>
    <t>europack.olga@yandex.ru</t>
  </si>
  <si>
    <t>eurorabica@yandex.ru</t>
  </si>
  <si>
    <t>ev.gurulev@gmail.com</t>
  </si>
  <si>
    <t>ev@avangardspb.com</t>
  </si>
  <si>
    <t>ev@polyteam.ru</t>
  </si>
  <si>
    <t>eva.gaisina@rambler.ru</t>
  </si>
  <si>
    <t>eva.iveneva@yandex.ru</t>
  </si>
  <si>
    <t>eva.stilplast@yandex.ru</t>
  </si>
  <si>
    <t>evak9086@gmail.com</t>
  </si>
  <si>
    <t>evenfabric@yandex.ru</t>
  </si>
  <si>
    <t>evg.kulakov27@mail.ru</t>
  </si>
  <si>
    <t>Evgenia.infunt@mail.ru</t>
  </si>
  <si>
    <t>evgenia@water.ru</t>
  </si>
  <si>
    <t>evgeniya.o@tpk-unikom.ru</t>
  </si>
  <si>
    <t>Evgeniya@tk-steklo.com</t>
  </si>
  <si>
    <t>Evgenyvishnevetsky@gmail.com</t>
  </si>
  <si>
    <t>evgn002@mail.ru</t>
  </si>
  <si>
    <t>evrica777@mail.ru</t>
  </si>
  <si>
    <t>evrika-cln@yandex.ru</t>
  </si>
  <si>
    <t>exclusive-pack@mail.ru</t>
  </si>
  <si>
    <t>exfer3@yandex.ru</t>
  </si>
  <si>
    <t>expert@bam.expert</t>
  </si>
  <si>
    <t>export@baltorganic.ru</t>
  </si>
  <si>
    <t>export@four-seasons.ru</t>
  </si>
  <si>
    <t>export@hlebio.ru</t>
  </si>
  <si>
    <t>export@nzss.ru</t>
  </si>
  <si>
    <t>export@papsco.ru</t>
  </si>
  <si>
    <t>export@ufanet.ru</t>
  </si>
  <si>
    <t>exportsale@moroshka.com</t>
  </si>
  <si>
    <t>express_pack@mail.ru</t>
  </si>
  <si>
    <t>expressiyaform@gmail.com</t>
  </si>
  <si>
    <t>extraprod@mail.ru</t>
  </si>
  <si>
    <t>fab@meridian41.ru</t>
  </si>
  <si>
    <t>fabrica.3d@yandex.ru</t>
  </si>
  <si>
    <t>fabrika-ant@list.ru</t>
  </si>
  <si>
    <t>fabrika.assol@mail.ru</t>
  </si>
  <si>
    <t>fabrika.forte@mail.ru</t>
  </si>
  <si>
    <t>fabrika.konvita@mail.ru</t>
  </si>
  <si>
    <t>fabrika@era-teks.ru</t>
  </si>
  <si>
    <t>fabrika@janus74.ru</t>
  </si>
  <si>
    <t>fabrika@mifura.ru</t>
  </si>
  <si>
    <t>fabrika@shtf.su</t>
  </si>
  <si>
    <t>fabrika@teremdoor.ru</t>
  </si>
  <si>
    <t>fabrika@texcom.ru</t>
  </si>
  <si>
    <t>fabrikant08_marketing@mail.ru</t>
  </si>
  <si>
    <t>fabrikasna@gmail.com</t>
  </si>
  <si>
    <t>fabrikaspartak@gmail.com</t>
  </si>
  <si>
    <t>factorypenza@gmail.com</t>
  </si>
  <si>
    <t>FACTORYVOROBJEV@MAIL.RU</t>
  </si>
  <si>
    <t>faek-s1990@mail.ru</t>
  </si>
  <si>
    <t>faibis.zab@gmail.com</t>
  </si>
  <si>
    <t>famihome.tmk@gmail.com</t>
  </si>
  <si>
    <t>fan.robotica@yandex.ru</t>
  </si>
  <si>
    <t>fantomtomsk@inbox.ru</t>
  </si>
  <si>
    <t>farfor-spb.ru@mail.ru</t>
  </si>
  <si>
    <t>farmsfera-61@yandex.ru</t>
  </si>
  <si>
    <t>fartukt@mail.ru</t>
  </si>
  <si>
    <t>fasadnext@gmail.com</t>
  </si>
  <si>
    <t>fashionflow.work@gmail.com</t>
  </si>
  <si>
    <t>fashionlider@list.ru</t>
  </si>
  <si>
    <t>fastprint.pro@yandex.ru</t>
  </si>
  <si>
    <t>fati.alieva21039@yandex.ru</t>
  </si>
  <si>
    <t>favorit.alsist@mail.ru</t>
  </si>
  <si>
    <t>favorit161@bk.ru</t>
  </si>
  <si>
    <t>faxyst@gmail.com</t>
  </si>
  <si>
    <t>fbd-tools@mail.ru</t>
  </si>
  <si>
    <t>fdi-klg@mail.ru</t>
  </si>
  <si>
    <t>fed-69@mail.ru</t>
  </si>
  <si>
    <t>fedorova@bs-gs.ru</t>
  </si>
  <si>
    <t>feedback@mebelru.ru</t>
  </si>
  <si>
    <t>felt.dreams@yandex.ru</t>
  </si>
  <si>
    <t>ferbos@inbox.ru</t>
  </si>
  <si>
    <t>ferma_optmos@intermarket.su</t>
  </si>
  <si>
    <t>ferma-teplica@yandex.ru</t>
  </si>
  <si>
    <t>fermer-prom@mail.ru</t>
  </si>
  <si>
    <t>fest3sbit@fest-k.ru</t>
  </si>
  <si>
    <t>fetnyaev.d@goodcookies.ru</t>
  </si>
  <si>
    <t>fibramanager@gmail.com</t>
  </si>
  <si>
    <t>filatov-s@unikom2001.ru</t>
  </si>
  <si>
    <t>filishova@ekofab.ru</t>
  </si>
  <si>
    <t>firdavil@mail.ru</t>
  </si>
  <si>
    <t>firmabkl.@rambler.ru</t>
  </si>
  <si>
    <t>fish@delko.ru</t>
  </si>
  <si>
    <t>FISHaHAMMER@mail.ru</t>
  </si>
  <si>
    <t>fishgrill55@gmail.com</t>
  </si>
  <si>
    <t>fishhm@ya.ru</t>
  </si>
  <si>
    <t>Fishka-petrov@mail.ru</t>
  </si>
  <si>
    <t>fit-eco@mail.ru</t>
  </si>
  <si>
    <t>fitlex-polimer@mail.ru</t>
  </si>
  <si>
    <t>fito@baikalherbs.ru</t>
  </si>
  <si>
    <t>fkbi@mail.ru</t>
  </si>
  <si>
    <t>flaginn_rek@mail.ru</t>
  </si>
  <si>
    <t>flaginn@mail.ru</t>
  </si>
  <si>
    <t>flamingo_sbit@mail.ru</t>
  </si>
  <si>
    <t>flexo@fpu46.ru</t>
  </si>
  <si>
    <t>flora.naturecosmetic@gmail.com</t>
  </si>
  <si>
    <t>florentina@florcom.ru</t>
  </si>
  <si>
    <t>fmt.manager@mail.ru</t>
  </si>
  <si>
    <t>food-and-agro@novaroll.ru</t>
  </si>
  <si>
    <t>foodcraftdv@yandex.ru</t>
  </si>
  <si>
    <t>foodingredients1@yandex.ru</t>
  </si>
  <si>
    <t>foodsales.omegatrade@gmail.com</t>
  </si>
  <si>
    <t>foral_msk@mail.ru</t>
  </si>
  <si>
    <t>fordealer@stroypribor.ru</t>
  </si>
  <si>
    <t>forestregion@mail.ru</t>
  </si>
  <si>
    <t>forma@cafepack.ru</t>
  </si>
  <si>
    <t>Forma1945@yandex.ru</t>
  </si>
  <si>
    <t>formarks@formarks.ru</t>
  </si>
  <si>
    <t>formarusana@mail.ru</t>
  </si>
  <si>
    <t>formulabetona1@yandex.ru</t>
  </si>
  <si>
    <t>fortune37@mpaket.ru</t>
  </si>
  <si>
    <t>fox-opt@bk.ru</t>
  </si>
  <si>
    <t>fp-mebel@yandex.ru</t>
  </si>
  <si>
    <t>fr@bbogroup.ru</t>
  </si>
  <si>
    <t>fr@kiraplastinina.com</t>
  </si>
  <si>
    <t>fra@milkymoons.ru</t>
  </si>
  <si>
    <t>franch@stilnyashka.com</t>
  </si>
  <si>
    <t>frenchkiss@inbox.ru</t>
  </si>
  <si>
    <t>frezerom@bk.ru</t>
  </si>
  <si>
    <t>frolov@ngkk.ru</t>
  </si>
  <si>
    <t>frolova@bergplast.ru</t>
  </si>
  <si>
    <t>frutopiano@mail.ru</t>
  </si>
  <si>
    <t>fsm79044463777@ya.ru</t>
  </si>
  <si>
    <t>ft-team@inbox.ru</t>
  </si>
  <si>
    <t>full-dog@mail.ru</t>
  </si>
  <si>
    <t>furni-trading@mail.ru</t>
  </si>
  <si>
    <t>furniture.sova@yandex.ru</t>
  </si>
  <si>
    <t>furniturefirm@yandex.ru</t>
  </si>
  <si>
    <t>G-novo@bk.ru</t>
  </si>
  <si>
    <t>g.galeeva@voda-volzhanka.ru</t>
  </si>
  <si>
    <t>g.garaeva@tdbatik.com</t>
  </si>
  <si>
    <t>g.korobkova@stynergy.ru</t>
  </si>
  <si>
    <t>g.moskalev@begagro.com</t>
  </si>
  <si>
    <t>gai@gzmi.ru</t>
  </si>
  <si>
    <t>gaia-ru@mail.ru</t>
  </si>
  <si>
    <t>gakkard@gmail.com</t>
  </si>
  <si>
    <t>gaks@gaksnpo.ru</t>
  </si>
  <si>
    <t>galant_design@mail.ru</t>
  </si>
  <si>
    <t>galas06@mail.ru</t>
  </si>
  <si>
    <t>galatrevo@mail.ru</t>
  </si>
  <si>
    <t>galinabostan08@gmail.com</t>
  </si>
  <si>
    <t>galkina.e.n@av1918.ru</t>
  </si>
  <si>
    <t>galkina.m@king-plast.ru</t>
  </si>
  <si>
    <t>galn-tanya@yandex.ru</t>
  </si>
  <si>
    <t>gamed07@mail.ru</t>
  </si>
  <si>
    <t>gammasibir@rambler.ru</t>
  </si>
  <si>
    <t>gammi_sport@mail.ru</t>
  </si>
  <si>
    <t>ganikitushkin@oktavatula.com</t>
  </si>
  <si>
    <t>gansov2015@mail.ru</t>
  </si>
  <si>
    <t>gaponds@yandex.ru</t>
  </si>
  <si>
    <t>gaservices89@gmail.com</t>
  </si>
  <si>
    <t>gav@voll.su</t>
  </si>
  <si>
    <t>gavmiau@yahoo.com</t>
  </si>
  <si>
    <t>gayane@foody.ru.com</t>
  </si>
  <si>
    <t>gaz@himkriogaz.ru</t>
  </si>
  <si>
    <t>gazrin@mail.ru</t>
  </si>
  <si>
    <t>gb@globalpetfood.ru</t>
  </si>
  <si>
    <t>gbi-beton@mail.ru</t>
  </si>
  <si>
    <t>gbimax67@mail.ru</t>
  </si>
  <si>
    <t>geizer-2010@yandex.ru</t>
  </si>
  <si>
    <t>gektor.direkt@yandex.ru</t>
  </si>
  <si>
    <t>gemma-coffee@ya.ru</t>
  </si>
  <si>
    <t>general@mdvtorg.ru</t>
  </si>
  <si>
    <t>generalpower15@yandex.ru</t>
  </si>
  <si>
    <t>genesis_mebel@mail.ru</t>
  </si>
  <si>
    <t>genuswood@yandex.ru</t>
  </si>
  <si>
    <t>geo@td-geo.ru</t>
  </si>
  <si>
    <t>geocupol.zakaz@yandex.ru</t>
  </si>
  <si>
    <t>geometric00@mail.ru</t>
  </si>
  <si>
    <t>geopuzzle.roman@yandex.ru</t>
  </si>
  <si>
    <t>Germes-kraski@ya.ru</t>
  </si>
  <si>
    <t>germo-s.nf@mail.ru</t>
  </si>
  <si>
    <t>get@green-pitomnik.ru</t>
  </si>
  <si>
    <t>gfbizz@yandex.ru</t>
  </si>
  <si>
    <t>gfuryt@mail.ru</t>
  </si>
  <si>
    <t>ghost4590@mail.ru</t>
  </si>
  <si>
    <t>gia@siliumtech.com</t>
  </si>
  <si>
    <t>gibatullina@profstroy.spb.ru</t>
  </si>
  <si>
    <t>gidravlika@baltservice.org</t>
  </si>
  <si>
    <t>gidropac@yandex.ru</t>
  </si>
  <si>
    <t>gigantyug@gigantyug.ru</t>
  </si>
  <si>
    <t>gilmianov@trak-on.ru</t>
  </si>
  <si>
    <t>gipar@gipar.ru</t>
  </si>
  <si>
    <t>gipskombinat@mail.ru</t>
  </si>
  <si>
    <t>girudin@maksit.ru</t>
  </si>
  <si>
    <t>gk.evrohim@gmail.com</t>
  </si>
  <si>
    <t>gk.vibor@yandex.ru</t>
  </si>
  <si>
    <t>gk2304@yandex.ru</t>
  </si>
  <si>
    <t>GKMegamix@yandex.ru</t>
  </si>
  <si>
    <t>gl.nazerke@gmail.com</t>
  </si>
  <si>
    <t>Gladilin12.m@mail.ru</t>
  </si>
  <si>
    <t>gladkov@stolf.ru</t>
  </si>
  <si>
    <t>glance.style@mail.ru</t>
  </si>
  <si>
    <t>Glazkovid@yandex.ru</t>
  </si>
  <si>
    <t>glcompany2@yandex.ru</t>
  </si>
  <si>
    <t>glebov-dv@mail.ru</t>
  </si>
  <si>
    <t>glenplant25@gmail.com</t>
  </si>
  <si>
    <t>global@greenshire.ru</t>
  </si>
  <si>
    <t>globalkrafttmb@gmail.com</t>
  </si>
  <si>
    <t>GlobalPlant@yandex.ru</t>
  </si>
  <si>
    <t>globalsoy@bk.ru</t>
  </si>
  <si>
    <t>globex@globex-baby.ru</t>
  </si>
  <si>
    <t>glubina1472@mail.ru</t>
  </si>
  <si>
    <t>glukhova@prodaco.com.ru</t>
  </si>
  <si>
    <t>glushkov@s-aromat.ru</t>
  </si>
  <si>
    <t>glvbatgauer@gmail.com</t>
  </si>
  <si>
    <t>gmaxreg@yandex.ru</t>
  </si>
  <si>
    <t>gmproekt@gmail.com</t>
  </si>
  <si>
    <t>gms@mettem.ru</t>
  </si>
  <si>
    <t>gofra-box@list.ru</t>
  </si>
  <si>
    <t>gofrokarton@upak-rf.ru</t>
  </si>
  <si>
    <t>gofropack058@mail.ru</t>
  </si>
  <si>
    <t>gofroprodpak@list.ru</t>
  </si>
  <si>
    <t>gold-ekb@mail.ru</t>
  </si>
  <si>
    <t>gold.chiz@mail.ru</t>
  </si>
  <si>
    <t>goldpersonal24@yandex.ua</t>
  </si>
  <si>
    <t>goldtex.export@mail.ru</t>
  </si>
  <si>
    <t>golovanova@enelt.com</t>
  </si>
  <si>
    <t>golovkinvyu@aerdyn.ru</t>
  </si>
  <si>
    <t>golubkova_m18@mail.ru</t>
  </si>
  <si>
    <t>goncharenckonadya@yandex.ru</t>
  </si>
  <si>
    <t>gorbunov@novomash.su</t>
  </si>
  <si>
    <t>gordaltay@mail.ru</t>
  </si>
  <si>
    <t>gornica-krym@mail.ru</t>
  </si>
  <si>
    <t>gorst@7masel.ru</t>
  </si>
  <si>
    <t>gosnomer-spb@yandex.ru</t>
  </si>
  <si>
    <t>gost@911kran.ru</t>
  </si>
  <si>
    <t>gostkrep@yandex.ru</t>
  </si>
  <si>
    <t>gotovimdljavas@mail.ru</t>
  </si>
  <si>
    <t>gp@natfud.ru</t>
  </si>
  <si>
    <t>gpst-nahodka@mail.ru</t>
  </si>
  <si>
    <t>gradoboev@wks.team</t>
  </si>
  <si>
    <t>grafit-resurs@mail.ru</t>
  </si>
  <si>
    <t>grain61@yandex.ru</t>
  </si>
  <si>
    <t>grand-galina@mail.ru</t>
  </si>
  <si>
    <t>grandgourmetfamilygroup@gmail.com</t>
  </si>
  <si>
    <t>granit-teh@yandex.ru</t>
  </si>
  <si>
    <t>granit@chuvashia.ru</t>
  </si>
  <si>
    <t>granola-vrn@bk.ru</t>
  </si>
  <si>
    <t>granulov@list.ru</t>
  </si>
  <si>
    <t>granum@mi.ru</t>
  </si>
  <si>
    <t>graveria@dmilk.ru</t>
  </si>
  <si>
    <t>gravitatanya2@mail.ru</t>
  </si>
  <si>
    <t>greenbarmskru@gmail.com</t>
  </si>
  <si>
    <t>greenpak@inbox.ru</t>
  </si>
  <si>
    <t>greenzakaz@bk.ru</t>
  </si>
  <si>
    <t>grekovivan1997@gmail.com</t>
  </si>
  <si>
    <t>gremlin1_9_8_9@mail.ru</t>
  </si>
  <si>
    <t>grentmet@gmail.com</t>
  </si>
  <si>
    <t>griga294@mail.ru</t>
  </si>
  <si>
    <t>grigorev@odvn.ru</t>
  </si>
  <si>
    <t>grigori.ivanov.sib@mail.ru</t>
  </si>
  <si>
    <t>grigoriev_da@neweast.ru</t>
  </si>
  <si>
    <t>GrigorievVA@naberegu.su</t>
  </si>
  <si>
    <t>grigoriy@honeyway.org</t>
  </si>
  <si>
    <t>grob.opt@mail.ru</t>
  </si>
  <si>
    <t>grundstof@mail.ru</t>
  </si>
  <si>
    <t>gruz-kirovsk@ya.ru</t>
  </si>
  <si>
    <t>grv@texha.ru</t>
  </si>
  <si>
    <t>gryadki@pf35.ru</t>
  </si>
  <si>
    <t>grz@b-eas.ru</t>
  </si>
  <si>
    <t>gto@remas.ru</t>
  </si>
  <si>
    <t>gukalehko@nmkhp.ru</t>
  </si>
  <si>
    <t>Gukasian@auri-group.ru</t>
  </si>
  <si>
    <t>gulliver@online.nsk.su</t>
  </si>
  <si>
    <t>gulnara-t@mail.ru</t>
  </si>
  <si>
    <t>Gungin@ya.ru</t>
  </si>
  <si>
    <t>gunko83@mail.ru</t>
  </si>
  <si>
    <t>gup_yuzhnyi@mail.ru</t>
  </si>
  <si>
    <t>gusdekom3@yandex.ru</t>
  </si>
  <si>
    <t>gusev-sh@mail.ru</t>
  </si>
  <si>
    <t>gusev@krimskie-masla.ru</t>
  </si>
  <si>
    <t>guseva.d@tdbastion.ru</t>
  </si>
  <si>
    <t>gustas-mebel@yandex.ru</t>
  </si>
  <si>
    <t>gvenet@list.ru</t>
  </si>
  <si>
    <t>gvm@tdm7.ru</t>
  </si>
  <si>
    <t>gvr@tdnastyusha.ru</t>
  </si>
  <si>
    <t>habez-gips@bk.ru</t>
  </si>
  <si>
    <t>haf@6fwear.com</t>
  </si>
  <si>
    <t>han.su.tatarstan@gmail.com</t>
  </si>
  <si>
    <t>handmade2018@mail.ru</t>
  </si>
  <si>
    <t>handrix-chair@yandex.ru</t>
  </si>
  <si>
    <t>hans-mebel@ya.ru</t>
  </si>
  <si>
    <t>happy.fish@list.ru</t>
  </si>
  <si>
    <t>hatikids@mail.ru</t>
  </si>
  <si>
    <t>havkunova@alfitplus.ru</t>
  </si>
  <si>
    <t>hb21@mail.ru</t>
  </si>
  <si>
    <t>head@richet.ru</t>
  </si>
  <si>
    <t>headradik@mail.ru</t>
  </si>
  <si>
    <t>heartfire@ya.ru</t>
  </si>
  <si>
    <t>hello@alumpark.ru</t>
  </si>
  <si>
    <t>hello@baltobuv.ru</t>
  </si>
  <si>
    <t>hello@berhouse.ru</t>
  </si>
  <si>
    <t>hello@cassiopea.ru</t>
  </si>
  <si>
    <t>hello@geolesho.ru</t>
  </si>
  <si>
    <t>hello@hoog.pro</t>
  </si>
  <si>
    <t>hello@ironbarber.com</t>
  </si>
  <si>
    <t>hello@julsfor.ru</t>
  </si>
  <si>
    <t>hello@kotikot.ru</t>
  </si>
  <si>
    <t>hello@nattys.ru</t>
  </si>
  <si>
    <t>hello@nk-fabrika.ru</t>
  </si>
  <si>
    <t>hello@owlandowl.ru</t>
  </si>
  <si>
    <t>hello@person-sticker.ru</t>
  </si>
  <si>
    <t>hello@plast-icon.ru</t>
  </si>
  <si>
    <t>hello@rokatex.ru</t>
  </si>
  <si>
    <t>hello@schwartzgroup.ru</t>
  </si>
  <si>
    <t>hello@shusha-toys.ru</t>
  </si>
  <si>
    <t>hello@skorohod-moda.ru</t>
  </si>
  <si>
    <t>hello@snavvy.ru</t>
  </si>
  <si>
    <t>hello@solidwater.ru</t>
  </si>
  <si>
    <t>hello@thecbd.ru</t>
  </si>
  <si>
    <t>hello@trotuarnaja-plitka.ru</t>
  </si>
  <si>
    <t>hello@wolly.ru</t>
  </si>
  <si>
    <t>hello@worldofartcraft.ru</t>
  </si>
  <si>
    <t>hellobambria@gmail.com</t>
  </si>
  <si>
    <t>hellolaggar@gmail.com</t>
  </si>
  <si>
    <t>help@tvoe.ru</t>
  </si>
  <si>
    <t>help1@onviz.ru</t>
  </si>
  <si>
    <t>helper-med1@mail.ru</t>
  </si>
  <si>
    <t>helyx1208@inbox.ru</t>
  </si>
  <si>
    <t>hi-man77@yandex.ru</t>
  </si>
  <si>
    <t>hi@maole.art</t>
  </si>
  <si>
    <t>hidirov@mail.ru</t>
  </si>
  <si>
    <t>hijal@narod.ru</t>
  </si>
  <si>
    <t>hikomplast@yandex.ru</t>
  </si>
  <si>
    <t>him.pack@mail.ru</t>
  </si>
  <si>
    <t>him.sintez.dz@yandex.ru</t>
  </si>
  <si>
    <t>himcom@mail.ru</t>
  </si>
  <si>
    <t>himhold7@mail.ru</t>
  </si>
  <si>
    <t>hleb74@hleb74.ru</t>
  </si>
  <si>
    <t>hlk@list.ru</t>
  </si>
  <si>
    <t>hlopkovaot@ooolina.ru</t>
  </si>
  <si>
    <t>Hlusov.evgenii@mail.ru</t>
  </si>
  <si>
    <t>hms-alina.sokol@yandex.ru</t>
  </si>
  <si>
    <t>hmz_2011@mail.ru</t>
  </si>
  <si>
    <t>holdinglidera@gmail.com</t>
  </si>
  <si>
    <t>holga@ees74.ru</t>
  </si>
  <si>
    <t>holka.opt1@mail.ru</t>
  </si>
  <si>
    <t>holstsp@mail.ru</t>
  </si>
  <si>
    <t>honey-33@yandex.ru</t>
  </si>
  <si>
    <t>hope@lira-upak.ru</t>
  </si>
  <si>
    <t>hopler-tea@mail.ru</t>
  </si>
  <si>
    <t>horeca@botanika.bizml.ru</t>
  </si>
  <si>
    <t>horeca24@bk.ru</t>
  </si>
  <si>
    <t>hortika-mebel@yandex.ru</t>
  </si>
  <si>
    <t>hotsteel40@yandex.ru</t>
  </si>
  <si>
    <t>hoz-ogoroda@yandex.ru</t>
  </si>
  <si>
    <t>hozyainop1@gmail.com</t>
  </si>
  <si>
    <t>hr@greenlabgroup.ru</t>
  </si>
  <si>
    <t>hramkova@akulchev.ru</t>
  </si>
  <si>
    <t>hrm@taigaakadem.ru</t>
  </si>
  <si>
    <t>hrom5pl@gmail.com</t>
  </si>
  <si>
    <t>humtoll@mail.ru</t>
  </si>
  <si>
    <t>hydroline-ufa@mail.ru</t>
  </si>
  <si>
    <t>hydromoscow@mail.ru</t>
  </si>
  <si>
    <t>i.aleshin@6-dof.ru</t>
  </si>
  <si>
    <t>i.fayruzov@uralmetalcompany.ru</t>
  </si>
  <si>
    <t>I.iseev@ya.ru</t>
  </si>
  <si>
    <t>i.kutsev@elegantka.moda</t>
  </si>
  <si>
    <t>i.leneva@yazmk-trade.ru</t>
  </si>
  <si>
    <t>i.likhonos@yandex.ru</t>
  </si>
  <si>
    <t>i.lutsikova@vensa.ru.com</t>
  </si>
  <si>
    <t>i.lychenkova@bomz.su</t>
  </si>
  <si>
    <t>i.manshilina@amadey-sirop.ru</t>
  </si>
  <si>
    <t>i.nat.s@yandex.ru</t>
  </si>
  <si>
    <t>i.naumenko@gmpost.net</t>
  </si>
  <si>
    <t>i.smirnova@vladisart.ru</t>
  </si>
  <si>
    <t>i@pcs-sib.ru</t>
  </si>
  <si>
    <t>ia@pnk.ru</t>
  </si>
  <si>
    <t>icaplast@icaplast.ru</t>
  </si>
  <si>
    <t>ice-elbrus@mail.ru</t>
  </si>
  <si>
    <t>iche@snk-group.ru</t>
  </si>
  <si>
    <t>id@greenlabgroup.ru</t>
  </si>
  <si>
    <t>idea-d@ya.ru</t>
  </si>
  <si>
    <t>idea063@yandex.ru</t>
  </si>
  <si>
    <t>ignatiev-ia@mail.ru</t>
  </si>
  <si>
    <t>igor-samson@mail.ru</t>
  </si>
  <si>
    <t>igor.bulov@gmail.com</t>
  </si>
  <si>
    <t>igor.morozov@bugarus.com</t>
  </si>
  <si>
    <t>igor.v@hkzap.ru</t>
  </si>
  <si>
    <t>igrushka20042006@yandex.ru</t>
  </si>
  <si>
    <t>igumnov.s@glass-memory.ru</t>
  </si>
  <si>
    <t>ihozyaykina@mail.ru</t>
  </si>
  <si>
    <t>iinfocatalog@yandex.ru</t>
  </si>
  <si>
    <t>ika@viplabels.ru</t>
  </si>
  <si>
    <t>ikonavhram@gmail.com</t>
  </si>
  <si>
    <t>ikra161.ru@ya.ru</t>
  </si>
  <si>
    <t>il24@bk.ru</t>
  </si>
  <si>
    <t>ilcato@mail.ru</t>
  </si>
  <si>
    <t>ilham.asanov2011@yandex.ru</t>
  </si>
  <si>
    <t>ilina_ds@mail.ru</t>
  </si>
  <si>
    <t>iloks_itd@mail.ru</t>
  </si>
  <si>
    <t>ilves-sale@mail.ru</t>
  </si>
  <si>
    <t>ilyaargument44@yandex.ru</t>
  </si>
  <si>
    <t>im-avarit@yandex.ru</t>
  </si>
  <si>
    <t>im@gazotron.ru</t>
  </si>
  <si>
    <t>imegenov@deflektor.ru</t>
  </si>
  <si>
    <t>immunosfera@yandex.ru</t>
  </si>
  <si>
    <t>imp.sok@mail.ru</t>
  </si>
  <si>
    <t>imzk@dreamline.center</t>
  </si>
  <si>
    <t>inbox@grafic.ru</t>
  </si>
  <si>
    <t>inbox@mledy.ru</t>
  </si>
  <si>
    <t>indishop1305@gmail.com</t>
  </si>
  <si>
    <t>indoors.manager1@bk.ru</t>
  </si>
  <si>
    <t>inelgroup2018@mail.ru</t>
  </si>
  <si>
    <t>inf.phs@yandex.ru</t>
  </si>
  <si>
    <t>inf@frigodesign.ru</t>
  </si>
  <si>
    <t>info_avrorat@mail.ru</t>
  </si>
  <si>
    <t>info-biofor@yandex.ru</t>
  </si>
  <si>
    <t>info-chel1@werge.info</t>
  </si>
  <si>
    <t>info-gradient@bk.ru</t>
  </si>
  <si>
    <t>info-honey@mail.ru</t>
  </si>
  <si>
    <t>info-hts@yandex.ru</t>
  </si>
  <si>
    <t>info-mpk.agromash@mail.ru</t>
  </si>
  <si>
    <t>info-org@cosmevita.ru</t>
  </si>
  <si>
    <t>info-sg43@list.ru</t>
  </si>
  <si>
    <t>info-sibaris@mail.ru</t>
  </si>
  <si>
    <t>info-y@inbox.ru</t>
  </si>
  <si>
    <t>info.arteko@mail.ru</t>
  </si>
  <si>
    <t>info.dekorbeton-26@mail.ru</t>
  </si>
  <si>
    <t>info.ergostroy@gmail.com</t>
  </si>
  <si>
    <t>info.hookmaster@gmail.com</t>
  </si>
  <si>
    <t>info.kontaktor@legrandelectric.com</t>
  </si>
  <si>
    <t>info.lala@yandex.ru</t>
  </si>
  <si>
    <t>info.milanika@yandex.ru</t>
  </si>
  <si>
    <t>info.moysobaka@gmail.com</t>
  </si>
  <si>
    <t>info.novosib@stillage.pro</t>
  </si>
  <si>
    <t>info.promonolit@mail.ru</t>
  </si>
  <si>
    <t>info.santeri@santeri.su</t>
  </si>
  <si>
    <t>info.sportmon@gmail.com</t>
  </si>
  <si>
    <t>info.ulprofil@mail.ru</t>
  </si>
  <si>
    <t>Info.vacuumok@yandex.ru</t>
  </si>
  <si>
    <t>info.zavod.fakel@gmail.com</t>
  </si>
  <si>
    <t>info@123toys.ru</t>
  </si>
  <si>
    <t>info@1mzf.ru</t>
  </si>
  <si>
    <t>info@1steps-toys.ru</t>
  </si>
  <si>
    <t>info@23wicker.ru</t>
  </si>
  <si>
    <t>info@2ts-engineering.ru</t>
  </si>
  <si>
    <t>info@31al.ru</t>
  </si>
  <si>
    <t>info@37textilopt.ru</t>
  </si>
  <si>
    <t>info@4gurman.ru</t>
  </si>
  <si>
    <t>info@5hlebov.ru</t>
  </si>
  <si>
    <t>info@a-dez.ru</t>
  </si>
  <si>
    <t>info@a1plast.ru</t>
  </si>
  <si>
    <t>info@abakteril.ru</t>
  </si>
  <si>
    <t>info@abris-pro.ru</t>
  </si>
  <si>
    <t>info@acepey.ru</t>
  </si>
  <si>
    <t>info@aceplomb-ural.ru</t>
  </si>
  <si>
    <t>info@acerodoors.ru</t>
  </si>
  <si>
    <t>info@acoolakids.ru</t>
  </si>
  <si>
    <t>info@adelade.ru</t>
  </si>
  <si>
    <t>info@agro-info.ru</t>
  </si>
  <si>
    <t>info@agro-ms.ru</t>
  </si>
  <si>
    <t>info@agrolg.com</t>
  </si>
  <si>
    <t>info@agrostroylider.ru</t>
  </si>
  <si>
    <t>info@air-vita.ru</t>
  </si>
  <si>
    <t>info@airg-rus.ru</t>
  </si>
  <si>
    <t>info@akashevo.ru</t>
  </si>
  <si>
    <t>info@akor.ru</t>
  </si>
  <si>
    <t>info@akpg.ru</t>
  </si>
  <si>
    <t>info@akron-energy.ru</t>
  </si>
  <si>
    <t>info@alcor-msk.ru</t>
  </si>
  <si>
    <t>info@alensio.ru</t>
  </si>
  <si>
    <t>info@alfapol.ru</t>
  </si>
  <si>
    <t>info@alfinkzn.com</t>
  </si>
  <si>
    <t>info@alldisplay.ru</t>
  </si>
  <si>
    <t>info@almacspb.ru</t>
  </si>
  <si>
    <t>info@alr-group.ru</t>
  </si>
  <si>
    <t>info@alt-trik.ru</t>
  </si>
  <si>
    <t>info@altaiflora.ru</t>
  </si>
  <si>
    <t>info@alteraled.ru</t>
  </si>
  <si>
    <t>info@alubox.pro</t>
  </si>
  <si>
    <t>info@amirantek.ru</t>
  </si>
  <si>
    <t>info@anavidin.com</t>
  </si>
  <si>
    <t>info@ankormetall.ru</t>
  </si>
  <si>
    <t>info@ansercompany.com</t>
  </si>
  <si>
    <t>info@anti-dron.ru</t>
  </si>
  <si>
    <t>info@antivir-opt.ru</t>
  </si>
  <si>
    <t>info@anvikor.ru</t>
  </si>
  <si>
    <t>info@aokmk.ru</t>
  </si>
  <si>
    <t>info@apf-alkor.ru</t>
  </si>
  <si>
    <t>info@apicenna.ru</t>
  </si>
  <si>
    <t>info@apk-agroeco.ru</t>
  </si>
  <si>
    <t>info@aqua-life.ru</t>
  </si>
  <si>
    <t>info@aqualocker.ru</t>
  </si>
  <si>
    <t>info@archiland.biz</t>
  </si>
  <si>
    <t>info@argensept.ru</t>
  </si>
  <si>
    <t>info@arkarprint.ru</t>
  </si>
  <si>
    <t>info@arma22.ru</t>
  </si>
  <si>
    <t>info@armat96.ru</t>
  </si>
  <si>
    <t>info@armatorled.ru</t>
  </si>
  <si>
    <t>info@aroma-sementi.ru</t>
  </si>
  <si>
    <t>info@arsenal-sdm.ru</t>
  </si>
  <si>
    <t>info@art-star.ru</t>
  </si>
  <si>
    <t>info@artwood74.ru</t>
  </si>
  <si>
    <t>info@astron-mebel.ru</t>
  </si>
  <si>
    <t>info@atekom.ru</t>
  </si>
  <si>
    <t>info@atr-vr.ru</t>
  </si>
  <si>
    <t>info@av-servis.com</t>
  </si>
  <si>
    <t>info@avangard.global</t>
  </si>
  <si>
    <t>info@avanta55.ru</t>
  </si>
  <si>
    <t>info@avantiyansk.ru</t>
  </si>
  <si>
    <t>info@avetti.ru</t>
  </si>
  <si>
    <t>info@axe-trade.ru</t>
  </si>
  <si>
    <t>info@axioma-smd.ru</t>
  </si>
  <si>
    <t>info@ayas.ru</t>
  </si>
  <si>
    <t>info@b-mir.ru</t>
  </si>
  <si>
    <t>info@babyelite.ru</t>
  </si>
  <si>
    <t>info@badaboom.store</t>
  </si>
  <si>
    <t>info@bagetta.ru</t>
  </si>
  <si>
    <t>info@baltic-air.ru</t>
  </si>
  <si>
    <t>info@baltmotors.ru</t>
  </si>
  <si>
    <t>info@banujo.ru</t>
  </si>
  <si>
    <t>info@barbarum.ru</t>
  </si>
  <si>
    <t>info@bard.su</t>
  </si>
  <si>
    <t>info@barocco.pro</t>
  </si>
  <si>
    <t>info@baruss.biz</t>
  </si>
  <si>
    <t>info@basarab.ru</t>
  </si>
  <si>
    <t>info@basiclook.store</t>
  </si>
  <si>
    <t>info@basispack.com</t>
  </si>
  <si>
    <t>info@baufundament.ru</t>
  </si>
  <si>
    <t>info@bazis.su</t>
  </si>
  <si>
    <t>info@bdw-feedmill.ru</t>
  </si>
  <si>
    <t>info@beetlejam.ru</t>
  </si>
  <si>
    <t>info@beli-dom.ru</t>
  </si>
  <si>
    <t>info@belsav.ru</t>
  </si>
  <si>
    <t>info@belsi-home.ru</t>
  </si>
  <si>
    <t>info@beomatic.ru</t>
  </si>
  <si>
    <t>info@beriozkafood.ru</t>
  </si>
  <si>
    <t>info@berserker-dveri.ru</t>
  </si>
  <si>
    <t>info@betonolit.ru</t>
  </si>
  <si>
    <t>info@betonstal.ru</t>
  </si>
  <si>
    <t>info@bfpmk.ru</t>
  </si>
  <si>
    <t>info@bicom.ru</t>
  </si>
  <si>
    <t>info@bikz.ru</t>
  </si>
  <si>
    <t>info@bio-textiles.ru</t>
  </si>
  <si>
    <t>info@biotex.su</t>
  </si>
  <si>
    <t>info@biotropika.ru</t>
  </si>
  <si>
    <t>info@birss.ru</t>
  </si>
  <si>
    <t>info@bis71.ru</t>
  </si>
  <si>
    <t>info@bj-gold.ru</t>
  </si>
  <si>
    <t>info@blagstroi.ru</t>
  </si>
  <si>
    <t>info@blik-avto.pro</t>
  </si>
  <si>
    <t>info@bm-technology.ru</t>
  </si>
  <si>
    <t>info@bochart.ru</t>
  </si>
  <si>
    <t>info@bolarm.ru</t>
  </si>
  <si>
    <t>info@bonkraft.com</t>
  </si>
  <si>
    <t>info@bool-bool.ru</t>
  </si>
  <si>
    <t>info@bos-orto.com</t>
  </si>
  <si>
    <t>info@bovebum.ru</t>
  </si>
  <si>
    <t>info@brasline.ru</t>
  </si>
  <si>
    <t>info@bravovaleria.ru</t>
  </si>
  <si>
    <t>info@bretonika.ru</t>
  </si>
  <si>
    <t>info@briarey.ru</t>
  </si>
  <si>
    <t>info@broda.su</t>
  </si>
  <si>
    <t>info@bryou.ru</t>
  </si>
  <si>
    <t>info@btk-yarn.com</t>
  </si>
  <si>
    <t>info@bumaga96.ru</t>
  </si>
  <si>
    <t>info@bumolimp.ru</t>
  </si>
  <si>
    <t>info@bvb-alyans.ru</t>
  </si>
  <si>
    <t>info@by-alexandrov.ru</t>
  </si>
  <si>
    <t>info@caimano.ru</t>
  </si>
  <si>
    <t>info@campeo.ru</t>
  </si>
  <si>
    <t>info@cardslike.ru</t>
  </si>
  <si>
    <t>info@centerpak.info</t>
  </si>
  <si>
    <t>info@chehler.ru</t>
  </si>
  <si>
    <t>info@chernogolovskaya.ru</t>
  </si>
  <si>
    <t>info@chobi.ru</t>
  </si>
  <si>
    <t>info@christyhovercraft.ru</t>
  </si>
  <si>
    <t>info@cinkovanie-stm.ru</t>
  </si>
  <si>
    <t>info@classen-mebel.ru</t>
  </si>
  <si>
    <t>info@cleo-opt.ru</t>
  </si>
  <si>
    <t>info@cleverparking.ru</t>
  </si>
  <si>
    <t>info@climag.ru</t>
  </si>
  <si>
    <t>info@cncrouter.ru</t>
  </si>
  <si>
    <t>info@coffeenorth.ru</t>
  </si>
  <si>
    <t>info@coffeespb.ru</t>
  </si>
  <si>
    <t>info@complexcad.ru</t>
  </si>
  <si>
    <t>info@compoly.com</t>
  </si>
  <si>
    <t>info@composit-pools.ru</t>
  </si>
  <si>
    <t>info@conti22.ru</t>
  </si>
  <si>
    <t>info@controlgate.ru</t>
  </si>
  <si>
    <t>info@corvet-igra.ru</t>
  </si>
  <si>
    <t>info@cparquet.ru</t>
  </si>
  <si>
    <t>info@cryptozavod.pro</t>
  </si>
  <si>
    <t>info@crystal-box.ru</t>
  </si>
  <si>
    <t>info@cs20.ru</t>
  </si>
  <si>
    <t>info@csp-gips.ru</t>
  </si>
  <si>
    <t>info@cut4you.ru</t>
  </si>
  <si>
    <t>info@cvetstal.ru</t>
  </si>
  <si>
    <t>Info@cxt.su</t>
  </si>
  <si>
    <t>info@cytohumate.com</t>
  </si>
  <si>
    <t>info@czmp.ru</t>
  </si>
  <si>
    <t>info@cznak.ru</t>
  </si>
  <si>
    <t>info@daitres.ru</t>
  </si>
  <si>
    <t>info@dalosplast.ru</t>
  </si>
  <si>
    <t>info@darina.su</t>
  </si>
  <si>
    <t>info@datacable.ru</t>
  </si>
  <si>
    <t>info@datastroygroup.ru</t>
  </si>
  <si>
    <t>info@dava-ko.com</t>
  </si>
  <si>
    <t>info@dealmed.ru</t>
  </si>
  <si>
    <t>info@delform.ru</t>
  </si>
  <si>
    <t>info@delta-mn.ru</t>
  </si>
  <si>
    <t>info@detaly.ru</t>
  </si>
  <si>
    <t>info@detkki.ru</t>
  </si>
  <si>
    <t>info@deveco.ru</t>
  </si>
  <si>
    <t>info@dewa.ru</t>
  </si>
  <si>
    <t>info@dg-tex.com</t>
  </si>
  <si>
    <t>info@dianamex.ru</t>
  </si>
  <si>
    <t>info@digris.ru</t>
  </si>
  <si>
    <t>info@dikiydom.ru</t>
  </si>
  <si>
    <t>info@dimaxsleep.ru</t>
  </si>
  <si>
    <t>info@disors-basket.ru</t>
  </si>
  <si>
    <t>info@dk-mart.com</t>
  </si>
  <si>
    <t>info@dknk.ru</t>
  </si>
  <si>
    <t>info@dksys.ru</t>
  </si>
  <si>
    <t>info@dm-teh.ru</t>
  </si>
  <si>
    <t>info@dmprocess.ru</t>
  </si>
  <si>
    <t>info@doctornano.ru</t>
  </si>
  <si>
    <t>info@domavashi.ru</t>
  </si>
  <si>
    <t>info@don-gabion.ru</t>
  </si>
  <si>
    <t>info@donaraopt.ru</t>
  </si>
  <si>
    <t>info@doskitochka.ru</t>
  </si>
  <si>
    <t>info@dostupsreda.ru</t>
  </si>
  <si>
    <t>info@double-city.ru</t>
  </si>
  <si>
    <t>info@draje-optom.ru</t>
  </si>
  <si>
    <t>info@driada61.ru</t>
  </si>
  <si>
    <t>info@drmirum.ru</t>
  </si>
  <si>
    <t>info@dtomsk.com</t>
  </si>
  <si>
    <t>info@dubravia.ru</t>
  </si>
  <si>
    <t>info@duna-ast.ru</t>
  </si>
  <si>
    <t>info@duslyk.su</t>
  </si>
  <si>
    <t>info@dvaodin.ru</t>
  </si>
  <si>
    <t>info@dveri-berest.ru</t>
  </si>
  <si>
    <t>info@dverimassivspb.ru</t>
  </si>
  <si>
    <t>info@dyas808.ru</t>
  </si>
  <si>
    <t>info@e-w.ru</t>
  </si>
  <si>
    <t>info@ea-engineering.ru</t>
  </si>
  <si>
    <t>info@ec-vector.ru</t>
  </si>
  <si>
    <t>info@eco-massive.ru</t>
  </si>
  <si>
    <t>info@eco-pifagor.ru</t>
  </si>
  <si>
    <t>info@eco-price.ru</t>
  </si>
  <si>
    <t>info@eco-sistem.com</t>
  </si>
  <si>
    <t>info@eco-skifia.ru</t>
  </si>
  <si>
    <t>info@ecoarmy.ru</t>
  </si>
  <si>
    <t>info@ecolife-clean.ru</t>
  </si>
  <si>
    <t>info@ecolife.house</t>
  </si>
  <si>
    <t>info@ecopooh.ru</t>
  </si>
  <si>
    <t>info@ecoprom24.ru</t>
  </si>
  <si>
    <t>info@ecoroll.ru</t>
  </si>
  <si>
    <t>info@ecosklad.pro</t>
  </si>
  <si>
    <t>Info@ecosunrise.ru</t>
  </si>
  <si>
    <t>info@ekoluxe.ru</t>
  </si>
  <si>
    <t>info@ekorfish.ru</t>
  </si>
  <si>
    <t>info@ekso-td.ru</t>
  </si>
  <si>
    <t>info@elberon.ru</t>
  </si>
  <si>
    <t>info@eletech-penza.ru</t>
  </si>
  <si>
    <t>info@elixcable.com</t>
  </si>
  <si>
    <t>info@elliancebeauty.ru</t>
  </si>
  <si>
    <t>info@eltech-a.ru</t>
  </si>
  <si>
    <t>info@emansipe.com</t>
  </si>
  <si>
    <t>info@embroid.ru</t>
  </si>
  <si>
    <t>info@emfa.ru</t>
  </si>
  <si>
    <t>info@enertex.ru</t>
  </si>
  <si>
    <t>info@enggp.ru</t>
  </si>
  <si>
    <t>info@enres43.ru</t>
  </si>
  <si>
    <t>info@entrav.ru</t>
  </si>
  <si>
    <t>info@ep-m.ru</t>
  </si>
  <si>
    <t>info@epos-ural.ru</t>
  </si>
  <si>
    <t>info@esagbi.ru</t>
  </si>
  <si>
    <t>info@escom.pro</t>
  </si>
  <si>
    <t>info@esk-rnd.org</t>
  </si>
  <si>
    <t>info@et-plast.ru</t>
  </si>
  <si>
    <t>info@etea.su</t>
  </si>
  <si>
    <t>info@etoeco.ru</t>
  </si>
  <si>
    <t>info@etonus.ru</t>
  </si>
  <si>
    <t>info@euroelka.com</t>
  </si>
  <si>
    <t>info@evercam.ru</t>
  </si>
  <si>
    <t>info@evkgroup.ru</t>
  </si>
  <si>
    <t>info@evklab.ru</t>
  </si>
  <si>
    <t>info@evo-stm.ru</t>
  </si>
  <si>
    <t>info@evoray.ru</t>
  </si>
  <si>
    <t>info@evrasia-prommetall.ru</t>
  </si>
  <si>
    <t>info@evrikahome.ru</t>
  </si>
  <si>
    <t>info@evropro.com</t>
  </si>
  <si>
    <t>info@ex102.ru</t>
  </si>
  <si>
    <t>info@ezgroup.style</t>
  </si>
  <si>
    <t>info@fabrika-o.ru</t>
  </si>
  <si>
    <t>info@fabrika-pledov.ru</t>
  </si>
  <si>
    <t>info@fabrika-tt.ru</t>
  </si>
  <si>
    <t>info@fabrikamebeli.ru</t>
  </si>
  <si>
    <t>info@fabrimebel.ru</t>
  </si>
  <si>
    <t>info@farfello.ru</t>
  </si>
  <si>
    <t>info@faros.ru</t>
  </si>
  <si>
    <t>info@fealta.ru</t>
  </si>
  <si>
    <t>info@ferroni-doors.ru</t>
  </si>
  <si>
    <t>info@fireball24.ru</t>
  </si>
  <si>
    <t>info@fitocosmetic.ru</t>
  </si>
  <si>
    <t>info@fiz-kult.ru</t>
  </si>
  <si>
    <t>info@fkk-box.ru</t>
  </si>
  <si>
    <t>info@fmgcnc.ru</t>
  </si>
  <si>
    <t>info@foodmix.su</t>
  </si>
  <si>
    <t>info@foodpackeco.ru</t>
  </si>
  <si>
    <t>info@foodslab.ru</t>
  </si>
  <si>
    <t>info@forcel.ru</t>
  </si>
  <si>
    <t>info@foremanfitness.com</t>
  </si>
  <si>
    <t>info@forio.ru</t>
  </si>
  <si>
    <t>info@formastone.ru</t>
  </si>
  <si>
    <t>info@forteholding.ru</t>
  </si>
  <si>
    <t>info@fotonfly.ru</t>
  </si>
  <si>
    <t>info@freedome.pro</t>
  </si>
  <si>
    <t>info@fullerdome.com</t>
  </si>
  <si>
    <t>info@furnitur-group.ru</t>
  </si>
  <si>
    <t>info@gabriela.ru</t>
  </si>
  <si>
    <t>info@gala-mebel.ru</t>
  </si>
  <si>
    <t>info@galanconditer.ru</t>
  </si>
  <si>
    <t>info@gallerycotton.ru</t>
  </si>
  <si>
    <t>info@gamemaf.ru</t>
  </si>
  <si>
    <t>info@gangas.ru</t>
  </si>
  <si>
    <t>info@garden-story.ru</t>
  </si>
  <si>
    <t>info@gardi.ru</t>
  </si>
  <si>
    <t>info@garnetgarden.com</t>
  </si>
  <si>
    <t>info@garny.ru</t>
  </si>
  <si>
    <t>info@gavrishprof.ru</t>
  </si>
  <si>
    <t>info@gazliftpro.ru</t>
  </si>
  <si>
    <t>info@gazstn.ru</t>
  </si>
  <si>
    <t>info@gekkoprint.ru</t>
  </si>
  <si>
    <t>info@germesmedical.ru</t>
  </si>
  <si>
    <t>info@germoizol.ru</t>
  </si>
  <si>
    <t>info@gervent.com</t>
  </si>
  <si>
    <t>info@gidropress24.ru</t>
  </si>
  <si>
    <t>info@gidrostar96.ru</t>
  </si>
  <si>
    <t>info@giksos.ru</t>
  </si>
  <si>
    <t>info@gk-rs.ru</t>
  </si>
  <si>
    <t>info@gkarto.ru</t>
  </si>
  <si>
    <t>info@gkmetallinvest.ru</t>
  </si>
  <si>
    <t>info@gknnmk.ru</t>
  </si>
  <si>
    <t>info@gkresurs.ru</t>
  </si>
  <si>
    <t>info@gkz.ru</t>
  </si>
  <si>
    <t>info@glavproduct.ru</t>
  </si>
  <si>
    <t>info@glims.ru</t>
  </si>
  <si>
    <t>info@gofro-karton.ru</t>
  </si>
  <si>
    <t>info@goldtakin.ru</t>
  </si>
  <si>
    <t>info@goodpoof.ru</t>
  </si>
  <si>
    <t>info@goradar.ru</t>
  </si>
  <si>
    <t>info@gorizont.shop</t>
  </si>
  <si>
    <t>info@gorodpodarkov.ru</t>
  </si>
  <si>
    <t>info@goskrep.ru</t>
  </si>
  <si>
    <t>info@gran-stone.ru</t>
  </si>
  <si>
    <t>info@grandkovka.ru</t>
  </si>
  <si>
    <t>info@graniat.ru</t>
  </si>
  <si>
    <t>info@graniteh.ru</t>
  </si>
  <si>
    <t>info@granitprom.ru</t>
  </si>
  <si>
    <t>info@grasswood.ru</t>
  </si>
  <si>
    <t>info@gratiavitae.ru</t>
  </si>
  <si>
    <t>info@green-meal.ru</t>
  </si>
  <si>
    <t>info@green-pik.ru</t>
  </si>
  <si>
    <t>info@greenf.ru</t>
  </si>
  <si>
    <t>info@greentech.eco</t>
  </si>
  <si>
    <t>info@grevs.ru</t>
  </si>
  <si>
    <t>info@grikom.info</t>
  </si>
  <si>
    <t>info@gruppa-rosta.ru</t>
  </si>
  <si>
    <t>info@gs-store.ru</t>
  </si>
  <si>
    <t>info@gurme.ru</t>
  </si>
  <si>
    <t>info@halvaoptom.ru</t>
  </si>
  <si>
    <t>info@hancra.ru</t>
  </si>
  <si>
    <t>info@happypartner.ru</t>
  </si>
  <si>
    <t>info@hardbridge.ru</t>
  </si>
  <si>
    <t>info@helenltd.com</t>
  </si>
  <si>
    <t>info@helix-pro.ru</t>
  </si>
  <si>
    <t>info@helpberries.ru</t>
  </si>
  <si>
    <t>info@himspez.ru</t>
  </si>
  <si>
    <t>info@himtrust.ru</t>
  </si>
  <si>
    <t>info@hipextrade.ru</t>
  </si>
  <si>
    <t>info@hirta.ru</t>
  </si>
  <si>
    <t>info@hlebprom.ru</t>
  </si>
  <si>
    <t>info@horeca-real.ru</t>
  </si>
  <si>
    <t>info@hotel-tex.ru</t>
  </si>
  <si>
    <t>info@hsk.spb.ru</t>
  </si>
  <si>
    <t>info@humus-club.ru</t>
  </si>
  <si>
    <t>info@hvosterville.ru</t>
  </si>
  <si>
    <t>info@hydromash.nnov.ru</t>
  </si>
  <si>
    <t>info@i-cap.ru</t>
  </si>
  <si>
    <t>info@i-color.ru</t>
  </si>
  <si>
    <t>info@i-spol.com</t>
  </si>
  <si>
    <t>info@ideal43.ru</t>
  </si>
  <si>
    <t>info@idn500.ru</t>
  </si>
  <si>
    <t>info@ilinskoe95.com</t>
  </si>
  <si>
    <t>info@imbir.spb.ru</t>
  </si>
  <si>
    <t>info@imnebel.ru</t>
  </si>
  <si>
    <t>info@imperial-mattress.ru</t>
  </si>
  <si>
    <t>info@imperior-stone.ru</t>
  </si>
  <si>
    <t>info@imperiya-yar.ru</t>
  </si>
  <si>
    <t>info@impex-grup.ru</t>
  </si>
  <si>
    <t>info@incoda.ru</t>
  </si>
  <si>
    <t>info@innovaplus.ru</t>
  </si>
  <si>
    <t>info@inok.spb.ru</t>
  </si>
  <si>
    <t>info@inrusfood.ru</t>
  </si>
  <si>
    <t>info@inteks-russia.com</t>
  </si>
  <si>
    <t>info@interalighting.ru</t>
  </si>
  <si>
    <t>info@interhome.com.ru</t>
  </si>
  <si>
    <t>info@intermashholding.com</t>
  </si>
  <si>
    <t>info@investdecor.ru</t>
  </si>
  <si>
    <t>info@ipm.ru</t>
  </si>
  <si>
    <t>info@irida.ru</t>
  </si>
  <si>
    <t>info@irin-design.ru</t>
  </si>
  <si>
    <t>info@iuvis.ru</t>
  </si>
  <si>
    <t>info@ivsnab.ru</t>
  </si>
  <si>
    <t>info@jollybaby-opt.ru</t>
  </si>
  <si>
    <t>info@joyer.ru</t>
  </si>
  <si>
    <t>info@julivans.ru</t>
  </si>
  <si>
    <t>info@k-artel.ru</t>
  </si>
  <si>
    <t>info@k-dez.ru</t>
  </si>
  <si>
    <t>info@kama-plast.ru</t>
  </si>
  <si>
    <t>info@kamelia-mebel.ru</t>
  </si>
  <si>
    <t>info@kamen-vsem.ru</t>
  </si>
  <si>
    <t>info@kamenka-m.ru</t>
  </si>
  <si>
    <t>info@kamkolb.ru</t>
  </si>
  <si>
    <t>info@kampoteks.ru</t>
  </si>
  <si>
    <t>info@kanups.ru</t>
  </si>
  <si>
    <t>info@karamelkovo.ru</t>
  </si>
  <si>
    <t>info@karatspb.ru</t>
  </si>
  <si>
    <t>info@karel-doors.ru</t>
  </si>
  <si>
    <t>info@karmy.su</t>
  </si>
  <si>
    <t>info@karnizov.net</t>
  </si>
  <si>
    <t>info@kaskadmetall.ru</t>
  </si>
  <si>
    <t>info@katarzyna.ru</t>
  </si>
  <si>
    <t>info@kazansintez.com</t>
  </si>
  <si>
    <t>info@kb-78.ru</t>
  </si>
  <si>
    <t>Info@kbllc.ru</t>
  </si>
  <si>
    <t>info@kbparus.ru</t>
  </si>
  <si>
    <t>info@keaflex.ru</t>
  </si>
  <si>
    <t>info@kedrdel.ru</t>
  </si>
  <si>
    <t>info@kemplast.ru</t>
  </si>
  <si>
    <t>info@kemzmoo.ru</t>
  </si>
  <si>
    <t>info@khpt.ru</t>
  </si>
  <si>
    <t>info@kifato.by</t>
  </si>
  <si>
    <t>info@kinglion.ru</t>
  </si>
  <si>
    <t>info@kioski.ru</t>
  </si>
  <si>
    <t>info@kirakira.ru</t>
  </si>
  <si>
    <t>info@kitmsk.com</t>
  </si>
  <si>
    <t>info@kkzm.ru</t>
  </si>
  <si>
    <t>info@km-n.ru</t>
  </si>
  <si>
    <t>info@kmp-gaz.ru</t>
  </si>
  <si>
    <t>info@knitcompany.ru</t>
  </si>
  <si>
    <t>info@kogtedralka.ru</t>
  </si>
  <si>
    <t>info@kolett.ru</t>
  </si>
  <si>
    <t>info@kolmen-plus.ru</t>
  </si>
  <si>
    <t>info@kombucha-store.ru</t>
  </si>
  <si>
    <t>info@komes-teh.ru</t>
  </si>
  <si>
    <t>info@KomfortTex.ru</t>
  </si>
  <si>
    <t>info@kompur.ru</t>
  </si>
  <si>
    <t>info@konservprom.ru</t>
  </si>
  <si>
    <t>info@kormashop.com</t>
  </si>
  <si>
    <t>info@korona-len.com</t>
  </si>
  <si>
    <t>info@kosgost.ru</t>
  </si>
  <si>
    <t>info@kosogor.org</t>
  </si>
  <si>
    <t>info@kotofey.ru</t>
  </si>
  <si>
    <t>info@kovkadom.ru</t>
  </si>
  <si>
    <t>info@kpk-krd.ru</t>
  </si>
  <si>
    <t>info@kr-opt.ru</t>
  </si>
  <si>
    <t>info@kraft-plast.ru</t>
  </si>
  <si>
    <t>info@kraskichemi.ru</t>
  </si>
  <si>
    <t>info@krepak.ru</t>
  </si>
  <si>
    <t>info@krol-korol.ru</t>
  </si>
  <si>
    <t>info@krovaty-hit.ru</t>
  </si>
  <si>
    <t>info@kt-trapeza.ru</t>
  </si>
  <si>
    <t>info@ktrastgroup.ru</t>
  </si>
  <si>
    <t>info@kulibino.ru</t>
  </si>
  <si>
    <t>info@kupi-prisoski.ru</t>
  </si>
  <si>
    <t>info@kurskhladokombinat.ru</t>
  </si>
  <si>
    <t>info@kvantserver.ru</t>
  </si>
  <si>
    <t>info@kzp44.ru</t>
  </si>
  <si>
    <t>info@lacywear.ru</t>
  </si>
  <si>
    <t>info@lakestone.ru</t>
  </si>
  <si>
    <t>info@lakinskie.com</t>
  </si>
  <si>
    <t>info@lamaris-prof.ru</t>
  </si>
  <si>
    <t>info@lamarty.ru</t>
  </si>
  <si>
    <t>info@lamdrev.com</t>
  </si>
  <si>
    <t>info@landskrona.spb.ru</t>
  </si>
  <si>
    <t>info@larch.su</t>
  </si>
  <si>
    <t>info@lava-polimer.ru</t>
  </si>
  <si>
    <t>info@lavaka.ru</t>
  </si>
  <si>
    <t>info@lbcom.pro</t>
  </si>
  <si>
    <t>info@lc54.ru</t>
  </si>
  <si>
    <t>info@lchl.ru</t>
  </si>
  <si>
    <t>info@leader-boats.ru</t>
  </si>
  <si>
    <t>info@led-sib.ru</t>
  </si>
  <si>
    <t>info@ledinika.ru</t>
  </si>
  <si>
    <t>info@legenda22.ru</t>
  </si>
  <si>
    <t>info@leobaby.com</t>
  </si>
  <si>
    <t>info@les-zavod.ru</t>
  </si>
  <si>
    <t>info@lesa-vishki.ru</t>
  </si>
  <si>
    <t>info@lesnay-sloboda.ru</t>
  </si>
  <si>
    <t>info@letsgo-style.ru</t>
  </si>
  <si>
    <t>info@leya.me</t>
  </si>
  <si>
    <t>info@lf-led.ru</t>
  </si>
  <si>
    <t>info@limpopo-baby.ru</t>
  </si>
  <si>
    <t>info@lissilandia.ru</t>
  </si>
  <si>
    <t>info@livfamily.ru</t>
  </si>
  <si>
    <t>info@lkzsm.ru</t>
  </si>
  <si>
    <t>info@llc-mq.com</t>
  </si>
  <si>
    <t>info@logotip58.ru</t>
  </si>
  <si>
    <t>info@ls-plast.ru</t>
  </si>
  <si>
    <t>info@ltdgals.ru</t>
  </si>
  <si>
    <t>info@luckyland.ru</t>
  </si>
  <si>
    <t>info@lugaterm.com</t>
  </si>
  <si>
    <t>info@lumspace.ru</t>
  </si>
  <si>
    <t>info@lzfb.ru</t>
  </si>
  <si>
    <t>info@m-infogroup.ru</t>
  </si>
  <si>
    <t>info@m-upak.ru</t>
  </si>
  <si>
    <t>info@ma-us.ru</t>
  </si>
  <si>
    <t>info@magicform.ru</t>
  </si>
  <si>
    <t>info@magma-tech.ru</t>
  </si>
  <si>
    <t>info@magniumpro.ru</t>
  </si>
  <si>
    <t>info@mail.artgamma.ru</t>
  </si>
  <si>
    <t>info@maminya.ru</t>
  </si>
  <si>
    <t>info@manngroup.ru</t>
  </si>
  <si>
    <t>info@marka.life</t>
  </si>
  <si>
    <t>info@mashintertorg.ru</t>
  </si>
  <si>
    <t>info@master-teplic.ru</t>
  </si>
  <si>
    <t>info@masterbar.ru</t>
  </si>
  <si>
    <t>info@masterovit.ru</t>
  </si>
  <si>
    <t>info@masterprof.spb.ru</t>
  </si>
  <si>
    <t>info@masterson.pro</t>
  </si>
  <si>
    <t>info@maxicut.ru</t>
  </si>
  <si>
    <t>info@maxikran.ru</t>
  </si>
  <si>
    <t>info@maxitherm.ru</t>
  </si>
  <si>
    <t>info@mbk-angar.ru</t>
  </si>
  <si>
    <t>info@mc-rost.ru</t>
  </si>
  <si>
    <t>info@mdfdveri.ru</t>
  </si>
  <si>
    <t>info@meat-graf.com</t>
  </si>
  <si>
    <t>INFO@MEBEL-NSK.TK</t>
  </si>
  <si>
    <t>info@mebela.ru</t>
  </si>
  <si>
    <t>info@mebelavenu.ru</t>
  </si>
  <si>
    <t>info@mebeliru.ru</t>
  </si>
  <si>
    <t>info@mebellakosta.ru</t>
  </si>
  <si>
    <t>info@mebelmob.com</t>
  </si>
  <si>
    <t>info@mebelomsk.ru</t>
  </si>
  <si>
    <t>info@meblarus.ru</t>
  </si>
  <si>
    <t>info@medbag.ru</t>
  </si>
  <si>
    <t>info@meditronika.ru</t>
  </si>
  <si>
    <t>info@medovz.com</t>
  </si>
  <si>
    <t>info@medvedkovo.ru</t>
  </si>
  <si>
    <t>info@megafox.ru</t>
  </si>
  <si>
    <t>info@megaplast24.ru</t>
  </si>
  <si>
    <t>info@melana.vip</t>
  </si>
  <si>
    <t>info@melsa-thermo.ru</t>
  </si>
  <si>
    <t>info@meneso.ru</t>
  </si>
  <si>
    <t>info@mepufa.ru</t>
  </si>
  <si>
    <t>info@metallgarant-spb.ru</t>
  </si>
  <si>
    <t>info@metallstil.ru</t>
  </si>
  <si>
    <t>info@metasvet.ru</t>
  </si>
  <si>
    <t>info@meyko.ru</t>
  </si>
  <si>
    <t>info@mgekb.ru</t>
  </si>
  <si>
    <t>info@micro-bikini.ru</t>
  </si>
  <si>
    <t>info@mikita-kids.ru</t>
  </si>
  <si>
    <t>info@mikron-rzn.ru</t>
  </si>
  <si>
    <t>info@milarum.ru</t>
  </si>
  <si>
    <t>info@milovar.com</t>
  </si>
  <si>
    <t>info@minkond.ru</t>
  </si>
  <si>
    <t>info@minresurs.ru</t>
  </si>
  <si>
    <t>info@mirdetstva.ru</t>
  </si>
  <si>
    <t>info@mirmet.spb.ru</t>
  </si>
  <si>
    <t>info@mirolin.ru</t>
  </si>
  <si>
    <t>info@miroslada.ru</t>
  </si>
  <si>
    <t>info@miz-t.ru</t>
  </si>
  <si>
    <t>info@mk-furnitura.ru</t>
  </si>
  <si>
    <t>info@mm-zvezda.ru</t>
  </si>
  <si>
    <t>info@mmk-soap.ru</t>
  </si>
  <si>
    <t>info@mms-met.ru</t>
  </si>
  <si>
    <t>info@modafest.ru</t>
  </si>
  <si>
    <t>info@molokozavod-adygea.ru</t>
  </si>
  <si>
    <t>info@mon-mon.shop</t>
  </si>
  <si>
    <t>info@monolic.ru</t>
  </si>
  <si>
    <t>info@monolittex.ru</t>
  </si>
  <si>
    <t>info@monotech.ru</t>
  </si>
  <si>
    <t>info@monzilfoods.com</t>
  </si>
  <si>
    <t>info@morozko.ru</t>
  </si>
  <si>
    <t>info@morpro.ru</t>
  </si>
  <si>
    <t>info@moscoffee.ru</t>
  </si>
  <si>
    <t>info@moskovskie-zabory.ru</t>
  </si>
  <si>
    <t>info@mpsaler.ru</t>
  </si>
  <si>
    <t>info@mto-smr.ru</t>
  </si>
  <si>
    <t>info@muka1.ru</t>
  </si>
  <si>
    <t>info@mur-n.ru</t>
  </si>
  <si>
    <t>info@mva-rolltor.ru</t>
  </si>
  <si>
    <t>info@mzpu-plast.com</t>
  </si>
  <si>
    <t>info@nadyarte.com</t>
  </si>
  <si>
    <t>info@nahodkaspb.ru</t>
  </si>
  <si>
    <t>info@naivmir.ru</t>
  </si>
  <si>
    <t>info@nakleek.ru</t>
  </si>
  <si>
    <t>info@namevi.ru</t>
  </si>
  <si>
    <t>info@nasos-torg.ru</t>
  </si>
  <si>
    <t>info@natali37.ru</t>
  </si>
  <si>
    <t>info@natpaper.ru</t>
  </si>
  <si>
    <t>info@naumag.ru</t>
  </si>
  <si>
    <t>info@nazarkov.ru</t>
  </si>
  <si>
    <t>info@ndveri.ru</t>
  </si>
  <si>
    <t>info@nefco.ru</t>
  </si>
  <si>
    <t>info@netkanika.com</t>
  </si>
  <si>
    <t>info@networkvideo.ru</t>
  </si>
  <si>
    <t>info@nevatextile.ru</t>
  </si>
  <si>
    <t>info@newhtf.ru</t>
  </si>
  <si>
    <t>info@nextelium.ru</t>
  </si>
  <si>
    <t>info@nextform.ru</t>
  </si>
  <si>
    <t>info@nikatorg.com</t>
  </si>
  <si>
    <t>info@nonsees.com</t>
  </si>
  <si>
    <t>info@nordbros.ru</t>
  </si>
  <si>
    <t>info@norman-pro.ru</t>
  </si>
  <si>
    <t>info@norsy.ru</t>
  </si>
  <si>
    <t>info@noski-kazan.ru</t>
  </si>
  <si>
    <t>info@nov-okon.ru</t>
  </si>
  <si>
    <t>info@nova-zavod.ru</t>
  </si>
  <si>
    <t>info@npf-innovations.ru</t>
  </si>
  <si>
    <t>info@npo-goodwill.ru</t>
  </si>
  <si>
    <t>info@npomeliorator.com</t>
  </si>
  <si>
    <t>info@nskmz.ru</t>
  </si>
  <si>
    <t>info@ntbe.ru</t>
  </si>
  <si>
    <t>info@ntp-plast.ru</t>
  </si>
  <si>
    <t>info@ntp-ts.ru</t>
  </si>
  <si>
    <t>info@nyhomedecor.ru</t>
  </si>
  <si>
    <t>info@nytva-maslo.ru</t>
  </si>
  <si>
    <t>info@nznk.ru</t>
  </si>
  <si>
    <t>info@nzp28.ru</t>
  </si>
  <si>
    <t>info@nzrm.ru</t>
  </si>
  <si>
    <t>info@ober-dveri.ru</t>
  </si>
  <si>
    <t>info@oborud-77.ru</t>
  </si>
  <si>
    <t>info@office-dv.ru</t>
  </si>
  <si>
    <t>info@ogneza.com</t>
  </si>
  <si>
    <t>info@okmebell.ru</t>
  </si>
  <si>
    <t>info@oknagalant.ru</t>
  </si>
  <si>
    <t>info@okovets.ru</t>
  </si>
  <si>
    <t>info@olga-tihomirova.ru</t>
  </si>
  <si>
    <t>info@omacaron.ru</t>
  </si>
  <si>
    <t>info@omjet.ru</t>
  </si>
  <si>
    <t>info@omskzkz.ru</t>
  </si>
  <si>
    <t>info@omssystems.ru</t>
  </si>
  <si>
    <t>info@oooprg.ru</t>
  </si>
  <si>
    <t>info@oporad.ru</t>
  </si>
  <si>
    <t>info@optfile.ru</t>
  </si>
  <si>
    <t>info@optimalprox.ru</t>
  </si>
  <si>
    <t>info@optnsk.ru</t>
  </si>
  <si>
    <t>info@orionmetall.ru</t>
  </si>
  <si>
    <t>info@osz-glass.ru</t>
  </si>
  <si>
    <t>info@otk2000.ru</t>
  </si>
  <si>
    <t>info@ouglichwatch.ru</t>
  </si>
  <si>
    <t>info@ouwi.ru</t>
  </si>
  <si>
    <t>info@oxyterra.ru</t>
  </si>
  <si>
    <t>info@p-house.org</t>
  </si>
  <si>
    <t>info@p-t-c.ru</t>
  </si>
  <si>
    <t>info@packetcity.ru</t>
  </si>
  <si>
    <t>info@paint-up.ru</t>
  </si>
  <si>
    <t>info@palitracolor.ru</t>
  </si>
  <si>
    <t>info@parafinanet.ru</t>
  </si>
  <si>
    <t>info@partazakaz.ru</t>
  </si>
  <si>
    <t>info@pattra-organic.ru</t>
  </si>
  <si>
    <t>info@pc-vector.ru</t>
  </si>
  <si>
    <t>info@pehorka.ru</t>
  </si>
  <si>
    <t>info@pelletsbuy.ru</t>
  </si>
  <si>
    <t>info@pelv.ru</t>
  </si>
  <si>
    <t>info@penopan.ru</t>
  </si>
  <si>
    <t>info@peppywoolton.com</t>
  </si>
  <si>
    <t>info@perchili.com</t>
  </si>
  <si>
    <t>info@peregorodkinazakaz.ru</t>
  </si>
  <si>
    <t>info@petdiets.ru</t>
  </si>
  <si>
    <t>info@petroplastgroup.ru</t>
  </si>
  <si>
    <t>info@petrozoloto.ru</t>
  </si>
  <si>
    <t>info@pfsl.ru</t>
  </si>
  <si>
    <t>info@pherolab.ru</t>
  </si>
  <si>
    <t>info@piccaninnyclub.ru</t>
  </si>
  <si>
    <t>info@pilteh.ru</t>
  </si>
  <si>
    <t>info@pinkpork.ru</t>
  </si>
  <si>
    <t>info@pinovamash.ru</t>
  </si>
  <si>
    <t>info@pirojnikoff.ru</t>
  </si>
  <si>
    <t>info@pirrogroup.ru</t>
  </si>
  <si>
    <t>info@pischteh.ru</t>
  </si>
  <si>
    <t>info@pitonelectric.ru</t>
  </si>
  <si>
    <t>info@pk-f.ru</t>
  </si>
  <si>
    <t>info@pkfcvet.ru</t>
  </si>
  <si>
    <t>info@pksystems.ru</t>
  </si>
  <si>
    <t>info@planetaferm.ru</t>
  </si>
  <si>
    <t>info@plastic-republic.ru</t>
  </si>
  <si>
    <t>info@platinus.org</t>
  </si>
  <si>
    <t>info@playco.ru</t>
  </si>
  <si>
    <t>info@playgarden.ru</t>
  </si>
  <si>
    <t>info@plenkaupak.ru</t>
  </si>
  <si>
    <t>info@plexus-mebel.ru</t>
  </si>
  <si>
    <t>info@pmt-spb.su</t>
  </si>
  <si>
    <t>info@po-odintsovo.ru</t>
  </si>
  <si>
    <t>info@podyomnik-oprokidyvatel.ru</t>
  </si>
  <si>
    <t>info@polaris.su</t>
  </si>
  <si>
    <t>info@policon-rt.ru</t>
  </si>
  <si>
    <t>info@polikomplast.ru</t>
  </si>
  <si>
    <t>info@polimer-kaluga.ru</t>
  </si>
  <si>
    <t>info@polimerexpert.ru</t>
  </si>
  <si>
    <t>info@politek-ptk.ru</t>
  </si>
  <si>
    <t>info@popilov.ru</t>
  </si>
  <si>
    <t>info@portofiano.com</t>
  </si>
  <si>
    <t>info@posteloptom.ru</t>
  </si>
  <si>
    <t>info@posvartech.ru</t>
  </si>
  <si>
    <t>info@pozharov-net.ru</t>
  </si>
  <si>
    <t>info@premier-pak.ru</t>
  </si>
  <si>
    <t>info@proflag.ru</t>
  </si>
  <si>
    <t>info@profledrf.ru</t>
  </si>
  <si>
    <t>info@progress-nw.ru</t>
  </si>
  <si>
    <t>info@promagro.ru</t>
  </si>
  <si>
    <t>info@prombio.com</t>
  </si>
  <si>
    <t>info@promebelmarket.ru</t>
  </si>
  <si>
    <t>info@promed.pro</t>
  </si>
  <si>
    <t>info@promokostum.com</t>
  </si>
  <si>
    <t>info@prompoliplast.ru</t>
  </si>
  <si>
    <t>info@prompylesos.ru</t>
  </si>
  <si>
    <t>info@promseim.ru</t>
  </si>
  <si>
    <t>info@prostocolor-sz.ru</t>
  </si>
  <si>
    <t>info@prostorug.ru</t>
  </si>
  <si>
    <t>info@protecom.ru</t>
  </si>
  <si>
    <t>info@protoamber.ru</t>
  </si>
  <si>
    <t>info@psk-osnova.com</t>
  </si>
  <si>
    <t>info@psmith.ru</t>
  </si>
  <si>
    <t>info@pspcom.ru</t>
  </si>
  <si>
    <t>info@ptk-tehnis.ru</t>
  </si>
  <si>
    <t>info@ptkkontur.ru</t>
  </si>
  <si>
    <t>info@pzki54.ru</t>
  </si>
  <si>
    <t>info@qc-oil.com</t>
  </si>
  <si>
    <t>info@r-tp.ru</t>
  </si>
  <si>
    <t>info@radist67.ru</t>
  </si>
  <si>
    <t>info@raduga-light.com</t>
  </si>
  <si>
    <t>info@rafael.studio</t>
  </si>
  <si>
    <t>info@ravol.ru</t>
  </si>
  <si>
    <t>info@rdkorm.com</t>
  </si>
  <si>
    <t>info@real-ships.ru</t>
  </si>
  <si>
    <t>info@realit.ru</t>
  </si>
  <si>
    <t>info@recuperator-termo.ru</t>
  </si>
  <si>
    <t>info@redplastic.ru</t>
  </si>
  <si>
    <t>info@regul21.ru</t>
  </si>
  <si>
    <t>info@rekhmunov.com</t>
  </si>
  <si>
    <t>info@rekon-ufa.ru</t>
  </si>
  <si>
    <t>info@relay-start.ru</t>
  </si>
  <si>
    <t>info@rendersoft.ru</t>
  </si>
  <si>
    <t>info@renrus.ru</t>
  </si>
  <si>
    <t>info@reoil.ru</t>
  </si>
  <si>
    <t>info@RiceKing.ru</t>
  </si>
  <si>
    <t>info@richvl.ru</t>
  </si>
  <si>
    <t>info@rimamid.ru</t>
  </si>
  <si>
    <t>info@ritex-t.ru</t>
  </si>
  <si>
    <t>info@rmuka.ru</t>
  </si>
  <si>
    <t>info@robovoz.ru</t>
  </si>
  <si>
    <t>info@rodvig.ru</t>
  </si>
  <si>
    <t>info@rokko21.ru</t>
  </si>
  <si>
    <t>info@rokos.ru</t>
  </si>
  <si>
    <t>info@romax.ru</t>
  </si>
  <si>
    <t>info@ronaholding.ru</t>
  </si>
  <si>
    <t>info@rosecomat.ru</t>
  </si>
  <si>
    <t>info@roslight.com</t>
  </si>
  <si>
    <t>info@rossplast.net</t>
  </si>
  <si>
    <t>info@rotoplast.ru</t>
  </si>
  <si>
    <t>info@rt-sport.ru</t>
  </si>
  <si>
    <t>info@ru-toys.ru</t>
  </si>
  <si>
    <t>info@rudnix.ru</t>
  </si>
  <si>
    <t>info@rukrest.ru</t>
  </si>
  <si>
    <t>info@ruotk.ru</t>
  </si>
  <si>
    <t>info@rus-province.ru</t>
  </si>
  <si>
    <t>info@rus-stol.ru</t>
  </si>
  <si>
    <t>info@ruscrep.ru</t>
  </si>
  <si>
    <t>info@rusonar.ru</t>
  </si>
  <si>
    <t>info@ruvedic.ru</t>
  </si>
  <si>
    <t>info@rvelektro.ru</t>
  </si>
  <si>
    <t>info@rxsailing.com</t>
  </si>
  <si>
    <t>info@s-plast.ru</t>
  </si>
  <si>
    <t>info@s-plastik.ru</t>
  </si>
  <si>
    <t>info@s-treid.ru</t>
  </si>
  <si>
    <t>info@sadok-ponton.ru</t>
  </si>
  <si>
    <t>info@sagarti.com</t>
  </si>
  <si>
    <t>info@sahgroup.ru</t>
  </si>
  <si>
    <t>info@samaraagroprom.com</t>
  </si>
  <si>
    <t>info@samix.pro</t>
  </si>
  <si>
    <t>info@sandalov.com</t>
  </si>
  <si>
    <t>info@sandraspb.ru</t>
  </si>
  <si>
    <t>info@sanger.su</t>
  </si>
  <si>
    <t>info@sateg.ru</t>
  </si>
  <si>
    <t>info@sauna-dekor.com</t>
  </si>
  <si>
    <t>info@sbottle.ru</t>
  </si>
  <si>
    <t>info@scan-lite.ru</t>
  </si>
  <si>
    <t>info@se-sport.ru</t>
  </si>
  <si>
    <t>info@sedov.store</t>
  </si>
  <si>
    <t>info@semimol.ru</t>
  </si>
  <si>
    <t>info@sendyfood.ru</t>
  </si>
  <si>
    <t>info@sergio-cotti.ru</t>
  </si>
  <si>
    <t>info@sferon.ru</t>
  </si>
  <si>
    <t>info@shelk-cosmetics.ru</t>
  </si>
  <si>
    <t>info@shokolana.com</t>
  </si>
  <si>
    <t>info@sibbalance.com</t>
  </si>
  <si>
    <t>info@siberiagold.com</t>
  </si>
  <si>
    <t>info@sibxolod.ru</t>
  </si>
  <si>
    <t>info@sigma-kraski.ru</t>
  </si>
  <si>
    <t>info@sila-kartona.ru</t>
  </si>
  <si>
    <t>info@silvann.ru</t>
  </si>
  <si>
    <t>info@simple-pro.com</t>
  </si>
  <si>
    <t>info@sirius-kbr.ru</t>
  </si>
  <si>
    <t>info@sks-k.ru</t>
  </si>
  <si>
    <t>info@slavtextile.ru</t>
  </si>
  <si>
    <t>info@smart-textile.ru</t>
  </si>
  <si>
    <t>info@smoltex.ru</t>
  </si>
  <si>
    <t>info@smpodarki.ru</t>
  </si>
  <si>
    <t>info@sms-foods.com</t>
  </si>
  <si>
    <t>info@smtech.info</t>
  </si>
  <si>
    <t>info@snowmelting.ru</t>
  </si>
  <si>
    <t>info@solar-led.ru</t>
  </si>
  <si>
    <t>info@solo-rpk.ru</t>
  </si>
  <si>
    <t>info@solos.ru</t>
  </si>
  <si>
    <t>info@sommos.ru</t>
  </si>
  <si>
    <t>info@sorbeco.pro</t>
  </si>
  <si>
    <t>info@sota37.ru</t>
  </si>
  <si>
    <t>info@spasilen.com</t>
  </si>
  <si>
    <t>info@specialty.ru</t>
  </si>
  <si>
    <t>info@speco.ru</t>
  </si>
  <si>
    <t>info@spectrum.su</t>
  </si>
  <si>
    <t>info@speleom.ru</t>
  </si>
  <si>
    <t>info@spk-kazan.ru</t>
  </si>
  <si>
    <t>info@splitstone.ru</t>
  </si>
  <si>
    <t>info@spmavto.ru</t>
  </si>
  <si>
    <t>info@st-proekt.net</t>
  </si>
  <si>
    <t>info@st-telecom.ru</t>
  </si>
  <si>
    <t>info@standart-plast.com</t>
  </si>
  <si>
    <t>info@star-tab.ru</t>
  </si>
  <si>
    <t>info@starline.ru</t>
  </si>
  <si>
    <t>info@startatom.ru</t>
  </si>
  <si>
    <t>info@steel-ideas.ru</t>
  </si>
  <si>
    <t>info@steelnet.ru</t>
  </si>
  <si>
    <t>info@steklo-prom.ru</t>
  </si>
  <si>
    <t>info@stelkon.ru</t>
  </si>
  <si>
    <t>info@stella-kids.ru</t>
  </si>
  <si>
    <t>info@sth-m.ru</t>
  </si>
  <si>
    <t>info@stievel.com</t>
  </si>
  <si>
    <t>info@stizo.ru</t>
  </si>
  <si>
    <t>info@stockluxury.ru</t>
  </si>
  <si>
    <t>info@stoco.pro</t>
  </si>
  <si>
    <t>info@stoloffice.ru</t>
  </si>
  <si>
    <t>info@streamboats.ru</t>
  </si>
  <si>
    <t>info@strike33.ru</t>
  </si>
  <si>
    <t>info@strommash.ru</t>
  </si>
  <si>
    <t>info@sunnymill.ru</t>
  </si>
  <si>
    <t>info@sunx23.ru</t>
  </si>
  <si>
    <t>info@supergib.ru</t>
  </si>
  <si>
    <t>info@supremeplast.ru</t>
  </si>
  <si>
    <t>info@suzdalskaya.ru</t>
  </si>
  <si>
    <t>info@sv-metal.ru</t>
  </si>
  <si>
    <t>info@svayber.ru</t>
  </si>
  <si>
    <t>info@svetolinia.ru</t>
  </si>
  <si>
    <t>info@svok.com</t>
  </si>
  <si>
    <t>info@svtled.ru</t>
  </si>
  <si>
    <t>info@sw-servis.ru</t>
  </si>
  <si>
    <t>info@sweetcatshop.ru</t>
  </si>
  <si>
    <t>info@sweetcorp.ru</t>
  </si>
  <si>
    <t>info@sweetstech.com</t>
  </si>
  <si>
    <t>info@t-krov.ru</t>
  </si>
  <si>
    <t>info@talitsa-altai.ru</t>
  </si>
  <si>
    <t>info@talmenplain.com</t>
  </si>
  <si>
    <t>info@taraservis.ru</t>
  </si>
  <si>
    <t>info@tarasovfabrika.ru</t>
  </si>
  <si>
    <t>info@td-detstvo.ru</t>
  </si>
  <si>
    <t>info@td-dr.ru</t>
  </si>
  <si>
    <t>info@td-klb.ru</t>
  </si>
  <si>
    <t>info@tdbatik.com</t>
  </si>
  <si>
    <t>info@tdmirtorg.ru</t>
  </si>
  <si>
    <t>info@tecamet.ru</t>
  </si>
  <si>
    <t>info@technobalt.ru</t>
  </si>
  <si>
    <t>info@technopolice.ru</t>
  </si>
  <si>
    <t>info@tehnokvarc.ru</t>
  </si>
  <si>
    <t>info@telas.ru</t>
  </si>
  <si>
    <t>info@terkin-foods.com</t>
  </si>
  <si>
    <t>info@terminus.ru</t>
  </si>
  <si>
    <t>info@termod.ru</t>
  </si>
  <si>
    <t>info@tfp-corp.ru</t>
  </si>
  <si>
    <t>info@tg-prof.com</t>
  </si>
  <si>
    <t>info@tg-prom.com</t>
  </si>
  <si>
    <t>info@therightbox.ru</t>
  </si>
  <si>
    <t>info@thrtn.ru</t>
  </si>
  <si>
    <t>info@tia-horeca.ru</t>
  </si>
  <si>
    <t>info@tiena.su</t>
  </si>
  <si>
    <t>info@timberry.ru</t>
  </si>
  <si>
    <t>info@titulpro.ru</t>
  </si>
  <si>
    <t>info@tk-soldar.ru</t>
  </si>
  <si>
    <t>info@tochpribor-kb.ru</t>
  </si>
  <si>
    <t>info@toffana.ru</t>
  </si>
  <si>
    <t>info@toir-m.ru</t>
  </si>
  <si>
    <t>info@tommycat.ru</t>
  </si>
  <si>
    <t>info@top-plast.ru</t>
  </si>
  <si>
    <t>info@topbbq.ru</t>
  </si>
  <si>
    <t>info@topcandy.ru</t>
  </si>
  <si>
    <t>info@torexsaratov.ru</t>
  </si>
  <si>
    <t>info@torkret.ru</t>
  </si>
  <si>
    <t>info@Tornadotool.com</t>
  </si>
  <si>
    <t>info@tpalatki.ru</t>
  </si>
  <si>
    <t>info@tpk-serviceplus.ru</t>
  </si>
  <si>
    <t>info@tpkpegas.ru</t>
  </si>
  <si>
    <t>info@tradeberri.ru</t>
  </si>
  <si>
    <t>info@trelaxorto.ru</t>
  </si>
  <si>
    <t>info@trendap.ru</t>
  </si>
  <si>
    <t>info@trendfood.ru</t>
  </si>
  <si>
    <t>info@tritonbikes.com</t>
  </si>
  <si>
    <t>info@trkeshoes.ru</t>
  </si>
  <si>
    <t>info@trubmarket.ru</t>
  </si>
  <si>
    <t>info@trutork.ru</t>
  </si>
  <si>
    <t>info@ttai.ru</t>
  </si>
  <si>
    <t>info@turbogym.ru</t>
  </si>
  <si>
    <t>info@tves.com.ru</t>
  </si>
  <si>
    <t>info@tvll.ru</t>
  </si>
  <si>
    <t>info@twinmaster.ru</t>
  </si>
  <si>
    <t>info@ulitkatrade.ru</t>
  </si>
  <si>
    <t>info@unabracelet.com</t>
  </si>
  <si>
    <t>info@unio-vent.ru</t>
  </si>
  <si>
    <t>info@union-flex.com</t>
  </si>
  <si>
    <t>info@unionsocks.ru</t>
  </si>
  <si>
    <t>info@unitradekpb.ru</t>
  </si>
  <si>
    <t>info@universal-33.ru</t>
  </si>
  <si>
    <t>info@uniwood.shop</t>
  </si>
  <si>
    <t>info@upak-group.ru</t>
  </si>
  <si>
    <t>info@upex.pro</t>
  </si>
  <si>
    <t>info@uralsibtech.ru</t>
  </si>
  <si>
    <t>info@uralspeclom.ru</t>
  </si>
  <si>
    <t>info@ureagent.ru</t>
  </si>
  <si>
    <t>info@urgk.ru</t>
  </si>
  <si>
    <t>info@uta-tex.ru</t>
  </si>
  <si>
    <t>info@utd74.ru</t>
  </si>
  <si>
    <t>info@uzgo-orsk.ru</t>
  </si>
  <si>
    <t>info@v-dor.ru</t>
  </si>
  <si>
    <t>info@varmecs.ru</t>
  </si>
  <si>
    <t>info@vdt43.ru</t>
  </si>
  <si>
    <t>info@veles-sib.ru</t>
  </si>
  <si>
    <t>info@vels-177.ru</t>
  </si>
  <si>
    <t>info@vent-climate.ru</t>
  </si>
  <si>
    <t>info@ventrauf.ru</t>
  </si>
  <si>
    <t>info@vertaboats.ru</t>
  </si>
  <si>
    <t>info@veschel.ru</t>
  </si>
  <si>
    <t>info@vesta-groups.ru</t>
  </si>
  <si>
    <t>info@vestar.net</t>
  </si>
  <si>
    <t>info@vexop.ru</t>
  </si>
  <si>
    <t>info@vezdehod.com</t>
  </si>
  <si>
    <t>info@vh-ing.ru</t>
  </si>
  <si>
    <t>info@vhz.ru</t>
  </si>
  <si>
    <t>info@victoria-dom.ru</t>
  </si>
  <si>
    <t>info@vilesem.ru</t>
  </si>
  <si>
    <t>info@vimpel.group</t>
  </si>
  <si>
    <t>info@vineta.ru</t>
  </si>
  <si>
    <t>info@viridi.ru</t>
  </si>
  <si>
    <t>info@vitadream.ru</t>
  </si>
  <si>
    <t>info@vitcosmetic.ru</t>
  </si>
  <si>
    <t>info@vizanti.ru</t>
  </si>
  <si>
    <t>info@vmsuit.ru</t>
  </si>
  <si>
    <t>info@voblamania.ru</t>
  </si>
  <si>
    <t>info@vodarus.ru</t>
  </si>
  <si>
    <t>info@volgaagromash.ru</t>
  </si>
  <si>
    <t>info@vomut.ru</t>
  </si>
  <si>
    <t>info@voshod.pro</t>
  </si>
  <si>
    <t>info@vsesvoe-sibir.com</t>
  </si>
  <si>
    <t>info@vzvt.ru</t>
  </si>
  <si>
    <t>info@w-elma.com</t>
  </si>
  <si>
    <t>info@warmex.ru.com</t>
  </si>
  <si>
    <t>info@watertime.ru</t>
  </si>
  <si>
    <t>info@waymac.ru</t>
  </si>
  <si>
    <t>info@we-live.ru</t>
  </si>
  <si>
    <t>info@whitebase.pro</t>
  </si>
  <si>
    <t>info@whitenord.com</t>
  </si>
  <si>
    <t>info@wood-customs.ru</t>
  </si>
  <si>
    <t>info@wood.gs</t>
  </si>
  <si>
    <t>info@woodenwood.ru</t>
  </si>
  <si>
    <t>info@woodgames.ru</t>
  </si>
  <si>
    <t>info@woodlines.ru</t>
  </si>
  <si>
    <t>info@woodson.pro</t>
  </si>
  <si>
    <t>info@wool68.ru</t>
  </si>
  <si>
    <t>info@xn----ctbjaa4biadioiby3g0bg.xn</t>
  </si>
  <si>
    <t>info@xn--80aa4aiciqk.xn</t>
  </si>
  <si>
    <t>info@xn--80aagkqppxqe8h.xn</t>
  </si>
  <si>
    <t>info@xn--b1agapcsgv.xn</t>
  </si>
  <si>
    <t>info@xn--h1afbibdc.xn</t>
  </si>
  <si>
    <t>info@yandex.ru</t>
  </si>
  <si>
    <t>info@yarkoyarko.ru</t>
  </si>
  <si>
    <t>info@ygmz.sakhanet.ru</t>
  </si>
  <si>
    <t>info@yohocube.ru</t>
  </si>
  <si>
    <t>info@yur-ma.ru</t>
  </si>
  <si>
    <t>info@zaoutk.ru</t>
  </si>
  <si>
    <t>info@zapasy-sibiri.ru</t>
  </si>
  <si>
    <t>info@zapod.ru</t>
  </si>
  <si>
    <t>info@zarodiny.ru</t>
  </si>
  <si>
    <t>info@zarstvo.su</t>
  </si>
  <si>
    <t>info@zavod-istok.ru</t>
  </si>
  <si>
    <t>info@zavod-palitra.ru</t>
  </si>
  <si>
    <t>info@zavod-pobeda.ru</t>
  </si>
  <si>
    <t>info@zavodmaf.ru</t>
  </si>
  <si>
    <t>info@zavodtriumph.ru</t>
  </si>
  <si>
    <t>info@zdi-m.ru</t>
  </si>
  <si>
    <t>info@zelengrand.ru</t>
  </si>
  <si>
    <t>info@zetlab.com</t>
  </si>
  <si>
    <t>info@zim42.ru</t>
  </si>
  <si>
    <t>info@zip-polimer.ru</t>
  </si>
  <si>
    <t>info@zolotoezerno.com</t>
  </si>
  <si>
    <t>info@zolotovyatki.ru</t>
  </si>
  <si>
    <t>info@zzbo.ru</t>
  </si>
  <si>
    <t>info+615017@smartves.ru</t>
  </si>
  <si>
    <t>info1@td-aybolit.ru</t>
  </si>
  <si>
    <t>info64@protect-pro.ru</t>
  </si>
  <si>
    <t>info7vt@list.ru</t>
  </si>
  <si>
    <t>infobox@mgofra.ru</t>
  </si>
  <si>
    <t>infoevraziyahim@gmail.com</t>
  </si>
  <si>
    <t>infofilligri@yandex.ru</t>
  </si>
  <si>
    <t>infohl@halla.ru</t>
  </si>
  <si>
    <t>infomebelevich@yandex.ru</t>
  </si>
  <si>
    <t>infomone@mail.ru</t>
  </si>
  <si>
    <t>infopalpak@gmail.com</t>
  </si>
  <si>
    <t>infopkz@mail.ru</t>
  </si>
  <si>
    <t>inform.mart@yandex.ru</t>
  </si>
  <si>
    <t>inform@technoavia.ru</t>
  </si>
  <si>
    <t>information@pchelocentr.ru</t>
  </si>
  <si>
    <t>infosura.sota@gmail.com</t>
  </si>
  <si>
    <t>inlavkafoto@yandex.ru</t>
  </si>
  <si>
    <t>inlsolcat@gmail.com</t>
  </si>
  <si>
    <t>innakostina-rollstdg@yandex.ru</t>
  </si>
  <si>
    <t>inp@list.ru</t>
  </si>
  <si>
    <t>instiles@mail.ru</t>
  </si>
  <si>
    <t>instroydom@gmail.com</t>
  </si>
  <si>
    <t>int2@merletto-chocolate.ru</t>
  </si>
  <si>
    <t>intcom@dmi-group.ru</t>
  </si>
  <si>
    <t>intechwood@yandex.ru</t>
  </si>
  <si>
    <t>integral.crimea@yandex.ru</t>
  </si>
  <si>
    <t>interinwest26@yandex.ru</t>
  </si>
  <si>
    <t>interiordoors@mail.ru</t>
  </si>
  <si>
    <t>interlamvladimir@yandex.ru</t>
  </si>
  <si>
    <t>internet1@confectum.com.ru</t>
  </si>
  <si>
    <t>interskol@interskol.ru</t>
  </si>
  <si>
    <t>invest_tomsk@mail.ru</t>
  </si>
  <si>
    <t>invisible.mo@yandex.ru</t>
  </si>
  <si>
    <t>inzhener@tanplast.ru</t>
  </si>
  <si>
    <t>ionov@ventilacia.ru</t>
  </si>
  <si>
    <t>ip_ppa@mail.ru</t>
  </si>
  <si>
    <t>IP@green-oak.ru</t>
  </si>
  <si>
    <t>ipcmachmarketing@yandex.ru</t>
  </si>
  <si>
    <t>ipdemind@yandex.ru</t>
  </si>
  <si>
    <t>ipgprod@mail.ru</t>
  </si>
  <si>
    <t>ipkashirinn@yandex.ru</t>
  </si>
  <si>
    <t>ippav7@mail.ru</t>
  </si>
  <si>
    <t>Ira.v.9858923969@gmail.com</t>
  </si>
  <si>
    <t>irarvas@mail.ru</t>
  </si>
  <si>
    <t>ireks@ireks.ru</t>
  </si>
  <si>
    <t>irga.fun@gmail.com</t>
  </si>
  <si>
    <t>irida-ivanovo@yandex.ru</t>
  </si>
  <si>
    <t>irina_r@wesker.ru</t>
  </si>
  <si>
    <t>irina_spb@furteks.ru</t>
  </si>
  <si>
    <t>irina-texpak@yandex.ru</t>
  </si>
  <si>
    <t>irina.2608@inbox.ru</t>
  </si>
  <si>
    <t>irina.savchenko@zti.ru</t>
  </si>
  <si>
    <t>Irina@ldnt.ru</t>
  </si>
  <si>
    <t>irinanovak@list.ru</t>
  </si>
  <si>
    <t>irinapelikan82@mail.ru</t>
  </si>
  <si>
    <t>irinatpkmika@mail.ru</t>
  </si>
  <si>
    <t>irinavm11@inbox.ru</t>
  </si>
  <si>
    <t>iris16@list.ru</t>
  </si>
  <si>
    <t>irisdomashka@mail.ru</t>
  </si>
  <si>
    <t>irisset@inbox.ru</t>
  </si>
  <si>
    <t>irmeny@mail.ru</t>
  </si>
  <si>
    <t>irocan2008_@mail.ru</t>
  </si>
  <si>
    <t>irossystem@yandex.ru</t>
  </si>
  <si>
    <t>is@sunsnab.ru</t>
  </si>
  <si>
    <t>isaev.ss@bk.ru</t>
  </si>
  <si>
    <t>isagulov_stone@mail.ru</t>
  </si>
  <si>
    <t>isklyarov@berossi.ru</t>
  </si>
  <si>
    <t>iskr.net0316@gmail.com</t>
  </si>
  <si>
    <t>ismawear@mail.ru</t>
  </si>
  <si>
    <t>istochnikikavkaza@mail.ru</t>
  </si>
  <si>
    <t>istok_kem@mail.ru</t>
  </si>
  <si>
    <t>istoki_kavkaza@mail.ru</t>
  </si>
  <si>
    <t>istra7i@gmail.com</t>
  </si>
  <si>
    <t>italianet23.sait@gmail.com</t>
  </si>
  <si>
    <t>itb-toys@mail.ru</t>
  </si>
  <si>
    <t>itersincev@famko.ru</t>
  </si>
  <si>
    <t>iuliakornei@yandex.ru</t>
  </si>
  <si>
    <t>iv@doska150.ru</t>
  </si>
  <si>
    <t>iva.olga20@mail.ru</t>
  </si>
  <si>
    <t>iva.spices@yandex.ru</t>
  </si>
  <si>
    <t>ivamailboxes@gmail.com</t>
  </si>
  <si>
    <t>ivan_smarti@mail.ru</t>
  </si>
  <si>
    <t>ivan@rels.ru</t>
  </si>
  <si>
    <t>Ivanov_dv_56@mail.ru</t>
  </si>
  <si>
    <t>ivanov_lestnica@mail.ru</t>
  </si>
  <si>
    <t>ivanov28_1@mail.ru</t>
  </si>
  <si>
    <t>ivanovo-kids@bk.ru</t>
  </si>
  <si>
    <t>ivbrend.group@gmail.com</t>
  </si>
  <si>
    <t>ivk@briketts.ru</t>
  </si>
  <si>
    <t>IVTBelGU@yandex.ru</t>
  </si>
  <si>
    <t>ivteksprom@gmail.com</t>
  </si>
  <si>
    <t>ivtekspromanna@gmail.com</t>
  </si>
  <si>
    <t>ivtoys@yandex.ru</t>
  </si>
  <si>
    <t>ixeconova@yandex.ru</t>
  </si>
  <si>
    <t>izasalpagarova@mail.ru</t>
  </si>
  <si>
    <t>izaslavm@slavich.ru</t>
  </si>
  <si>
    <t>izh-zakaz@tehtank.ru</t>
  </si>
  <si>
    <t>izh.uam18@gmail.com</t>
  </si>
  <si>
    <t>izhmebel@mail.ru</t>
  </si>
  <si>
    <t>izhprodmash@list.ru</t>
  </si>
  <si>
    <t>izomatgrupp@bk.ru</t>
  </si>
  <si>
    <t>izotova@s-and-s.net.ru</t>
  </si>
  <si>
    <t>izppu@yandex.ru</t>
  </si>
  <si>
    <t>izumrud_m.lad@mail.ru</t>
  </si>
  <si>
    <t>J.Shuvalova@aivengo.info</t>
  </si>
  <si>
    <t>Jakuninag@group-sdt.ru</t>
  </si>
  <si>
    <t>jasltex@yandex.ru</t>
  </si>
  <si>
    <t>jckstatus@gmail.com</t>
  </si>
  <si>
    <t>jeny-firma@mail.ru</t>
  </si>
  <si>
    <t>jettyplusnsk@gmail.com</t>
  </si>
  <si>
    <t>jewel@auz.ru</t>
  </si>
  <si>
    <t>jivanova@leather.ru</t>
  </si>
  <si>
    <t>jm@piterpak.ru</t>
  </si>
  <si>
    <t>job-mart@yandex.ru</t>
  </si>
  <si>
    <t>jobll@mail.ru</t>
  </si>
  <si>
    <t>jovi@bk.ru</t>
  </si>
  <si>
    <t>joycpmru@gmail.com</t>
  </si>
  <si>
    <t>jrayko@gmail.com</t>
  </si>
  <si>
    <t>jsplash@bk.ru</t>
  </si>
  <si>
    <t>Julia_latokho@mail.ru</t>
  </si>
  <si>
    <t>juliatitova2016@mail.ru</t>
  </si>
  <si>
    <t>julivi.moscow@mail.ru</t>
  </si>
  <si>
    <t>justmyluck05@rambler.ru</t>
  </si>
  <si>
    <t>k_dir@mops-td.ru</t>
  </si>
  <si>
    <t>k_kalutskih@skrz.ru</t>
  </si>
  <si>
    <t>k_kruglova@kiborg.group</t>
  </si>
  <si>
    <t>k-dom39@yandex.ru</t>
  </si>
  <si>
    <t>k-zemlya@mail.ru</t>
  </si>
  <si>
    <t>k.akylbekov@pktp-transport.ru</t>
  </si>
  <si>
    <t>K.kamteks@yandex.ru</t>
  </si>
  <si>
    <t>k.kashirin@lustertech.ru</t>
  </si>
  <si>
    <t>k.khodikov@snek.group</t>
  </si>
  <si>
    <t>k@multicut.ru</t>
  </si>
  <si>
    <t>kabanova@sicon.ru</t>
  </si>
  <si>
    <t>kaboyashi26@mail.ru</t>
  </si>
  <si>
    <t>kad@skalalend.ru</t>
  </si>
  <si>
    <t>kadrinstk@yandex.ru</t>
  </si>
  <si>
    <t>kadrovikb@yandex.ru</t>
  </si>
  <si>
    <t>kaen_bai@bk.ru</t>
  </si>
  <si>
    <t>kaf@chtts.ru</t>
  </si>
  <si>
    <t>kalashnikovds7@yandex.ru</t>
  </si>
  <si>
    <t>kalikina@oookgm.ru</t>
  </si>
  <si>
    <t>kalipsosales@yandex.ru</t>
  </si>
  <si>
    <t>kalugahair@mail.ru</t>
  </si>
  <si>
    <t>kamaev@listvig.ru</t>
  </si>
  <si>
    <t>kamalovaroza5735@gmail.com</t>
  </si>
  <si>
    <t>kamalovislam05@baldo.ru</t>
  </si>
  <si>
    <t>kamatu@list.ru</t>
  </si>
  <si>
    <t>kamensiti.ru@yandex.ru</t>
  </si>
  <si>
    <t>kamil.gizatulin@avrora-zhbi.ru</t>
  </si>
  <si>
    <t>kamitek68@yandex.ru</t>
  </si>
  <si>
    <t>kan1des@yandex.ru</t>
  </si>
  <si>
    <t>kanadskiedoma39@gmail.com</t>
  </si>
  <si>
    <t>kanat@sinn.ru</t>
  </si>
  <si>
    <t>kapnin@maksphil.ru</t>
  </si>
  <si>
    <t>kapustin@mill.ru</t>
  </si>
  <si>
    <t>karacrystal@mail.ru</t>
  </si>
  <si>
    <t>karavay-ang@mail.ru</t>
  </si>
  <si>
    <t>karimchuda2@mail.ru</t>
  </si>
  <si>
    <t>karina.doctorova@yandex.ru</t>
  </si>
  <si>
    <t>karinka1488@yandex.ru</t>
  </si>
  <si>
    <t>karniz@dda.ru</t>
  </si>
  <si>
    <t>karpenko.vikusia@yandex.ru</t>
  </si>
  <si>
    <t>kartel@yandex.ru</t>
  </si>
  <si>
    <t>karton.moskva@mail.ru</t>
  </si>
  <si>
    <t>karton@upak-rf.ru</t>
  </si>
  <si>
    <t>kas@geo-sin.ru</t>
  </si>
  <si>
    <t>kashina@fabrika-rt.ru</t>
  </si>
  <si>
    <t>kat.shvedova@gmail.com</t>
  </si>
  <si>
    <t>kat@xn--n1agu.xn</t>
  </si>
  <si>
    <t>katemerrakatemerra@yandex.ru</t>
  </si>
  <si>
    <t>katurova@troitskwool.com</t>
  </si>
  <si>
    <t>katy9996@rambler.ru</t>
  </si>
  <si>
    <t>katya@honeyteddyhair.com</t>
  </si>
  <si>
    <t>katya@ttc.spb.ru</t>
  </si>
  <si>
    <t>kaufgold@rambler.ru</t>
  </si>
  <si>
    <t>kaury3@mail.ru</t>
  </si>
  <si>
    <t>kav@logikdom.ru</t>
  </si>
  <si>
    <t>kav@mille.ru</t>
  </si>
  <si>
    <t>kazanhleb3@mail.ru</t>
  </si>
  <si>
    <t>kazantseva@orto-med.ru</t>
  </si>
  <si>
    <t>kb@plypack.ru</t>
  </si>
  <si>
    <t>kbg08@mail.ru</t>
  </si>
  <si>
    <t>kbmakarov@kbmakarov.ru</t>
  </si>
  <si>
    <t>kbmt@kbmt-mebel.ru</t>
  </si>
  <si>
    <t>kbt-plus@mail.ru</t>
  </si>
  <si>
    <t>kcoatings@yandex.ru</t>
  </si>
  <si>
    <t>kd@dveri-granit.com</t>
  </si>
  <si>
    <t>kd@kran-dt.ru</t>
  </si>
  <si>
    <t>kd@tehnopolimer43.ru</t>
  </si>
  <si>
    <t>kdkgroup@yandex.ru</t>
  </si>
  <si>
    <t>kederpro@yandex.ru</t>
  </si>
  <si>
    <t>kedr@niipp.ru</t>
  </si>
  <si>
    <t>kedrmurom@yandex.ru</t>
  </si>
  <si>
    <t>kedrprom2005@mail.ru</t>
  </si>
  <si>
    <t>kemfarmfab@mail.ru</t>
  </si>
  <si>
    <t>kenza-wood@yandex.ru</t>
  </si>
  <si>
    <t>keramika39226@yandex.ru</t>
  </si>
  <si>
    <t>kerimova_l@mail.ru</t>
  </si>
  <si>
    <t>Kev-rtk@yandex.ru</t>
  </si>
  <si>
    <t>kev@autoblik-2.ru</t>
  </si>
  <si>
    <t>kfmir2002@mail.ru</t>
  </si>
  <si>
    <t>kfxnovoe@list.ru</t>
  </si>
  <si>
    <t>kfxzemledar@gmail.com</t>
  </si>
  <si>
    <t>kfz2@mail.ru</t>
  </si>
  <si>
    <t>kga@admt-svet.ru</t>
  </si>
  <si>
    <t>kgsport@yandex.ru</t>
  </si>
  <si>
    <t>khara_man@mail.ru</t>
  </si>
  <si>
    <t>khaskaya76@yandex.ru</t>
  </si>
  <si>
    <t>khrussia@khrussia.ru</t>
  </si>
  <si>
    <t>kidsmgr@kisu.ru</t>
  </si>
  <si>
    <t>kiets.spb@mail.ru</t>
  </si>
  <si>
    <t>kim@ba-s-tet.ru</t>
  </si>
  <si>
    <t>kinprofdog@yandex.by</t>
  </si>
  <si>
    <t>kir.kotel@mail.ru</t>
  </si>
  <si>
    <t>kira@rivalli.ru</t>
  </si>
  <si>
    <t>Kirill.a.v@gmail.com</t>
  </si>
  <si>
    <t>kirill@frigomax.ru</t>
  </si>
  <si>
    <t>kirille880mm@mail.ru</t>
  </si>
  <si>
    <t>kirillitca232010@yandex.ru</t>
  </si>
  <si>
    <t>kirillov.iv@gmail.com</t>
  </si>
  <si>
    <t>kirilnefod12@gmail.com</t>
  </si>
  <si>
    <t>kirini-lux@mail.ru</t>
  </si>
  <si>
    <t>kirvikvvsskv@mail.ru</t>
  </si>
  <si>
    <t>kiseleva@belfarma.com</t>
  </si>
  <si>
    <t>kiseleva@favorit-farm.ru</t>
  </si>
  <si>
    <t>kiseleva@novaroll.pack.ru</t>
  </si>
  <si>
    <t>kiseli@list.ru</t>
  </si>
  <si>
    <t>kisti@valeri-d.com</t>
  </si>
  <si>
    <t>kisuslov@yandex.ru</t>
  </si>
  <si>
    <t>kitsak.bogdan@gmail.com</t>
  </si>
  <si>
    <t>kiv@atg22.ru</t>
  </si>
  <si>
    <t>kizilbekov013@icloud.com</t>
  </si>
  <si>
    <t>kj-company@mail.ru</t>
  </si>
  <si>
    <t>kk@upakmarket.ru</t>
  </si>
  <si>
    <t>Klapan-pik1@yandex.ru</t>
  </si>
  <si>
    <t>Klass-maska@ya.ru</t>
  </si>
  <si>
    <t>klassikaplus@mail.ru</t>
  </si>
  <si>
    <t>klenin@tradicia-k.ru</t>
  </si>
  <si>
    <t>klepavlr@yandex.ru</t>
  </si>
  <si>
    <t>kletkinet@gmail.com</t>
  </si>
  <si>
    <t>klickramka@mail.ru</t>
  </si>
  <si>
    <t>klimatika-spb@mail.ru</t>
  </si>
  <si>
    <t>klk.kolegov2017@yandex.ru</t>
  </si>
  <si>
    <t>klokov.i@specodegda.ru</t>
  </si>
  <si>
    <t>klyachina.tv@mail.ru</t>
  </si>
  <si>
    <t>km-leg@mail.ru</t>
  </si>
  <si>
    <t>kmann@mail.ru</t>
  </si>
  <si>
    <t>kmn@termofor.ru</t>
  </si>
  <si>
    <t>kmpo_au@mail.ru</t>
  </si>
  <si>
    <t>knopka-05@yandex.ru</t>
  </si>
  <si>
    <t>ko3-zist@zistex.ru</t>
  </si>
  <si>
    <t>kobzevd@gmail.com</t>
  </si>
  <si>
    <t>kofe@delsenzo.ru</t>
  </si>
  <si>
    <t>kojevennik@mail.ru</t>
  </si>
  <si>
    <t>koledov_rukemping@mail.ru</t>
  </si>
  <si>
    <t>kolesova0803@gmail.com</t>
  </si>
  <si>
    <t>Kollontay18@mail.ru</t>
  </si>
  <si>
    <t>kolomna.kolnag@yandex.ru</t>
  </si>
  <si>
    <t>kolomna@mirpehati.ru</t>
  </si>
  <si>
    <t>kolos-muka@mail.ru</t>
  </si>
  <si>
    <t>Kolosova_d_l@sima-land.ru</t>
  </si>
  <si>
    <t>Kolotilkina_Lubov@lagunaoil.ru</t>
  </si>
  <si>
    <t>kom_snab01@list.ru</t>
  </si>
  <si>
    <t>koma@aesp.ru</t>
  </si>
  <si>
    <t>komaeva.g@insido.ru</t>
  </si>
  <si>
    <t>komarof85@gmail.com</t>
  </si>
  <si>
    <t>kombez@nm.ru</t>
  </si>
  <si>
    <t>kombinat_z@mail.ru</t>
  </si>
  <si>
    <t>kombinat@kropmilk.ru</t>
  </si>
  <si>
    <t>komdir@oaokolos.ru</t>
  </si>
  <si>
    <t>komdir@vvsteel.ru</t>
  </si>
  <si>
    <t>komdirektor@alexgr.ru</t>
  </si>
  <si>
    <t>komk-off@yandex.ru</t>
  </si>
  <si>
    <t>kompas_krasnoyarsk@mail.ru</t>
  </si>
  <si>
    <t>komplekt-potolok@inbox.ru</t>
  </si>
  <si>
    <t>kompozit-70@mail.ru</t>
  </si>
  <si>
    <t>kondratyev-vct@mail.ru</t>
  </si>
  <si>
    <t>konkord73@bk.ru</t>
  </si>
  <si>
    <t>konkursgummi@yandex.ru</t>
  </si>
  <si>
    <t>konservatorug@gmail.com</t>
  </si>
  <si>
    <t>konstantin@memorysleep.ru</t>
  </si>
  <si>
    <t>konstantinov@1makfa.ru</t>
  </si>
  <si>
    <t>konstantinovskiisi@k-mehanika.ru</t>
  </si>
  <si>
    <t>konsul_altai@inbox.ru</t>
  </si>
  <si>
    <t>kontent@armo-plast.ru</t>
  </si>
  <si>
    <t>KontraktParfume@yandex.ru</t>
  </si>
  <si>
    <t>konturros@yandex.ru</t>
  </si>
  <si>
    <t>kopilka-podarkov@yandex.ru</t>
  </si>
  <si>
    <t>koptisam.online@yandex.ru</t>
  </si>
  <si>
    <t>koptsev.n@ferryvatt.ru</t>
  </si>
  <si>
    <t>korbi-hat@yandex.ru</t>
  </si>
  <si>
    <t>korm@krol-kmv.ru</t>
  </si>
  <si>
    <t>korma@korma.biz</t>
  </si>
  <si>
    <t>kormoceh@bk.ru</t>
  </si>
  <si>
    <t>kormzebra@ya.ru</t>
  </si>
  <si>
    <t>kornevtex@yandex.ru</t>
  </si>
  <si>
    <t>korona-luks@mail.ru</t>
  </si>
  <si>
    <t>korona-sales4@mail.ru</t>
  </si>
  <si>
    <t>korsad_s@mail.ru</t>
  </si>
  <si>
    <t>korshunov@stamm.ru</t>
  </si>
  <si>
    <t>korzhenevich.n@proracion.ru</t>
  </si>
  <si>
    <t>kosmoelectro@gmail.com</t>
  </si>
  <si>
    <t>kossloboda@bk.ru</t>
  </si>
  <si>
    <t>kostikov@maslodmf.ru</t>
  </si>
  <si>
    <t>kostya801@mail.ru</t>
  </si>
  <si>
    <t>kotel-447@mail.ru</t>
  </si>
  <si>
    <t>kotel.24@yandex.ru</t>
  </si>
  <si>
    <t>kotmarkot@kotmarkot.ru</t>
  </si>
  <si>
    <t>kotovas.ru@yandex.ru</t>
  </si>
  <si>
    <t>kotri@mail.ru</t>
  </si>
  <si>
    <t>kovkavcite@gmail.com</t>
  </si>
  <si>
    <t>kovrov-tdverona@mail.ru</t>
  </si>
  <si>
    <t>kovrova.ea@gmail.com</t>
  </si>
  <si>
    <t>kovtunovanton@blago-mir.ru</t>
  </si>
  <si>
    <t>kozharemont@gmail.com</t>
  </si>
  <si>
    <t>kozlovrn@a1mgc.ru</t>
  </si>
  <si>
    <t>kr@chisto.tech</t>
  </si>
  <si>
    <t>kraft-43@mail.ru</t>
  </si>
  <si>
    <t>kraft.msk@mirupac.ru</t>
  </si>
  <si>
    <t>krasatoys@yandex.ru</t>
  </si>
  <si>
    <t>krasboat@mail.ru</t>
  </si>
  <si>
    <t>krasivo.24@mail.ru</t>
  </si>
  <si>
    <t>kraskapodolsk@yandex.ru</t>
  </si>
  <si>
    <t>kraski@aridal.ru</t>
  </si>
  <si>
    <t>krasnayamelnitsa@mail.ru</t>
  </si>
  <si>
    <t>krasnodar@euro-lux.ru</t>
  </si>
  <si>
    <t>krasnodar@optimaservis.su</t>
  </si>
  <si>
    <t>krasnodarop@aquastok.ru</t>
  </si>
  <si>
    <t>krasnoe@krasnoselsk.ru</t>
  </si>
  <si>
    <t>krasnyi.byk.moscow@gmail.com</t>
  </si>
  <si>
    <t>krasota@krasotasm.ru</t>
  </si>
  <si>
    <t>krast@kra.st</t>
  </si>
  <si>
    <t>krasulnikova-nm@tsaritsyno.ru</t>
  </si>
  <si>
    <t>krayperil@mail.ru</t>
  </si>
  <si>
    <t>krd.sk.domus@mail.ru</t>
  </si>
  <si>
    <t>kremz@mail.kuban.ru</t>
  </si>
  <si>
    <t>krepost.66@yandex.ru</t>
  </si>
  <si>
    <t>kriolipoliz-avrora@mail.ru</t>
  </si>
  <si>
    <t>krisfati@yandex.ru</t>
  </si>
  <si>
    <t>kristina.smigora@mail.ru</t>
  </si>
  <si>
    <t>kristina@orlansport.ru</t>
  </si>
  <si>
    <t>kristina1606kristina@mail.ru</t>
  </si>
  <si>
    <t>krmsk@real-roll.ru</t>
  </si>
  <si>
    <t>kronova@arkonagro.com</t>
  </si>
  <si>
    <t>krovati.stepashka@gmail.com</t>
  </si>
  <si>
    <t>krovlia2011@mail.ru</t>
  </si>
  <si>
    <t>krsk@bvb-alyans.ru</t>
  </si>
  <si>
    <t>krymholod@yandex.ru</t>
  </si>
  <si>
    <t>ks.lebedeva@zavod-elecon.ru</t>
  </si>
  <si>
    <t>ksenia.k@zp-1.ru</t>
  </si>
  <si>
    <t>ksk43olimp@yandex.ru</t>
  </si>
  <si>
    <t>ksm@sandy.ru</t>
  </si>
  <si>
    <t>ksmsk@ya.ru</t>
  </si>
  <si>
    <t>ksn@azot.net</t>
  </si>
  <si>
    <t>kstk@bk.ru</t>
  </si>
  <si>
    <t>ksudoplast@yandex.ru</t>
  </si>
  <si>
    <t>ksv@librotech.ru</t>
  </si>
  <si>
    <t>ksyzhur@gmail.com</t>
  </si>
  <si>
    <t>ktf-sklad1@mail.ru</t>
  </si>
  <si>
    <t>ktk_kupavna@mail.ru</t>
  </si>
  <si>
    <t>ktm.mail@yandex.ru</t>
  </si>
  <si>
    <t>kto@icecro.ru</t>
  </si>
  <si>
    <t>kts@kmk-honey.ru</t>
  </si>
  <si>
    <t>kubatura_estet@mail.ru</t>
  </si>
  <si>
    <t>kubkorm@bk.ru</t>
  </si>
  <si>
    <t>kugavda@aerosolex.com</t>
  </si>
  <si>
    <t>kuhni2023varvari@gmail.com</t>
  </si>
  <si>
    <t>kuhnyagor@mail.ru</t>
  </si>
  <si>
    <t>kul.resh@yandex.ru</t>
  </si>
  <si>
    <t>kuleshov-70@mail.ru</t>
  </si>
  <si>
    <t>kuleshovads@mir-omsk.ru</t>
  </si>
  <si>
    <t>kulikov@oaoerz.ru</t>
  </si>
  <si>
    <t>kupna@mlevel-print.ru</t>
  </si>
  <si>
    <t>kurbanov@inresheniya.ru</t>
  </si>
  <si>
    <t>kurgan_m1@bk.ru</t>
  </si>
  <si>
    <t>kurnikovsar@mail.ru</t>
  </si>
  <si>
    <t>kurshakov@viskotex.ru</t>
  </si>
  <si>
    <t>kurteev@csvt.ru</t>
  </si>
  <si>
    <t>kuverturr@yandex.ru</t>
  </si>
  <si>
    <t>KuzbassKPF@gmail.com</t>
  </si>
  <si>
    <t>kuzmin.y@vb-led.ru</t>
  </si>
  <si>
    <t>kuzmina@polymatiz.ru</t>
  </si>
  <si>
    <t>kuznecov@domtver.org</t>
  </si>
  <si>
    <t>kuznecova_irina@mail.ru</t>
  </si>
  <si>
    <t>Kuznecova@8empire.ru</t>
  </si>
  <si>
    <t>Kuznetcova@boardcapital.ru</t>
  </si>
  <si>
    <t>kuznetsov@ivan-tea.org</t>
  </si>
  <si>
    <t>kuznetsova.fos@mail.ru</t>
  </si>
  <si>
    <t>kv@ipz18.ru</t>
  </si>
  <si>
    <t>kvant-lmk@mail.ru</t>
  </si>
  <si>
    <t>kvartett@list.ru</t>
  </si>
  <si>
    <t>kvas36@inbox.ru</t>
  </si>
  <si>
    <t>kvasovvadim.rus@gmail.com</t>
  </si>
  <si>
    <t>kvazar.isaeva@gmail.com</t>
  </si>
  <si>
    <t>kvint200750@mail.ru</t>
  </si>
  <si>
    <t>kvm@moslabel.com</t>
  </si>
  <si>
    <t>kvr.su@mail.ru</t>
  </si>
  <si>
    <t>kvvk3@mail.ru</t>
  </si>
  <si>
    <t>kx.perevalovo@mail.ru</t>
  </si>
  <si>
    <t>kxgoronok@mail.ru</t>
  </si>
  <si>
    <t>kymis12@yandex.ru</t>
  </si>
  <si>
    <t>kz@iagro.ru</t>
  </si>
  <si>
    <t>kzd-dobrinya@mail.ru</t>
  </si>
  <si>
    <t>kzg16@list.ru</t>
  </si>
  <si>
    <t>kzmd24@mail.ru</t>
  </si>
  <si>
    <t>kzmisnab@mail.ru</t>
  </si>
  <si>
    <t>kzmp_sbit@mail.ru</t>
  </si>
  <si>
    <t>kzsk_art@mail.ru</t>
  </si>
  <si>
    <t>l-teks@l-teks.ru</t>
  </si>
  <si>
    <t>l.mahmutova@deltaparfum.com</t>
  </si>
  <si>
    <t>l.pavlik@stmwater.ru</t>
  </si>
  <si>
    <t>L9268376513@mail.ru</t>
  </si>
  <si>
    <t>l9609444328@yandex.ru</t>
  </si>
  <si>
    <t>laab@bk.ru</t>
  </si>
  <si>
    <t>Ladi@ladi-group.ru</t>
  </si>
  <si>
    <t>ladya@ladya.ru</t>
  </si>
  <si>
    <t>ladya@shah.kirov.ru</t>
  </si>
  <si>
    <t>lakomstva@internet.ru</t>
  </si>
  <si>
    <t>lakroy@mail.ru</t>
  </si>
  <si>
    <t>lamifor22@yandex.ru</t>
  </si>
  <si>
    <t>lampbox@inbox.ru</t>
  </si>
  <si>
    <t>lanestandart@mail.ru</t>
  </si>
  <si>
    <t>lanitkabel@yandex.ru</t>
  </si>
  <si>
    <t>lao-textil@mail.ru</t>
  </si>
  <si>
    <t>lapafareast@gmail.com</t>
  </si>
  <si>
    <t>lapin@nordica44.ru</t>
  </si>
  <si>
    <t>lapin@peronihoney.ru</t>
  </si>
  <si>
    <t>Lappetti5@mail.ru</t>
  </si>
  <si>
    <t>Lar_s@corsarus.ru</t>
  </si>
  <si>
    <t>largo-group-pr@mail.ru</t>
  </si>
  <si>
    <t>Larisa.pelikan@mail.ru</t>
  </si>
  <si>
    <t>larixcompany.ru@yandex.ru</t>
  </si>
  <si>
    <t>Laronso@rambler.ru</t>
  </si>
  <si>
    <t>Las@fitex.ru</t>
  </si>
  <si>
    <t>lavitatex@yandex.ru</t>
  </si>
  <si>
    <t>Lazareva@lorena-kuhni.ru</t>
  </si>
  <si>
    <t>lazer.wood@mail.ru</t>
  </si>
  <si>
    <t>lazin051@mail.ru</t>
  </si>
  <si>
    <t>lb@lb-electro.ru</t>
  </si>
  <si>
    <t>ld@stk37.ru</t>
  </si>
  <si>
    <t>ldcompany@yandex.ru</t>
  </si>
  <si>
    <t>lde@moslenti.ru</t>
  </si>
  <si>
    <t>ldsivers@gmail.com</t>
  </si>
  <si>
    <t>leadlight1@mail.ru</t>
  </si>
  <si>
    <t>leanza-electro@mail.ru</t>
  </si>
  <si>
    <t>lebedev@termologika.ru</t>
  </si>
  <si>
    <t>lebedev@tri-oreshka.ru</t>
  </si>
  <si>
    <t>lebedeva@votetochai.ru</t>
  </si>
  <si>
    <t>lebelev-msk-info@mail.ru</t>
  </si>
  <si>
    <t>led@sib-altair.ru</t>
  </si>
  <si>
    <t>ledart20@gmail.com</t>
  </si>
  <si>
    <t>lederon88@mail.ru</t>
  </si>
  <si>
    <t>ledreklama25@gmail.com</t>
  </si>
  <si>
    <t>leeonid2002191@mail.ru</t>
  </si>
  <si>
    <t>lefer_msk@mail.ru</t>
  </si>
  <si>
    <t>leg.eremin@rambler.ru</t>
  </si>
  <si>
    <t>leha.zhihlin.1989@mail.ru</t>
  </si>
  <si>
    <t>leiblpak@yandex.ru</t>
  </si>
  <si>
    <t>leisan.mamaeva@inbox.ru</t>
  </si>
  <si>
    <t>leketow342@bsmitao.com</t>
  </si>
  <si>
    <t>leko-22@yandex.ru</t>
  </si>
  <si>
    <t>lel@pflel.ru</t>
  </si>
  <si>
    <t>lena_gaga11@mail.ru</t>
  </si>
  <si>
    <t>lena.serdyukova@gmail.com</t>
  </si>
  <si>
    <t>lena@trekhgorka.ru</t>
  </si>
  <si>
    <t>lenplastpolimer@mail.ru</t>
  </si>
  <si>
    <t>lenprim@mail.ru</t>
  </si>
  <si>
    <t>lenser73@mail.ru</t>
  </si>
  <si>
    <t>lenta-torg@bk.ru</t>
  </si>
  <si>
    <t>lenta1@maska.lentacheb.ru</t>
  </si>
  <si>
    <t>leo-korolev@mail.ru</t>
  </si>
  <si>
    <t>leo73s@mail.ru</t>
  </si>
  <si>
    <t>leoboom-toys@yandex.ru</t>
  </si>
  <si>
    <t>leon_ma@mail.ru</t>
  </si>
  <si>
    <t>leopaket@bk.ru</t>
  </si>
  <si>
    <t>LeRo-star@mail.ru</t>
  </si>
  <si>
    <t>lesenka2255@yandex.ru</t>
  </si>
  <si>
    <t>lesmarketspb@gmail.com</t>
  </si>
  <si>
    <t>lesnikov-vn@apzrotor.ru</t>
  </si>
  <si>
    <t>lesnikova-design@mail.ru</t>
  </si>
  <si>
    <t>lessad@mail.ru</t>
  </si>
  <si>
    <t>letoprint@mail.ru</t>
  </si>
  <si>
    <t>lev@pyrofx.ru</t>
  </si>
  <si>
    <t>levashev@legenda-kzn.ru</t>
  </si>
  <si>
    <t>levenchika.g.casf@gmail.com</t>
  </si>
  <si>
    <t>levshadoorsru@yandex.ru</t>
  </si>
  <si>
    <t>lezer@list.ru</t>
  </si>
  <si>
    <t>lgrupru@yandex.ru</t>
  </si>
  <si>
    <t>lian.pkvolplast@mail.ru</t>
  </si>
  <si>
    <t>liana-roxolana@mail.ru</t>
  </si>
  <si>
    <t>libeesmark@gmail.com</t>
  </si>
  <si>
    <t>liberman@gwire.ru</t>
  </si>
  <si>
    <t>lid@biomedtorg.ru</t>
  </si>
  <si>
    <t>Lider_154@bk.ru</t>
  </si>
  <si>
    <t>lider-info05211960@mail.ru</t>
  </si>
  <si>
    <t>lidiapodoksenova@iceumi.com</t>
  </si>
  <si>
    <t>liepsnele.arctic@mail.ru</t>
  </si>
  <si>
    <t>lift@wellmaks.ru</t>
  </si>
  <si>
    <t>LigaRosta76@yandex.ru</t>
  </si>
  <si>
    <t>light-c@mail.ru</t>
  </si>
  <si>
    <t>lih-keks@mail.ru</t>
  </si>
  <si>
    <t>likanovosibirsk@yandex.ru</t>
  </si>
  <si>
    <t>lilechka111@mail.ru</t>
  </si>
  <si>
    <t>lime888.design@gmail.com</t>
  </si>
  <si>
    <t>Limo_1974dka@mail.ru</t>
  </si>
  <si>
    <t>line_np@mail.ru</t>
  </si>
  <si>
    <t>linedv@yandex.ru</t>
  </si>
  <si>
    <t>linelcollection@yandex.ru</t>
  </si>
  <si>
    <t>linenseason@yandex.ru</t>
  </si>
  <si>
    <t>linumpro@mail.ru</t>
  </si>
  <si>
    <t>lipetsk-okna@list.ru</t>
  </si>
  <si>
    <t>lipstan@mail.ru</t>
  </si>
  <si>
    <t>lirix-ekb@yandex.ru</t>
  </si>
  <si>
    <t>listelli@list.ru</t>
  </si>
  <si>
    <t>livepro2810@gmail.com</t>
  </si>
  <si>
    <t>lizaveta@ligamarket.com</t>
  </si>
  <si>
    <t>lmr.technopack@gmail.com</t>
  </si>
  <si>
    <t>lodki-volga12@mail.ru</t>
  </si>
  <si>
    <t>lodkismr@yandex.ru</t>
  </si>
  <si>
    <t>loftempiredesign@gmail.com</t>
  </si>
  <si>
    <t>logist.prost-resh@yandex.ru</t>
  </si>
  <si>
    <t>logist@forkom23.ru</t>
  </si>
  <si>
    <t>logist@plastrezerv.ru</t>
  </si>
  <si>
    <t>Logistika.reklama@yandex.ru</t>
  </si>
  <si>
    <t>logo.noski22@gmail.com</t>
  </si>
  <si>
    <t>logo@logoshop44.ru</t>
  </si>
  <si>
    <t>lominsales@yandex.ru</t>
  </si>
  <si>
    <t>lomteva@sfbel.ru</t>
  </si>
  <si>
    <t>london@tmvkus.ru</t>
  </si>
  <si>
    <t>lopatina-o@mail.ru</t>
  </si>
  <si>
    <t>lord.river@yandex.ru</t>
  </si>
  <si>
    <t>lorynait@yandex.ru</t>
  </si>
  <si>
    <t>lovelopt74@gmail.com</t>
  </si>
  <si>
    <t>lovetex.store3@yandex.ru</t>
  </si>
  <si>
    <t>lovetosleep@inbox.ru</t>
  </si>
  <si>
    <t>lpmanager@vezdekhod.com</t>
  </si>
  <si>
    <t>lpprof@yandex.ru</t>
  </si>
  <si>
    <t>lubby@lubby.com</t>
  </si>
  <si>
    <t>lubidom777@mail.ru</t>
  </si>
  <si>
    <t>lubov.18.ru@mail.ru</t>
  </si>
  <si>
    <t>luckyfoods@yandex.ru</t>
  </si>
  <si>
    <t>lucy.fisher1555@gmail.com</t>
  </si>
  <si>
    <t>lukinss@mail.ru</t>
  </si>
  <si>
    <t>lulum@inbox.ru</t>
  </si>
  <si>
    <t>lumin@mail.stv.ru</t>
  </si>
  <si>
    <t>Luminka28@yandex.ru</t>
  </si>
  <si>
    <t>luppuled@mail.ru</t>
  </si>
  <si>
    <t>luris55@mail.ru</t>
  </si>
  <si>
    <t>lustar50@mail.ru</t>
  </si>
  <si>
    <t>luxal-msk@yandex.ru</t>
  </si>
  <si>
    <t>lve@lvestelar.ru</t>
  </si>
  <si>
    <t>Lvova@arismo.ru</t>
  </si>
  <si>
    <t>lvu@mari-line.com</t>
  </si>
  <si>
    <t>lyadkov_my@inbox.ru</t>
  </si>
  <si>
    <t>lysenkov72@mail.ru</t>
  </si>
  <si>
    <t>lyubov_shpilevaya@mail.ru</t>
  </si>
  <si>
    <t>lyubov@engn.tech</t>
  </si>
  <si>
    <t>M_art_plast@mail.ru</t>
  </si>
  <si>
    <t>m-deka@yandex.ru</t>
  </si>
  <si>
    <t>m-sale@krimroza.com</t>
  </si>
  <si>
    <t>m-tex.vrn@yandex.ru</t>
  </si>
  <si>
    <t>m.antonov@instrument.ru</t>
  </si>
  <si>
    <t>m.efanova@starmol.ru</t>
  </si>
  <si>
    <t>m.i.orekhova@cascatto.ru</t>
  </si>
  <si>
    <t>m.islam@posuda-mechta.com</t>
  </si>
  <si>
    <t>m.ivasheva@ifoam.su</t>
  </si>
  <si>
    <t>m.l@chronos-group.ru</t>
  </si>
  <si>
    <t>m.lihachev@shliftorg.ru</t>
  </si>
  <si>
    <t>m.muzafyarova@bolsem.ru</t>
  </si>
  <si>
    <t>m.piskovatskaya@kfnpk.ru</t>
  </si>
  <si>
    <t>m.pogidaev@palfinger.com</t>
  </si>
  <si>
    <t>m.pshukov@al-zar.ru</t>
  </si>
  <si>
    <t>m.starkova.88@mail.ru</t>
  </si>
  <si>
    <t>m.svarat@yandex.ru</t>
  </si>
  <si>
    <t>m.ushakova@komkor-f.ru</t>
  </si>
  <si>
    <t>m.zakharenkov@yandex.ru</t>
  </si>
  <si>
    <t>m@euromed-spb.ru</t>
  </si>
  <si>
    <t>m@shveyniydom.ru</t>
  </si>
  <si>
    <t>m@sm-snab.ru</t>
  </si>
  <si>
    <t>m@stalteka.ru</t>
  </si>
  <si>
    <t>m1.arcticlux@yandex.ru</t>
  </si>
  <si>
    <t>m1@hi-g.ru</t>
  </si>
  <si>
    <t>m1@ks154.ru</t>
  </si>
  <si>
    <t>m1@meatgraf.ru</t>
  </si>
  <si>
    <t>m1@rezzon.ru</t>
  </si>
  <si>
    <t>m1@step12.ru</t>
  </si>
  <si>
    <t>m1@woodiandtoys.ru</t>
  </si>
  <si>
    <t>m2@woodlandtoys.ru</t>
  </si>
  <si>
    <t>m23346650@yandex.ru</t>
  </si>
  <si>
    <t>m3427171068@gmail.com</t>
  </si>
  <si>
    <t>m3belmetal@yandex.ru</t>
  </si>
  <si>
    <t>m5@evatrade.ru</t>
  </si>
  <si>
    <t>m6@1-kz.ru</t>
  </si>
  <si>
    <t>m63@alt-3.ru</t>
  </si>
  <si>
    <t>m79019082720@gmail.com</t>
  </si>
  <si>
    <t>m88314291355@gmail.com</t>
  </si>
  <si>
    <t>m9@splast.ru</t>
  </si>
  <si>
    <t>ma.balance.gl@gmail.com</t>
  </si>
  <si>
    <t>maf@0250.ru</t>
  </si>
  <si>
    <t>mag@adept.ru</t>
  </si>
  <si>
    <t>magazin@znatok.ru</t>
  </si>
  <si>
    <t>magazinpack1@yandex.ru</t>
  </si>
  <si>
    <t>magfabrika_sbit@mail.ru</t>
  </si>
  <si>
    <t>magicdom72@gmail.com</t>
  </si>
  <si>
    <t>magos@magos-chistota.ru</t>
  </si>
  <si>
    <t>magrav1@mail.ru</t>
  </si>
  <si>
    <t>maha-81@mail.ru</t>
  </si>
  <si>
    <t>mahalcev@profymill.ru</t>
  </si>
  <si>
    <t>maheev@mail.ru</t>
  </si>
  <si>
    <t>mai@puffgarden.ru</t>
  </si>
  <si>
    <t>mail@1gefest.ru</t>
  </si>
  <si>
    <t>mail@2FLOAT.ru</t>
  </si>
  <si>
    <t>mail@all-mramor.ru</t>
  </si>
  <si>
    <t>mail@alustroy.pro</t>
  </si>
  <si>
    <t>mail@armatehprom.ru</t>
  </si>
  <si>
    <t>mail@artelterem.ru</t>
  </si>
  <si>
    <t>mail@artotoys.ru</t>
  </si>
  <si>
    <t>mail@azovkf.ru</t>
  </si>
  <si>
    <t>mail@bebel.ru</t>
  </si>
  <si>
    <t>mail@beta-kuvert.ru</t>
  </si>
  <si>
    <t>mail@beta-pack.ru</t>
  </si>
  <si>
    <t>mail@bionex.pro</t>
  </si>
  <si>
    <t>mail@bronegilet.ru</t>
  </si>
  <si>
    <t>mail@capsealing.ru</t>
  </si>
  <si>
    <t>mail@courierpack.ru</t>
  </si>
  <si>
    <t>mail@dentist-plus.com</t>
  </si>
  <si>
    <t>mail@diam-almaz.ru</t>
  </si>
  <si>
    <t>mail@drevles.com</t>
  </si>
  <si>
    <t>mail@ei-neon.ru</t>
  </si>
  <si>
    <t>mail@elprivod.ru</t>
  </si>
  <si>
    <t>mail@famfactory.ru</t>
  </si>
  <si>
    <t>mail@finist-milovar.ru</t>
  </si>
  <si>
    <t>mail@garderobsystem.ru</t>
  </si>
  <si>
    <t>mail@gasmash.ru</t>
  </si>
  <si>
    <t>mail@intelpack.ru</t>
  </si>
  <si>
    <t>mail@iskosh.ru</t>
  </si>
  <si>
    <t>mail@juvtek.ru</t>
  </si>
  <si>
    <t>mail@kompot.best</t>
  </si>
  <si>
    <t>mail@kosmotronika.ru</t>
  </si>
  <si>
    <t>mail@leffer.me</t>
  </si>
  <si>
    <t>mail@lenagro.ru</t>
  </si>
  <si>
    <t>mail@levrana.ru</t>
  </si>
  <si>
    <t>mail@magpie.pro</t>
  </si>
  <si>
    <t>mail@maksopt.ru</t>
  </si>
  <si>
    <t>mail@mebelmassiv.ru</t>
  </si>
  <si>
    <t>mail@melitta-uv.ru</t>
  </si>
  <si>
    <t>mail@melwellen.ru</t>
  </si>
  <si>
    <t>mail@mila-wear.ru</t>
  </si>
  <si>
    <t>mail@mk-b.ru</t>
  </si>
  <si>
    <t>mail@newcity33.ru</t>
  </si>
  <si>
    <t>mail@oneself-fabric.ru</t>
  </si>
  <si>
    <t>mail@opora-audio.ru</t>
  </si>
  <si>
    <t>mail@pioner.ru</t>
  </si>
  <si>
    <t>mail@prodamkotel.ru</t>
  </si>
  <si>
    <t>mail@promformaplast.ru</t>
  </si>
  <si>
    <t>mail@raduga21.ru</t>
  </si>
  <si>
    <t>mail@rts-iot.ru</t>
  </si>
  <si>
    <t>mail@runo37.ru</t>
  </si>
  <si>
    <t>mail@severyanka.spb.ru</t>
  </si>
  <si>
    <t>mail@sewingru.ru</t>
  </si>
  <si>
    <t>mail@sheykobox.ru</t>
  </si>
  <si>
    <t>mail@sibshnur.ru</t>
  </si>
  <si>
    <t>mail@silverok.ru</t>
  </si>
  <si>
    <t>mail@spextool.ru</t>
  </si>
  <si>
    <t>mail@stanki-tvm.ru</t>
  </si>
  <si>
    <t>mail@stoneg.ru</t>
  </si>
  <si>
    <t>mail@stroi-svyaz.ru</t>
  </si>
  <si>
    <t>mail@tdok-trade.online</t>
  </si>
  <si>
    <t>mail@tehnior.ru</t>
  </si>
  <si>
    <t>mail@tesoroline.ru</t>
  </si>
  <si>
    <t>mail@topmaf.ru</t>
  </si>
  <si>
    <t>mail@topzonti.ru</t>
  </si>
  <si>
    <t>mail@uch-mebel.com</t>
  </si>
  <si>
    <t>mail@umnichkarus.ru</t>
  </si>
  <si>
    <t>mail@vegastok.com</t>
  </si>
  <si>
    <t>mail@xn---63-edd9e.xn</t>
  </si>
  <si>
    <t>mail@zeus.company</t>
  </si>
  <si>
    <t>mail@zhili-byli.com</t>
  </si>
  <si>
    <t>mail77@mst66.ru</t>
  </si>
  <si>
    <t>mailbox@sleduet.com</t>
  </si>
  <si>
    <t>main@skanbol.ru</t>
  </si>
  <si>
    <t>main@trim-leska.ru</t>
  </si>
  <si>
    <t>majorisrus@gmail.com</t>
  </si>
  <si>
    <t>MAKdaryaSERG@gmail.com</t>
  </si>
  <si>
    <t>makeev@kolomna-milk.ru</t>
  </si>
  <si>
    <t>makhrov@krasnaya.net</t>
  </si>
  <si>
    <t>maksim.suhorukov@mlkit.ru</t>
  </si>
  <si>
    <t>maksim@amlcorp.ru</t>
  </si>
  <si>
    <t>maksim@beavermc.com</t>
  </si>
  <si>
    <t>maksim@gladium.ru</t>
  </si>
  <si>
    <t>maksim0702olga@yandex.ru</t>
  </si>
  <si>
    <t>malekbaby-company@yandex.ru</t>
  </si>
  <si>
    <t>malinin@agro-plast.ru</t>
  </si>
  <si>
    <t>malinkakmv@yandex.ru</t>
  </si>
  <si>
    <t>malisheva@areopag-spb.ru</t>
  </si>
  <si>
    <t>maltmill@yandex.ru</t>
  </si>
  <si>
    <t>malyaviki@yandex.ru</t>
  </si>
  <si>
    <t>mamaline.ru@yandex.ru</t>
  </si>
  <si>
    <t>maminyut@yandex.ru</t>
  </si>
  <si>
    <t>mamontcheese@mail.ru</t>
  </si>
  <si>
    <t>man-artel@yandex.ru</t>
  </si>
  <si>
    <t>man.max2411@gmail.com</t>
  </si>
  <si>
    <t>manader1@sibvelz.ru</t>
  </si>
  <si>
    <t>manager_kub.sladosti@mail.ru</t>
  </si>
  <si>
    <t>manager-2@arkiarkada.ru</t>
  </si>
  <si>
    <t>manager-pro-vkus@mail.ru</t>
  </si>
  <si>
    <t>manager.condy-s@mail.ru</t>
  </si>
  <si>
    <t>manager.kitplus@yandex.ru</t>
  </si>
  <si>
    <t>manager.opt@vatrushkin.ru</t>
  </si>
  <si>
    <t>manager@7-luxe.ru</t>
  </si>
  <si>
    <t>manager@aist-mk.ru</t>
  </si>
  <si>
    <t>manager@artgua.ru</t>
  </si>
  <si>
    <t>manager@artikul-mebel.ru</t>
  </si>
  <si>
    <t>manager@babylilu.ru</t>
  </si>
  <si>
    <t>manager@bacho48.ru</t>
  </si>
  <si>
    <t>manager@baker26.ru</t>
  </si>
  <si>
    <t>manager@bazman.ru</t>
  </si>
  <si>
    <t>manager@bravomebel.info</t>
  </si>
  <si>
    <t>manager@briotti.ru</t>
  </si>
  <si>
    <t>manager@donna-bella.ru</t>
  </si>
  <si>
    <t>manager@effectaspb.ru</t>
  </si>
  <si>
    <t>manager@grana.ru</t>
  </si>
  <si>
    <t>manager@isportbar.com</t>
  </si>
  <si>
    <t>manager@iv-capriz.com</t>
  </si>
  <si>
    <t>manager@ledenfab.com</t>
  </si>
  <si>
    <t>manager@lpu.elamed.com</t>
  </si>
  <si>
    <t>manager@mtd-mebel.ru</t>
  </si>
  <si>
    <t>manager@orientplast.ru</t>
  </si>
  <si>
    <t>manager@pa-scal.ru</t>
  </si>
  <si>
    <t>manager@politexnn.ru</t>
  </si>
  <si>
    <t>manager@powerplast.org</t>
  </si>
  <si>
    <t>manager@province-corp.ru</t>
  </si>
  <si>
    <t>manager@puzanov-group.com</t>
  </si>
  <si>
    <t>manager@relyef-nn.ru</t>
  </si>
  <si>
    <t>manager@rostgarant.ru</t>
  </si>
  <si>
    <t>manager@rostkorm.com</t>
  </si>
  <si>
    <t>manager@stroysandvich.ru</t>
  </si>
  <si>
    <t>manager@stylelest.ru</t>
  </si>
  <si>
    <t>manager@terrusagro.ru</t>
  </si>
  <si>
    <t>manager@torgtd.ru</t>
  </si>
  <si>
    <t>manager@udm-kedr.ru</t>
  </si>
  <si>
    <t>manager@vianahim.com</t>
  </si>
  <si>
    <t>manager02@kosovmz.ru</t>
  </si>
  <si>
    <t>Manager1@alterkmv.ru</t>
  </si>
  <si>
    <t>manager1@eco-nkz.ru</t>
  </si>
  <si>
    <t>Manager1@edatomsk.ru</t>
  </si>
  <si>
    <t>manager1@karelia-granit.com</t>
  </si>
  <si>
    <t>manager1@primatoys.ru</t>
  </si>
  <si>
    <t>manager1@rus-uzory.ru</t>
  </si>
  <si>
    <t>manager1@rusgips.com</t>
  </si>
  <si>
    <t>manager1@tehnokam.com</t>
  </si>
  <si>
    <t>manager1@wowcandle.shop</t>
  </si>
  <si>
    <t>manager11@elitpak.net</t>
  </si>
  <si>
    <t>manager1sinteline@mail.ru</t>
  </si>
  <si>
    <t>manager2@elf-mebel.ru</t>
  </si>
  <si>
    <t>manager2@greenlinemebel.ru</t>
  </si>
  <si>
    <t>manager2@izobiliegroup.ru</t>
  </si>
  <si>
    <t>manager2@m-grup.ru</t>
  </si>
  <si>
    <t>manager2@polimer-g.ru</t>
  </si>
  <si>
    <t>Manager2@sferant.ru</t>
  </si>
  <si>
    <t>manager2@sib-press.ru</t>
  </si>
  <si>
    <t>manager24@intermarket.su</t>
  </si>
  <si>
    <t>manager3@printpick.ru</t>
  </si>
  <si>
    <t>manager3@rubin-time.ru</t>
  </si>
  <si>
    <t>manager3@silflow.ru</t>
  </si>
  <si>
    <t>manager35@intermarket.su</t>
  </si>
  <si>
    <t>manager4-sk@solkrai.ru</t>
  </si>
  <si>
    <t>manager4@moykaoptom.ru</t>
  </si>
  <si>
    <t>manager4@rgw-magazin.ru</t>
  </si>
  <si>
    <t>manager5@btsmebel.ru</t>
  </si>
  <si>
    <t>manager5@sib-product.ru</t>
  </si>
  <si>
    <t>manager592@list.ru</t>
  </si>
  <si>
    <t>manager6@avanrus.ru</t>
  </si>
  <si>
    <t>manager9@ankoli.ru</t>
  </si>
  <si>
    <t>managers4@tfprint.ru</t>
  </si>
  <si>
    <t>mandalaset@yandex.ru</t>
  </si>
  <si>
    <t>mangal-plus@yandex.ru</t>
  </si>
  <si>
    <t>mangal@zavod-palitra.ru</t>
  </si>
  <si>
    <t>manufactura@internet.ru</t>
  </si>
  <si>
    <t>manufakturap@bk.ru</t>
  </si>
  <si>
    <t>mar1@dverisd.com</t>
  </si>
  <si>
    <t>mar2@promatika.ru</t>
  </si>
  <si>
    <t>mara.kostroma@mail.ru</t>
  </si>
  <si>
    <t>marat@sikopora.ru</t>
  </si>
  <si>
    <t>maratg@newel.store</t>
  </si>
  <si>
    <t>marax-klin@mail.ru</t>
  </si>
  <si>
    <t>marchrut64@mail.ru</t>
  </si>
  <si>
    <t>marchuk@packfactory.ru</t>
  </si>
  <si>
    <t>mardoyan@list.ru</t>
  </si>
  <si>
    <t>marei-m@mail.ru</t>
  </si>
  <si>
    <t>marengo.postelnoe@gmail.com</t>
  </si>
  <si>
    <t>margo-kom@yandex.ru</t>
  </si>
  <si>
    <t>mariholod@mari-el.ru</t>
  </si>
  <si>
    <t>mariia529522@gmail.com</t>
  </si>
  <si>
    <t>marikr666@gmail.com</t>
  </si>
  <si>
    <t>marin4ik1986@mail.ru</t>
  </si>
  <si>
    <t>marina.b@topreg.ru</t>
  </si>
  <si>
    <t>marina.komarova854@mail.ru</t>
  </si>
  <si>
    <t>marina.leonova@greif.com</t>
  </si>
  <si>
    <t>marina7431@yandex.ru</t>
  </si>
  <si>
    <t>marinateks@bk.ru</t>
  </si>
  <si>
    <t>marivit.info@gmail.com</t>
  </si>
  <si>
    <t>mariya.s@mariya-print.ru</t>
  </si>
  <si>
    <t>mark@upakov.ru</t>
  </si>
  <si>
    <t>market_vkz@mail.ru</t>
  </si>
  <si>
    <t>market-n@mppa.ru</t>
  </si>
  <si>
    <t>market.argus@mail.ru</t>
  </si>
  <si>
    <t>market.hleb@mail.ru</t>
  </si>
  <si>
    <t>market.ru@lesaffre.com</t>
  </si>
  <si>
    <t>market@2-a.ru</t>
  </si>
  <si>
    <t>market@alektogroup.com</t>
  </si>
  <si>
    <t>market@altaiforest.ru</t>
  </si>
  <si>
    <t>market@altayvagon.ru</t>
  </si>
  <si>
    <t>market@angstrem.ru</t>
  </si>
  <si>
    <t>market@arsenalnpo.ru</t>
  </si>
  <si>
    <t>market@artcraft.ru</t>
  </si>
  <si>
    <t>market@aspromservis.ru</t>
  </si>
  <si>
    <t>market@assort.ru</t>
  </si>
  <si>
    <t>market@balzamcda.ru</t>
  </si>
  <si>
    <t>market@barkraft.ru</t>
  </si>
  <si>
    <t>market@borderlocks.ru</t>
  </si>
  <si>
    <t>market@condra.ru</t>
  </si>
  <si>
    <t>market@dirtoff.ru</t>
  </si>
  <si>
    <t>market@ekspress-garant.ru</t>
  </si>
  <si>
    <t>market@energo-signal.ru</t>
  </si>
  <si>
    <t>market@flim.ru</t>
  </si>
  <si>
    <t>market@galen.su</t>
  </si>
  <si>
    <t>market@grovo.ru</t>
  </si>
  <si>
    <t>market@grpz.ru</t>
  </si>
  <si>
    <t>market@icegroup55.ru</t>
  </si>
  <si>
    <t>market@k-en.ru</t>
  </si>
  <si>
    <t>market@kamtent.ru</t>
  </si>
  <si>
    <t>market@kc.kmtn.ru</t>
  </si>
  <si>
    <t>market@krhz.ru</t>
  </si>
  <si>
    <t>market@kzpm.com</t>
  </si>
  <si>
    <t>market@lfm-maikop.ru</t>
  </si>
  <si>
    <t>market@mpkch.ru</t>
  </si>
  <si>
    <t>market@mtex.ru</t>
  </si>
  <si>
    <t>market@murmantara.ru</t>
  </si>
  <si>
    <t>market@niz.ru</t>
  </si>
  <si>
    <t>market@npokaskad.ru</t>
  </si>
  <si>
    <t>market@nzkm.ru</t>
  </si>
  <si>
    <t>market@olimpciti.ru</t>
  </si>
  <si>
    <t>market@ozm.ru</t>
  </si>
  <si>
    <t>market@pigment.ru</t>
  </si>
  <si>
    <t>market@pkf-impuls.ru</t>
  </si>
  <si>
    <t>market@pkspecmash.ru</t>
  </si>
  <si>
    <t>market@pkvmk.ru</t>
  </si>
  <si>
    <t>market@poleznye-produkty.pro</t>
  </si>
  <si>
    <t>market@proletarets.ru</t>
  </si>
  <si>
    <t>market@protara.ru</t>
  </si>
  <si>
    <t>market@ravikom.ru</t>
  </si>
  <si>
    <t>market@rosteleservice.ru</t>
  </si>
  <si>
    <t>market@sagz.ru</t>
  </si>
  <si>
    <t>market@semm.ru</t>
  </si>
  <si>
    <t>market@serovmp.ru</t>
  </si>
  <si>
    <t>market@setka-kasimov.ru</t>
  </si>
  <si>
    <t>market@sherman-ml.ru</t>
  </si>
  <si>
    <t>market@slavich.ru</t>
  </si>
  <si>
    <t>market@sneget.ru</t>
  </si>
  <si>
    <t>market@spoli.ru</t>
  </si>
  <si>
    <t>market@stefa74.ru</t>
  </si>
  <si>
    <t>market@sudarmen.ru</t>
  </si>
  <si>
    <t>market@td-angora.ru</t>
  </si>
  <si>
    <t>market@tmbsir.ru</t>
  </si>
  <si>
    <t>market@utr.ru</t>
  </si>
  <si>
    <t>market@vargashi.com</t>
  </si>
  <si>
    <t>market@volmeat.ru</t>
  </si>
  <si>
    <t>market@witerra.ru</t>
  </si>
  <si>
    <t>market10@biser-pro.ru</t>
  </si>
  <si>
    <t>market3@nzbh-nsk.ru</t>
  </si>
  <si>
    <t>market5@tdaksel.ru</t>
  </si>
  <si>
    <t>marketer@rsc-groupp.ru</t>
  </si>
  <si>
    <t>marketing-vxz@yandex.ru</t>
  </si>
  <si>
    <t>marketing.kmk@gmail.com</t>
  </si>
  <si>
    <t>marketing@4rm.org</t>
  </si>
  <si>
    <t>marketing@akmalko.ru</t>
  </si>
  <si>
    <t>marketing@allegro.ru</t>
  </si>
  <si>
    <t>marketing@artongas.ru</t>
  </si>
  <si>
    <t>marketing@avto-baki.ru</t>
  </si>
  <si>
    <t>marketing@bmlife.ru</t>
  </si>
  <si>
    <t>marketing@bogomilk.ru</t>
  </si>
  <si>
    <t>marketing@carddex.ru</t>
  </si>
  <si>
    <t>marketing@churilovo-agro.ru</t>
  </si>
  <si>
    <t>marketing@diford.ru</t>
  </si>
  <si>
    <t>marketing@directoria-mebel.ru</t>
  </si>
  <si>
    <t>marketing@dorston.ru</t>
  </si>
  <si>
    <t>marketing@ekoton.com</t>
  </si>
  <si>
    <t>marketing@fabrikauyuta.ru</t>
  </si>
  <si>
    <t>marketing@faicom.ru</t>
  </si>
  <si>
    <t>marketing@feba.ru</t>
  </si>
  <si>
    <t>marketing@fiinn.ru</t>
  </si>
  <si>
    <t>marketing@form-style.eu</t>
  </si>
  <si>
    <t>marketing@gidrolica.ru</t>
  </si>
  <si>
    <t>marketing@gritan.com</t>
  </si>
  <si>
    <t>marketing@guriati.com</t>
  </si>
  <si>
    <t>marketing@hlebspas.ru</t>
  </si>
  <si>
    <t>marketing@innodrive.ru</t>
  </si>
  <si>
    <t>marketing@jasko.ru</t>
  </si>
  <si>
    <t>marketing@kadvi.ru</t>
  </si>
  <si>
    <t>marketing@kempingtur.ru</t>
  </si>
  <si>
    <t>marketing@kof-palitra.ru</t>
  </si>
  <si>
    <t>marketing@Kostagroup.ru</t>
  </si>
  <si>
    <t>marketing@mariice.ru</t>
  </si>
  <si>
    <t>marketing@mebel-domino.com</t>
  </si>
  <si>
    <t>marketing@myasoslavl.ru</t>
  </si>
  <si>
    <t>marketing@nioteks.ru</t>
  </si>
  <si>
    <t>marketing@nppsensor.ru</t>
  </si>
  <si>
    <t>marketing@obuhmk.ru</t>
  </si>
  <si>
    <t>marketing@omelta.com</t>
  </si>
  <si>
    <t>marketing@omks.ru</t>
  </si>
  <si>
    <t>marketing@open-fashion.ru</t>
  </si>
  <si>
    <t>marketing@organich.ru</t>
  </si>
  <si>
    <t>marketing@orientir-sweet.ru</t>
  </si>
  <si>
    <t>marketing@packplace.me</t>
  </si>
  <si>
    <t>marketing@park3d.ru</t>
  </si>
  <si>
    <t>marketing@petrotral.ru</t>
  </si>
  <si>
    <t>marketing@pneumax.ru</t>
  </si>
  <si>
    <t>marketing@ppsnack.ru</t>
  </si>
  <si>
    <t>marketing@pr-pr.ru</t>
  </si>
  <si>
    <t>marketing@roskomstroy.com</t>
  </si>
  <si>
    <t>marketing@rostokelectro.ru</t>
  </si>
  <si>
    <t>marketing@rotado.ru</t>
  </si>
  <si>
    <t>marketing@sadhoztorg.ru</t>
  </si>
  <si>
    <t>marketing@safplast.ru</t>
  </si>
  <si>
    <t>marketing@samopt.ru</t>
  </si>
  <si>
    <t>marketing@sandra-socks.ru</t>
  </si>
  <si>
    <t>marketing@sarosco.com</t>
  </si>
  <si>
    <t>marketing@savalt-group.com</t>
  </si>
  <si>
    <t>marketing@saverhot.ru</t>
  </si>
  <si>
    <t>marketing@shans.pro</t>
  </si>
  <si>
    <t>marketing@shokolat-e.ru</t>
  </si>
  <si>
    <t>marketing@sib-energo.com</t>
  </si>
  <si>
    <t>marketing@sibzsm.ru</t>
  </si>
  <si>
    <t>marketing@skgsk.ru</t>
  </si>
  <si>
    <t>marketing@soemi.ru</t>
  </si>
  <si>
    <t>marketing@spektrpribor.ru</t>
  </si>
  <si>
    <t>marketing@spmk.ru</t>
  </si>
  <si>
    <t>marketing@stanexim.ru</t>
  </si>
  <si>
    <t>marketing@td-elma.ru</t>
  </si>
  <si>
    <t>marketing@tecos.spb.ru</t>
  </si>
  <si>
    <t>marketing@ttreid.ru</t>
  </si>
  <si>
    <t>marketing@volpek.ru</t>
  </si>
  <si>
    <t>marketing@yuamet.com</t>
  </si>
  <si>
    <t>marketing@zaomurom.ru</t>
  </si>
  <si>
    <t>marketing@zavodsat.ru</t>
  </si>
  <si>
    <t>marketing@zbz1.ru</t>
  </si>
  <si>
    <t>marketing@zhivica.pro</t>
  </si>
  <si>
    <t>marketing@zimtochmash.ru</t>
  </si>
  <si>
    <t>marketing@zlatmash.ru</t>
  </si>
  <si>
    <t>marketing1@fregatmd.ru</t>
  </si>
  <si>
    <t>marketing1@gumballs.ru</t>
  </si>
  <si>
    <t>marketing1@politrans.ru</t>
  </si>
  <si>
    <t>marketing1@tdkmaslo.ru</t>
  </si>
  <si>
    <t>marketing2@fox-cub.com</t>
  </si>
  <si>
    <t>marketingbk@container-deshevo.ru</t>
  </si>
  <si>
    <t>marketingmebelarty@yandex.ru</t>
  </si>
  <si>
    <t>marketolog-rth@yandex.ru</t>
  </si>
  <si>
    <t>Marketolog.cheber@yandex.ru</t>
  </si>
  <si>
    <t>marketolog@besteq.ru</t>
  </si>
  <si>
    <t>marketolog@dimohod-prok.ru</t>
  </si>
  <si>
    <t>marketolog@mikrovit.ru</t>
  </si>
  <si>
    <t>marketolog@printotm.ru</t>
  </si>
  <si>
    <t>marketolog@stecter.ru</t>
  </si>
  <si>
    <t>marketolog@tscollection.ru</t>
  </si>
  <si>
    <t>marketplace@csort.ru</t>
  </si>
  <si>
    <t>marketplace@totto-spb.ru</t>
  </si>
  <si>
    <t>marketuralkran@yandex.ru</t>
  </si>
  <si>
    <t>marlex1960@mail.ru</t>
  </si>
  <si>
    <t>marshm@pisem.net</t>
  </si>
  <si>
    <t>martsinkevichru@yandex.ru</t>
  </si>
  <si>
    <t>martynenko@troys-toys.com</t>
  </si>
  <si>
    <t>Martynovich@accholod.ru</t>
  </si>
  <si>
    <t>Marusiastar130-33@mail.ru</t>
  </si>
  <si>
    <t>marval03@yandex.ru</t>
  </si>
  <si>
    <t>marvel@vniiis.su</t>
  </si>
  <si>
    <t>marx@bk.ru</t>
  </si>
  <si>
    <t>marya.golubeva.2000@gmail.com</t>
  </si>
  <si>
    <t>mashkin@metallcleaner.com</t>
  </si>
  <si>
    <t>maskaprognoz@yandex.ru</t>
  </si>
  <si>
    <t>maslo.parus@gmail.com</t>
  </si>
  <si>
    <t>maslodmf@gmail.com</t>
  </si>
  <si>
    <t>maslorep@mail.ru</t>
  </si>
  <si>
    <t>mass-life2@mail.ru</t>
  </si>
  <si>
    <t>master-leco@mail.ru</t>
  </si>
  <si>
    <t>master-m.62@yandex.ru</t>
  </si>
  <si>
    <t>master@izhorec.ru</t>
  </si>
  <si>
    <t>master@samarabarelyef.ru</t>
  </si>
  <si>
    <t>master3737@list.ru</t>
  </si>
  <si>
    <t>mastera-ul@mail.ru</t>
  </si>
  <si>
    <t>mastera.shop@gmail.com</t>
  </si>
  <si>
    <t>masterkam@internet.ru</t>
  </si>
  <si>
    <t>mastermai@yandex.ru</t>
  </si>
  <si>
    <t>masterplast23@yandex.ru</t>
  </si>
  <si>
    <t>mastilit@mail.ru</t>
  </si>
  <si>
    <t>matadoor-2014@mail.ru</t>
  </si>
  <si>
    <t>matikkr@mail.ru</t>
  </si>
  <si>
    <t>matveevagency@gmail.com</t>
  </si>
  <si>
    <t>max70.70@mail.ru</t>
  </si>
  <si>
    <t>maxim@qgarden.ru</t>
  </si>
  <si>
    <t>maxim@teflonirovanie.ru</t>
  </si>
  <si>
    <t>maxsportinfo@yandex.ru</t>
  </si>
  <si>
    <t>maykanz@sura.ru</t>
  </si>
  <si>
    <t>mayorovaolga978@gmail.com</t>
  </si>
  <si>
    <t>mazai.store@yandex.ru</t>
  </si>
  <si>
    <t>mb@uralkrandetal.com</t>
  </si>
  <si>
    <t>mbelov@tkbk.ru</t>
  </si>
  <si>
    <t>mbmgr@mail.ru</t>
  </si>
  <si>
    <t>mbn1989@yandex.ru</t>
  </si>
  <si>
    <t>mc-nop@sarmf.ru</t>
  </si>
  <si>
    <t>mck.invest37@gmail.com</t>
  </si>
  <si>
    <t>mcomm@meatdvor.ru</t>
  </si>
  <si>
    <t>md.group.su@mail.ru</t>
  </si>
  <si>
    <t>md.yahont@mail.ru</t>
  </si>
  <si>
    <t>mdg@mona-spb.ru</t>
  </si>
  <si>
    <t>mdr@vostok-inc.com</t>
  </si>
  <si>
    <t>mdsecretar@romcor.ru</t>
  </si>
  <si>
    <t>me@ateplo.info</t>
  </si>
  <si>
    <t>meal@aventin.moscow</t>
  </si>
  <si>
    <t>meatklm@mail.ru</t>
  </si>
  <si>
    <t>meatrf@mail.ru</t>
  </si>
  <si>
    <t>mebel_spb.1@mail.ru</t>
  </si>
  <si>
    <t>mebel-ante@yandex.ru</t>
  </si>
  <si>
    <t>mebel-forme@inbox.ru</t>
  </si>
  <si>
    <t>mebel.absolyut@mail.ru</t>
  </si>
  <si>
    <t>mebel.lipeck@yandex.ru</t>
  </si>
  <si>
    <t>mebel.mask@yandex.ru</t>
  </si>
  <si>
    <t>mebel.ot.mihaila@plupper.com</t>
  </si>
  <si>
    <t>mebel@mf-rodion.ru</t>
  </si>
  <si>
    <t>mebel7i26@gmail.com</t>
  </si>
  <si>
    <t>mebelland0179@mail.ru</t>
  </si>
  <si>
    <t>mebelmed@inbox.ru</t>
  </si>
  <si>
    <t>mebelnik016@gmail.com</t>
  </si>
  <si>
    <t>mebelnoedvizhenie@gmail.com</t>
  </si>
  <si>
    <t>mebelxasanov@mail.ru</t>
  </si>
  <si>
    <t>mebior.dt@mail.ru</t>
  </si>
  <si>
    <t>mebpro@bk.ru</t>
  </si>
  <si>
    <t>mechelectron@mail.ru</t>
  </si>
  <si>
    <t>med.service@bk.ru</t>
  </si>
  <si>
    <t>medaltai@mail.ru</t>
  </si>
  <si>
    <t>media@vitaliqua.ru</t>
  </si>
  <si>
    <t>medogonka777@mail.ru</t>
  </si>
  <si>
    <t>medok.manya@yandex.ru</t>
  </si>
  <si>
    <t>medovitsa.mk@mail.ru</t>
  </si>
  <si>
    <t>mega-kmv@yandex.ru</t>
  </si>
  <si>
    <t>megapak.sales1@gmail.com</t>
  </si>
  <si>
    <t>meladybishkek@mail.ru</t>
  </si>
  <si>
    <t>melnikov.trk@ya.ru</t>
  </si>
  <si>
    <t>memorialvip@mail.ru</t>
  </si>
  <si>
    <t>men4@inesk.ru</t>
  </si>
  <si>
    <t>merdiger@yandex.ru</t>
  </si>
  <si>
    <t>merega@inbox.ru</t>
  </si>
  <si>
    <t>meridiankrop@rambler.ru</t>
  </si>
  <si>
    <t>merov21@rambler.ru</t>
  </si>
  <si>
    <t>meshki77.ru@yandex.ru</t>
  </si>
  <si>
    <t>meshkinvkz@mail.ru</t>
  </si>
  <si>
    <t>met@kabinet.vl.ru</t>
  </si>
  <si>
    <t>metall-bis-av@mail.ru</t>
  </si>
  <si>
    <t>metall62@internet.ru</t>
  </si>
  <si>
    <t>metallagrosnab@mail.ru</t>
  </si>
  <si>
    <t>Metallograd54@yandex.com</t>
  </si>
  <si>
    <t>metallpro36@yandex.ru</t>
  </si>
  <si>
    <t>MetallToys@yandex.ru</t>
  </si>
  <si>
    <t>meteorinfo@mail.ru</t>
  </si>
  <si>
    <t>metiz@weld.ru</t>
  </si>
  <si>
    <t>metmas72@gmail.com</t>
  </si>
  <si>
    <t>metmebel82@yandex.ru</t>
  </si>
  <si>
    <t>metprom485@gmail.com</t>
  </si>
  <si>
    <t>metser44.a@mail.ru</t>
  </si>
  <si>
    <t>mev@gu-sta.ru</t>
  </si>
  <si>
    <t>mex-annushka@yandex.ru</t>
  </si>
  <si>
    <t>mf_garny@mail.ru</t>
  </si>
  <si>
    <t>mfplant.olga@gmail.com</t>
  </si>
  <si>
    <t>mfrs@inbox.ru</t>
  </si>
  <si>
    <t>mg-4@mg-4.ru</t>
  </si>
  <si>
    <t>mg01@deshevlenenaidesh.ru</t>
  </si>
  <si>
    <t>mgabrilovich@pgsouz.ru</t>
  </si>
  <si>
    <t>mglandovesh@mosmilo.ru</t>
  </si>
  <si>
    <t>mgm@krrut.ru</t>
  </si>
  <si>
    <t>mi@nevamilk.com</t>
  </si>
  <si>
    <t>Miavostok08@gmail.com</t>
  </si>
  <si>
    <t>mihail.sluchko@oos.ru</t>
  </si>
  <si>
    <t>mihailov@chelny-holod.ru</t>
  </si>
  <si>
    <t>mijo228@mail.com</t>
  </si>
  <si>
    <t>mika-balakovo@rambler.ru</t>
  </si>
  <si>
    <t>mikhail.lemmo@mail.ru</t>
  </si>
  <si>
    <t>mila1704@list.ru</t>
  </si>
  <si>
    <t>milan13@kanet.ru</t>
  </si>
  <si>
    <t>milena_i_r@mail.ru</t>
  </si>
  <si>
    <t>milena.buletsa10@mail.ru</t>
  </si>
  <si>
    <t>milita-pack@bk.ru</t>
  </si>
  <si>
    <t>milk@mi.ru</t>
  </si>
  <si>
    <t>milkchild.com@mail.ru</t>
  </si>
  <si>
    <t>milkovo@inbox.ru</t>
  </si>
  <si>
    <t>millefm@mail.ru</t>
  </si>
  <si>
    <t>milotawood@mail.ru</t>
  </si>
  <si>
    <t>mimis@mimistoy.ru</t>
  </si>
  <si>
    <t>mir_maksa@mail.ru</t>
  </si>
  <si>
    <t>mir-anna@inbox.ru</t>
  </si>
  <si>
    <t>mir-igrovyh-komplex@yandex.ru</t>
  </si>
  <si>
    <t>mir1kuzova@yandex.ru</t>
  </si>
  <si>
    <t>Miraagrokrym@mail.ru</t>
  </si>
  <si>
    <t>mirabilis_2014@mail.ru</t>
  </si>
  <si>
    <t>mircatalogov@yandex.ru</t>
  </si>
  <si>
    <t>mircolor@inbox.ru</t>
  </si>
  <si>
    <t>mirkorm.com@yandex.ru</t>
  </si>
  <si>
    <t>mirkrovli56@gmail.com</t>
  </si>
  <si>
    <t>mirkupe-zlat@mail.ru</t>
  </si>
  <si>
    <t>mirmeciya@yandex.ru</t>
  </si>
  <si>
    <t>mirshapok2013@yandex.ru</t>
  </si>
  <si>
    <t>mirsladdv@mail.ru</t>
  </si>
  <si>
    <t>mirsyvenirov@gmail.com</t>
  </si>
  <si>
    <t>mirvkusov.sales@ya.ru</t>
  </si>
  <si>
    <t>mirvodi61@gmail.com</t>
  </si>
  <si>
    <t>misha.menschikov2014@yandex.ru</t>
  </si>
  <si>
    <t>mishina_tu@baltimor-rus.ru</t>
  </si>
  <si>
    <t>mishka-furs-web@yandex.ru</t>
  </si>
  <si>
    <t>miss-lora@inbox.ru</t>
  </si>
  <si>
    <t>mistydekor1@gmail.com</t>
  </si>
  <si>
    <t>mitinviktor1@yandex.ru</t>
  </si>
  <si>
    <t>mivalagro@agrosil.ru</t>
  </si>
  <si>
    <t>mix-trades@mail.ru</t>
  </si>
  <si>
    <t>mixailovsckoe2001@mail.ru</t>
  </si>
  <si>
    <t>mixer-30@yandex.ru</t>
  </si>
  <si>
    <t>mk-com@zarechnoe.ru</t>
  </si>
  <si>
    <t>mk@eko-snek.ru</t>
  </si>
  <si>
    <t>mk@trade-solution.ru</t>
  </si>
  <si>
    <t>mk2@molmash-komplekt.ru</t>
  </si>
  <si>
    <t>mkagat@yandex.ru</t>
  </si>
  <si>
    <t>mkrgntsv@safa-product.ru</t>
  </si>
  <si>
    <t>mlv@texpolimer.ru</t>
  </si>
  <si>
    <t>mlw_my_little_world@mail.ru</t>
  </si>
  <si>
    <t>mma@rubikom.ru</t>
  </si>
  <si>
    <t>mmz@radnet.ru</t>
  </si>
  <si>
    <t>mn3@fibratex.ru</t>
  </si>
  <si>
    <t>mna69@mail.ru</t>
  </si>
  <si>
    <t>mng2@vkysno-krim.ru</t>
  </si>
  <si>
    <t>mo55@mirpehati.ru</t>
  </si>
  <si>
    <t>mobi_info@meb52.com</t>
  </si>
  <si>
    <t>mobilk@sci.smolensk.ru</t>
  </si>
  <si>
    <t>mobilkuhni@gmail.com</t>
  </si>
  <si>
    <t>modanoinc@yandex.ru</t>
  </si>
  <si>
    <t>modno-line@yandex.ru</t>
  </si>
  <si>
    <t>moidetali@internet.ru</t>
  </si>
  <si>
    <t>molchanova-mail@bk.ru</t>
  </si>
  <si>
    <t>molevita6@mail.ru</t>
  </si>
  <si>
    <t>molexpert@yandex.ru</t>
  </si>
  <si>
    <t>molodnalena@yandex.ru</t>
  </si>
  <si>
    <t>molot-npp@yandex.ru</t>
  </si>
  <si>
    <t>moltechno@bk.ru</t>
  </si>
  <si>
    <t>moltechsnab@yandex.ru</t>
  </si>
  <si>
    <t>molzavod.tvorogov@mail.ru</t>
  </si>
  <si>
    <t>monarhorg@mail.ru</t>
  </si>
  <si>
    <t>monitor-ltd@yandex.ru</t>
  </si>
  <si>
    <t>monotexcg@bk.ru</t>
  </si>
  <si>
    <t>mopte1994@gmail.com</t>
  </si>
  <si>
    <t>morem_order@mail.ru</t>
  </si>
  <si>
    <t>mos@dveri.com</t>
  </si>
  <si>
    <t>mosbalaton@mail.ru</t>
  </si>
  <si>
    <t>moschay.3600010@gmail.com</t>
  </si>
  <si>
    <t>moscow.fm18.ru@yandex.ru</t>
  </si>
  <si>
    <t>moscow@gk-nx.ru</t>
  </si>
  <si>
    <t>moscow@pre-lestnica.ru</t>
  </si>
  <si>
    <t>moscow@retextilegroup.ru</t>
  </si>
  <si>
    <t>moscow@rusewing.com</t>
  </si>
  <si>
    <t>moskva@se-met.ru</t>
  </si>
  <si>
    <t>mosya.us@yandex.ru</t>
  </si>
  <si>
    <t>moya.koja@gmail.com</t>
  </si>
  <si>
    <t>moyka58@mail.ru</t>
  </si>
  <si>
    <t>mozarulli@bk.ru</t>
  </si>
  <si>
    <t>mp_polba@mail.ru</t>
  </si>
  <si>
    <t>mp-katantseva@yandex.ru</t>
  </si>
  <si>
    <t>mp-valeriy@mail.ru</t>
  </si>
  <si>
    <t>mp@polymermc.ru</t>
  </si>
  <si>
    <t>mpa.avis@yandex.ru</t>
  </si>
  <si>
    <t>mpa.ss@bk.ru</t>
  </si>
  <si>
    <t>mpkmi@yandex.ru</t>
  </si>
  <si>
    <t>mplast@paketmplast.ru</t>
  </si>
  <si>
    <t>mr.mattress.ru@gmail.com</t>
  </si>
  <si>
    <t>mrkt.vernisag@gmail.com</t>
  </si>
  <si>
    <t>mrmz@gmail.ru</t>
  </si>
  <si>
    <t>mrnp_81@mail.ru</t>
  </si>
  <si>
    <t>ms@goldencasing.com</t>
  </si>
  <si>
    <t>ms7908969@gmail.com</t>
  </si>
  <si>
    <t>msd-dir@mail.ru</t>
  </si>
  <si>
    <t>msedyx@gmail.com</t>
  </si>
  <si>
    <t>msh@buoy.ru</t>
  </si>
  <si>
    <t>mshf@mshf.ru</t>
  </si>
  <si>
    <t>msidea33@mail.ru</t>
  </si>
  <si>
    <t>msk.ervig@gmail.com</t>
  </si>
  <si>
    <t>msk@arma-door.ru</t>
  </si>
  <si>
    <t>msk@lamiera-m.ru</t>
  </si>
  <si>
    <t>msk@msk22.ru</t>
  </si>
  <si>
    <t>msk@nova-tex.ru</t>
  </si>
  <si>
    <t>msk@tamak.ru</t>
  </si>
  <si>
    <t>mskfin15@eneq.ru</t>
  </si>
  <si>
    <t>msm161@yandex.ru</t>
  </si>
  <si>
    <t>mtk_888@mail.ru</t>
  </si>
  <si>
    <t>mtk-sl@slsoz.ru</t>
  </si>
  <si>
    <t>mtoporkova@inbox.ru</t>
  </si>
  <si>
    <t>mts304@bk.ru</t>
  </si>
  <si>
    <t>mudrov@profpolim.ru</t>
  </si>
  <si>
    <t>mukomol@mukomol.com</t>
  </si>
  <si>
    <t>multiblock-dv@yandex.ru</t>
  </si>
  <si>
    <t>muna.gold@mail.ru</t>
  </si>
  <si>
    <t>murmanff@gmail.com</t>
  </si>
  <si>
    <t>murom-mebel-k@yandex.ru</t>
  </si>
  <si>
    <t>murrlandiyatm@yandex.ru</t>
  </si>
  <si>
    <t>murzin@himavto.com</t>
  </si>
  <si>
    <t>mushketov@werge.info</t>
  </si>
  <si>
    <t>mutovinajulija@rambler.ru</t>
  </si>
  <si>
    <t>mv.savchenko@yandex.ru</t>
  </si>
  <si>
    <t>mvk.vitara@yandex.ru</t>
  </si>
  <si>
    <t>mvk77mail@yandex.ru</t>
  </si>
  <si>
    <t>mvsokolov@list.ru</t>
  </si>
  <si>
    <t>mx@slavkarton.ru</t>
  </si>
  <si>
    <t>myakunin@sitsy.ru</t>
  </si>
  <si>
    <t>myaso.spb@yandex.ru</t>
  </si>
  <si>
    <t>myastorg2@mail.ru</t>
  </si>
  <si>
    <t>myfur26@mail.ru</t>
  </si>
  <si>
    <t>myhandsel@gmail.com</t>
  </si>
  <si>
    <t>mylnikova.m@td-lmk.ru</t>
  </si>
  <si>
    <t>n_lipetsk@mail.ru</t>
  </si>
  <si>
    <t>n_nmz@esoo.ru</t>
  </si>
  <si>
    <t>n.a.yagodkina@samsmu.ru</t>
  </si>
  <si>
    <t>N.chindyasov@mail.ru</t>
  </si>
  <si>
    <t>n.eneva@keybox.shop</t>
  </si>
  <si>
    <t>N.Fityo@btcgroup.ru</t>
  </si>
  <si>
    <t>n.geraskina@taipit.ru</t>
  </si>
  <si>
    <t>n.kolmykova@richescrub.ru</t>
  </si>
  <si>
    <t>n.likhovitskiy@horizont-trade.ru</t>
  </si>
  <si>
    <t>n.malinovskaya@torus.com.ru</t>
  </si>
  <si>
    <t>n.petrova@mjolk.ru</t>
  </si>
  <si>
    <t>n.sudarikova@flexmet.ru</t>
  </si>
  <si>
    <t>n.tabakova@t-s.ru</t>
  </si>
  <si>
    <t>n.zaharchenko@td-polymir.ru</t>
  </si>
  <si>
    <t>n@ekspress-kuban.ru</t>
  </si>
  <si>
    <t>na@ekbfp.ru</t>
  </si>
  <si>
    <t>na@russ-vent.ru</t>
  </si>
  <si>
    <t>naaz32@mail.ru</t>
  </si>
  <si>
    <t>naba.k@yandex.ru</t>
  </si>
  <si>
    <t>nadegda-95@mail.ru</t>
  </si>
  <si>
    <t>nadezhniymalysh@yandex.ru</t>
  </si>
  <si>
    <t>nadin@stime.ru</t>
  </si>
  <si>
    <t>nadvlpr76@mail.ru</t>
  </si>
  <si>
    <t>nam@step1.pro</t>
  </si>
  <si>
    <t>namedmitry@yandex.ru</t>
  </si>
  <si>
    <t>namotka@namotka.com</t>
  </si>
  <si>
    <t>naomi_tofu@mail.ru</t>
  </si>
  <si>
    <t>napitki-kavkaza@yandex.ru</t>
  </si>
  <si>
    <t>nara@andeko.ru</t>
  </si>
  <si>
    <t>nargiza-om@proffi-grup.ru</t>
  </si>
  <si>
    <t>nat@bambinizon.ru</t>
  </si>
  <si>
    <t>nata-vkf@rambler.ru</t>
  </si>
  <si>
    <t>nata.magnoliya@gmail.com</t>
  </si>
  <si>
    <t>nata@ekovita.org</t>
  </si>
  <si>
    <t>natalia.lopatkina@mail.ru</t>
  </si>
  <si>
    <t>natalia@fitex.ru</t>
  </si>
  <si>
    <t>natalia@slucia.ru</t>
  </si>
  <si>
    <t>natalij_88_69@mail.ru</t>
  </si>
  <si>
    <t>nataly.katerinicheva@yandex.ru</t>
  </si>
  <si>
    <t>natalya_g@kissdelice.ru</t>
  </si>
  <si>
    <t>natashavikrus@mail.ru</t>
  </si>
  <si>
    <t>natura.plus@bk.ru</t>
  </si>
  <si>
    <t>naturalcasing@yandex.ru</t>
  </si>
  <si>
    <t>naturalproduct.krd@gmail.com</t>
  </si>
  <si>
    <t>nature.h.box@gmail.com</t>
  </si>
  <si>
    <t>naverh@lebo.ru</t>
  </si>
  <si>
    <t>nb@ortorent.ru</t>
  </si>
  <si>
    <t>nb@uws-pipe.ru</t>
  </si>
  <si>
    <t>nbn.sidorova@yandex.ru</t>
  </si>
  <si>
    <t>nbs-krasnoyarsk@yandex.ru</t>
  </si>
  <si>
    <t>nbt-product@nbt1.ru</t>
  </si>
  <si>
    <t>nchabaray@fanagoria.ru</t>
  </si>
  <si>
    <t>ncheplanova@mail.ru</t>
  </si>
  <si>
    <t>nd.sales@yandex.ru</t>
  </si>
  <si>
    <t>ndcomru@yandex.ru</t>
  </si>
  <si>
    <t>ndvolga@mail.ru</t>
  </si>
  <si>
    <t>nedikov@xotpipe.ru</t>
  </si>
  <si>
    <t>neftekhim@llcstavrolen.ru</t>
  </si>
  <si>
    <t>neftemash18@mail.ru</t>
  </si>
  <si>
    <t>neftepromenergo18@gmail.com</t>
  </si>
  <si>
    <t>neooilspb@mail.ru</t>
  </si>
  <si>
    <t>neos.ingredients@mail.ru</t>
  </si>
  <si>
    <t>nerudmaterial1@yandex.ru</t>
  </si>
  <si>
    <t>nesberg.i@pnevmostroy.com</t>
  </si>
  <si>
    <t>nesooo@bk.ru</t>
  </si>
  <si>
    <t>nestapak@mail.ru</t>
  </si>
  <si>
    <t>nevasiz@list.ru</t>
  </si>
  <si>
    <t>nevayarn@mail.ru</t>
  </si>
  <si>
    <t>new-argumentspb@yandex.ru</t>
  </si>
  <si>
    <t>news@arsenal-e.ru</t>
  </si>
  <si>
    <t>newsugarshop3@mail.ru</t>
  </si>
  <si>
    <t>newtech2000@mail.ru</t>
  </si>
  <si>
    <t>nfilippova000@mail.ru</t>
  </si>
  <si>
    <t>nfn-54@mail.ru</t>
  </si>
  <si>
    <t>nfo@ronastone.ru</t>
  </si>
  <si>
    <t>ngz.office@yandex.ru</t>
  </si>
  <si>
    <t>nik999777@mail.ru</t>
  </si>
  <si>
    <t>nikasapkina43@gmail.com</t>
  </si>
  <si>
    <t>nikit2005@yandex.ru</t>
  </si>
  <si>
    <t>nikitina.e@tdkremlin.ru</t>
  </si>
  <si>
    <t>nikitina.olga@volgaselmash.ru</t>
  </si>
  <si>
    <t>nikitina@kontur-97.ru</t>
  </si>
  <si>
    <t>nikolaika-2009@mail.ru</t>
  </si>
  <si>
    <t>nikolapro@bk.ru</t>
  </si>
  <si>
    <t>nikolaytuz56@gmail.com</t>
  </si>
  <si>
    <t>nikoyan040@mail.ru</t>
  </si>
  <si>
    <t>Nimfadv@mail.ru</t>
  </si>
  <si>
    <t>nina@dollymore.com</t>
  </si>
  <si>
    <t>ninelninel7@mail.ru</t>
  </si>
  <si>
    <t>nip@uralfurnitura.ru</t>
  </si>
  <si>
    <t>nitex24@gmail.com</t>
  </si>
  <si>
    <t>nn-decor@mail.ru</t>
  </si>
  <si>
    <t>nn.romek@mail.ru</t>
  </si>
  <si>
    <t>nn@limep.ru</t>
  </si>
  <si>
    <t>nna@refavto.ru</t>
  </si>
  <si>
    <t>noagroup@bk.ru</t>
  </si>
  <si>
    <t>nodira.murotova@mail.ru</t>
  </si>
  <si>
    <t>nomad@nomad-tm.ru</t>
  </si>
  <si>
    <t>nomas@ust.ru</t>
  </si>
  <si>
    <t>nop@malao.ru</t>
  </si>
  <si>
    <t>nord-serviss@mail.ru</t>
  </si>
  <si>
    <t>nord-vest.ermiya@yandex.ru</t>
  </si>
  <si>
    <t>nord51@yandex.ru</t>
  </si>
  <si>
    <t>nordline35@yandex.ru</t>
  </si>
  <si>
    <t>noreply@pakpolimer.ru</t>
  </si>
  <si>
    <t>norma19@list.ru</t>
  </si>
  <si>
    <t>noski-cherst@mail.ru</t>
  </si>
  <si>
    <t>noskikaravan.m@gmail.com</t>
  </si>
  <si>
    <t>noskitlt@yandex.ru</t>
  </si>
  <si>
    <t>nosov@tdalbeta.ru</t>
  </si>
  <si>
    <t>nottimur@mail.ru</t>
  </si>
  <si>
    <t>novacrystall@mail.ru</t>
  </si>
  <si>
    <t>novaproduct@yandex.ru</t>
  </si>
  <si>
    <t>novec-1230@mail.ru</t>
  </si>
  <si>
    <t>novitann@mail.ru</t>
  </si>
  <si>
    <t>novokom.mebel@yandex.ru</t>
  </si>
  <si>
    <t>novvkys@gmail.com</t>
  </si>
  <si>
    <t>Novxk@yandex.ru</t>
  </si>
  <si>
    <t>npetrova@griolfashion.com</t>
  </si>
  <si>
    <t>npk_siberia@mail.ru</t>
  </si>
  <si>
    <t>npk.nnov1@rambler.ru</t>
  </si>
  <si>
    <t>npokrit@yandex.ru</t>
  </si>
  <si>
    <t>nrs@polimer46.ru</t>
  </si>
  <si>
    <t>nsk.frensis@mail.ru</t>
  </si>
  <si>
    <t>nsk.rosspak@gmail.com</t>
  </si>
  <si>
    <t>nsk@fabrika-start.ru</t>
  </si>
  <si>
    <t>nsk@natureda.su</t>
  </si>
  <si>
    <t>nsk00@teaworld.ru</t>
  </si>
  <si>
    <t>ntcredukt@yandex.ru</t>
  </si>
  <si>
    <t>nti-ivanovo@rambler.ru</t>
  </si>
  <si>
    <t>ntzalyans@mail.ru</t>
  </si>
  <si>
    <t>nuki-tuki@bk.ru</t>
  </si>
  <si>
    <t>numicon.ru@yandex.ru</t>
  </si>
  <si>
    <t>nuretdinovdr@led-opt.ru</t>
  </si>
  <si>
    <t>nut.is@mail.ru</t>
  </si>
  <si>
    <t>nvbaron@lavrushino.ru</t>
  </si>
  <si>
    <t>o-agat@mail.ru</t>
  </si>
  <si>
    <t>o-ksk@bk.ru</t>
  </si>
  <si>
    <t>o-vkusnoe-yaico@mail.ru</t>
  </si>
  <si>
    <t>o.greben@visterra.ru</t>
  </si>
  <si>
    <t>o.kozlobaev@agrofeed.ru</t>
  </si>
  <si>
    <t>o.lunina@td-plastic.ru</t>
  </si>
  <si>
    <t>o.okna@mail.ru</t>
  </si>
  <si>
    <t>o.peltek@yandex.ru</t>
  </si>
  <si>
    <t>o.vorob@sanis.ru</t>
  </si>
  <si>
    <t>o.zahvatova@chadolini.ru</t>
  </si>
  <si>
    <t>oaodeneb@inbox.ru</t>
  </si>
  <si>
    <t>oaoktk@tarkom.ru</t>
  </si>
  <si>
    <t>oap@defo.ru</t>
  </si>
  <si>
    <t>obed-etoprosto@yandex.ru</t>
  </si>
  <si>
    <t>obercomp6@gmail.com</t>
  </si>
  <si>
    <t>obivkansk@yandex.ru</t>
  </si>
  <si>
    <t>object@rusdver.net</t>
  </si>
  <si>
    <t>oblaka2022@list.ru</t>
  </si>
  <si>
    <t>oboi1@pcbk.ru</t>
  </si>
  <si>
    <t>obraztsova.alla@rmpr.ru</t>
  </si>
  <si>
    <t>obuv_rostova@mail.ru</t>
  </si>
  <si>
    <t>obuv.r@mail.ru</t>
  </si>
  <si>
    <t>obuv@mega-orthopedic.ru</t>
  </si>
  <si>
    <t>ochakovo.autoparts@yandex.ru</t>
  </si>
  <si>
    <t>od.kruglova@severstalmetiz.com</t>
  </si>
  <si>
    <t>odegdaspec44@mail.ru</t>
  </si>
  <si>
    <t>odetta@odetta.su</t>
  </si>
  <si>
    <t>odubinich@bk.ru</t>
  </si>
  <si>
    <t>oem.newtech@mail.ru</t>
  </si>
  <si>
    <t>office_ek@nmd.ur.ru</t>
  </si>
  <si>
    <t>office_mos@marhatter.ru</t>
  </si>
  <si>
    <t>office_prijmnaya@fabrika-smirnov.ru</t>
  </si>
  <si>
    <t>office-manager@kmz.ru.com</t>
  </si>
  <si>
    <t>office.ekb@tarpak.ru</t>
  </si>
  <si>
    <t>office.kremlina@gmail.com</t>
  </si>
  <si>
    <t>office@abisorganic.ru</t>
  </si>
  <si>
    <t>office@alfakroshka.ru</t>
  </si>
  <si>
    <t>office@altair-agro.ru</t>
  </si>
  <si>
    <t>office@annalizza.ru</t>
  </si>
  <si>
    <t>office@aristo-aps.ru</t>
  </si>
  <si>
    <t>office@arkon43.ru</t>
  </si>
  <si>
    <t>office@baltcomposite.ru</t>
  </si>
  <si>
    <t>office@bioform.ru</t>
  </si>
  <si>
    <t>office@blorey.com</t>
  </si>
  <si>
    <t>office@darfish.ru</t>
  </si>
  <si>
    <t>office@diamondpainting.ru</t>
  </si>
  <si>
    <t>office@ecolon.ru</t>
  </si>
  <si>
    <t>office@elegia-mebel.ru</t>
  </si>
  <si>
    <t>office@eng-eco.ru</t>
  </si>
  <si>
    <t>office@enigmaboat.ru</t>
  </si>
  <si>
    <t>office@epos-nsk.ru</t>
  </si>
  <si>
    <t>office@europlak.ru</t>
  </si>
  <si>
    <t>office@evanty.ru</t>
  </si>
  <si>
    <t>office@everneat.ru</t>
  </si>
  <si>
    <t>office@gkrezident.ru</t>
  </si>
  <si>
    <t>office@igrymka.ru</t>
  </si>
  <si>
    <t>office@io-tech.ru</t>
  </si>
  <si>
    <t>office@keramir.com</t>
  </si>
  <si>
    <t>office@krasarta.ru</t>
  </si>
  <si>
    <t>office@kroshkindom.com</t>
  </si>
  <si>
    <t>office@latelle.ru</t>
  </si>
  <si>
    <t>office@lbminerals-plast.ru</t>
  </si>
  <si>
    <t>office@levin-group.ru</t>
  </si>
  <si>
    <t>office@macley.ru</t>
  </si>
  <si>
    <t>office@malina-mebel.ru</t>
  </si>
  <si>
    <t>office@malinita.ru</t>
  </si>
  <si>
    <t>office@maxima38.ru</t>
  </si>
  <si>
    <t>office@milwhite.ru</t>
  </si>
  <si>
    <t>office@minavla.ru</t>
  </si>
  <si>
    <t>office@mirsant.ru</t>
  </si>
  <si>
    <t>office@molom.ru</t>
  </si>
  <si>
    <t>office@PerilaGlavSnab.ru</t>
  </si>
  <si>
    <t>office@polycompozit.com</t>
  </si>
  <si>
    <t>office@ptk-olimp.ru</t>
  </si>
  <si>
    <t>office@rd-cover.com</t>
  </si>
  <si>
    <t>office@rec3d.ru</t>
  </si>
  <si>
    <t>office@redytoys.ru</t>
  </si>
  <si>
    <t>office@remsintez.com</t>
  </si>
  <si>
    <t>office@rezart54.ru</t>
  </si>
  <si>
    <t>office@royalcane.ru</t>
  </si>
  <si>
    <t>office@rus-pipe.ru</t>
  </si>
  <si>
    <t>office@ruspole.ru</t>
  </si>
  <si>
    <t>office@shumik.ru</t>
  </si>
  <si>
    <t>office@sladoff.ru</t>
  </si>
  <si>
    <t>office@svetpm.ru</t>
  </si>
  <si>
    <t>office@svsz.ru</t>
  </si>
  <si>
    <t>office@td-reks.ru</t>
  </si>
  <si>
    <t>office@tisso.ru</t>
  </si>
  <si>
    <t>office@totalbox.pro</t>
  </si>
  <si>
    <t>office@triolcorp.ru</t>
  </si>
  <si>
    <t>office@uralzsp.ru</t>
  </si>
  <si>
    <t>office@vlest.ru</t>
  </si>
  <si>
    <t>office@yantarnoe.com</t>
  </si>
  <si>
    <t>office2000@inbox.ru</t>
  </si>
  <si>
    <t>official@ipcsa.ru</t>
  </si>
  <si>
    <t>official@muromez.net</t>
  </si>
  <si>
    <t>ofis.RF2010@mail.ru</t>
  </si>
  <si>
    <t>ofiskresla73@yandex.ru</t>
  </si>
  <si>
    <t>ofrelcosmetics@yandex.ru</t>
  </si>
  <si>
    <t>ognepregrada@gmail.com</t>
  </si>
  <si>
    <t>ognevka@inbox.ru</t>
  </si>
  <si>
    <t>oh_lana@mail.ru</t>
  </si>
  <si>
    <t>oil-555@yandex.ru</t>
  </si>
  <si>
    <t>ok@ilina.ru</t>
  </si>
  <si>
    <t>ok@rocotmoto.ru</t>
  </si>
  <si>
    <t>okantovkaprint@ya.ru</t>
  </si>
  <si>
    <t>oklementieva@wildorchid.ru</t>
  </si>
  <si>
    <t>okna.uos@gmail.com</t>
  </si>
  <si>
    <t>okp.zakaz@yandex.ru</t>
  </si>
  <si>
    <t>okpe@mail.ru</t>
  </si>
  <si>
    <t>okpur-ural@mail.ru</t>
  </si>
  <si>
    <t>oksana-obh@mail.ru</t>
  </si>
  <si>
    <t>oksanaboch@yandex.ru</t>
  </si>
  <si>
    <t>oksananemytova@mail.ru</t>
  </si>
  <si>
    <t>oksi57@yandex.ru</t>
  </si>
  <si>
    <t>oktava@scumvon.com</t>
  </si>
  <si>
    <t>okunev@rmet.ru</t>
  </si>
  <si>
    <t>oldi.cheb@gmail.com</t>
  </si>
  <si>
    <t>olecya7@rambler.ru</t>
  </si>
  <si>
    <t>olefabric@gmail.com</t>
  </si>
  <si>
    <t>Oleg.antimenko@unitile.ru</t>
  </si>
  <si>
    <t>olegbuyer2000@gmail.com</t>
  </si>
  <si>
    <t>olegfedotov72@rambler.ru</t>
  </si>
  <si>
    <t>olesya@kingpack.ru</t>
  </si>
  <si>
    <t>olga_pavlovanew@inbox.ru</t>
  </si>
  <si>
    <t>olga-koneks@mail.ru</t>
  </si>
  <si>
    <t>olga-zhdanova2007@yandex.ru</t>
  </si>
  <si>
    <t>olga.chetta@yandex.ru</t>
  </si>
  <si>
    <t>olga.dim@mail.ru</t>
  </si>
  <si>
    <t>olga.gabdelislamova@yandex.ru</t>
  </si>
  <si>
    <t>Olga.Globalpack@ya.ru</t>
  </si>
  <si>
    <t>olga@espera.ru</t>
  </si>
  <si>
    <t>olga@etiketki24.ru</t>
  </si>
  <si>
    <t>olga@glpanel.ru</t>
  </si>
  <si>
    <t>olga@nuvichem.ru</t>
  </si>
  <si>
    <t>olgak792007@yandex.ru</t>
  </si>
  <si>
    <t>olhovikov@iwt-rf.ru</t>
  </si>
  <si>
    <t>olimpiya@mk-olipm.ru</t>
  </si>
  <si>
    <t>Olimpvkusa@mail.ru</t>
  </si>
  <si>
    <t>olkay@mail.ru</t>
  </si>
  <si>
    <t>Olkiteam@yandex.ru</t>
  </si>
  <si>
    <t>olli.glass@mail.ru</t>
  </si>
  <si>
    <t>olmi@sk43.org</t>
  </si>
  <si>
    <t>oltex-ivanovo@mail.ru</t>
  </si>
  <si>
    <t>olun2011@yandex.ru</t>
  </si>
  <si>
    <t>olymp-doors1@mail.ru</t>
  </si>
  <si>
    <t>olympic-boats@yandex.ru</t>
  </si>
  <si>
    <t>om@ijiza.ru</t>
  </si>
  <si>
    <t>om@prodgreen.ru</t>
  </si>
  <si>
    <t>omega.bd@mail.ru</t>
  </si>
  <si>
    <t>omegapersonal@mail.ru</t>
  </si>
  <si>
    <t>omp-grupp@mail.ru</t>
  </si>
  <si>
    <t>Onepeople.spb@gmail.com</t>
  </si>
  <si>
    <t>onereflect.ru@mail.ru</t>
  </si>
  <si>
    <t>oniks-dveri@yandex.ru</t>
  </si>
  <si>
    <t>online.store@dspnd.ru</t>
  </si>
  <si>
    <t>online@mymagicbook.ru</t>
  </si>
  <si>
    <t>online@remo-zavod.ru</t>
  </si>
  <si>
    <t>ooo_alfastroi@inbox.ru</t>
  </si>
  <si>
    <t>ooo_bazilik@mail.ru</t>
  </si>
  <si>
    <t>ooo_pivovar@mail.ru</t>
  </si>
  <si>
    <t>OOO_SGP@list.ru</t>
  </si>
  <si>
    <t>ooo_upmz@mail.ru</t>
  </si>
  <si>
    <t>ooo-akubens@yandex.ru</t>
  </si>
  <si>
    <t>ooo-sanata@mail.ru</t>
  </si>
  <si>
    <t>ooo-zb@mail.ru</t>
  </si>
  <si>
    <t>ooo.ayla@mail.ru</t>
  </si>
  <si>
    <t>ooo.dogus@mail.ru</t>
  </si>
  <si>
    <t>ooo.edem.office@gmail.com</t>
  </si>
  <si>
    <t>ooo.md@list.ru</t>
  </si>
  <si>
    <t>ooo.polimernsk@yandex.ru</t>
  </si>
  <si>
    <t>ooo.rari@yandex.ru</t>
  </si>
  <si>
    <t>ooo.rotor@bk.ru</t>
  </si>
  <si>
    <t>OOO.SMMZ@YANDEX.RU</t>
  </si>
  <si>
    <t>ooo.tk.diks@mail.ru</t>
  </si>
  <si>
    <t>oooamatokin@mail.ru</t>
  </si>
  <si>
    <t>ooodelsot@mail.ru</t>
  </si>
  <si>
    <t>ooohozdvor@mail.ru</t>
  </si>
  <si>
    <t>ooomzavs@ya.ru</t>
  </si>
  <si>
    <t>ooopalma@inbox.ru</t>
  </si>
  <si>
    <t>ooopdk@bk.ru</t>
  </si>
  <si>
    <t>oooproma@bk.ru</t>
  </si>
  <si>
    <t>oooresurs35@mail.ru</t>
  </si>
  <si>
    <t>ooorosinka2007@mail.ru  </t>
  </si>
  <si>
    <t>ooosep.tender@mail.ru</t>
  </si>
  <si>
    <t>ooosnabl@yandex.ru</t>
  </si>
  <si>
    <t>ooosvetovezh@yandex.ru</t>
  </si>
  <si>
    <t>oooviktoria.a@gmail.com</t>
  </si>
  <si>
    <t>oooyukka@list.ru</t>
  </si>
  <si>
    <t>ooozavodrastitelnzrm@yandex.ru</t>
  </si>
  <si>
    <t>op.plastik@yandex.ru</t>
  </si>
  <si>
    <t>op@babynsk.ru</t>
  </si>
  <si>
    <t>op@ivmelang.com</t>
  </si>
  <si>
    <t>op@komp-pol.ru</t>
  </si>
  <si>
    <t>op@pumpcontroller.ru</t>
  </si>
  <si>
    <t>op@stekloteh.com</t>
  </si>
  <si>
    <t>op@td-skazka.ru</t>
  </si>
  <si>
    <t>op@zavod-rele.ru</t>
  </si>
  <si>
    <t>op2@mail.o-m-p.ru</t>
  </si>
  <si>
    <t>op4@euroaccent.ru</t>
  </si>
  <si>
    <t>op4@zavod-eurodetal.ru</t>
  </si>
  <si>
    <t>opchel1@podovinnoe.ru</t>
  </si>
  <si>
    <t>opn-mang@pzkm.ru</t>
  </si>
  <si>
    <t>oporamebel@sibest.ru</t>
  </si>
  <si>
    <t>opr@signal-pack.com</t>
  </si>
  <si>
    <t>opt_abakansky@mail.ru</t>
  </si>
  <si>
    <t>opt-naditex@mail.ru</t>
  </si>
  <si>
    <t>opt-rgu@yandex.ru</t>
  </si>
  <si>
    <t>opt.darya@yandex.ru</t>
  </si>
  <si>
    <t>opt@1001dress.ru</t>
  </si>
  <si>
    <t>OPT@7266.ru</t>
  </si>
  <si>
    <t>opt@alma-cosmetics.ru</t>
  </si>
  <si>
    <t>opt@astola.ru</t>
  </si>
  <si>
    <t>opt@aura-sp.ru</t>
  </si>
  <si>
    <t>opt@cheecorn.ru</t>
  </si>
  <si>
    <t>opt@comfortbaby.com</t>
  </si>
  <si>
    <t>opt@dalpiko.com</t>
  </si>
  <si>
    <t>opt@derevyasher.ru</t>
  </si>
  <si>
    <t>opt@detric.ru</t>
  </si>
  <si>
    <t>opt@emibrand.ru</t>
  </si>
  <si>
    <t>opt@euroluki.ru</t>
  </si>
  <si>
    <t>opt@gliver.ru</t>
  </si>
  <si>
    <t>opt@goodcup.ru</t>
  </si>
  <si>
    <t>opt@happyple.ru</t>
  </si>
  <si>
    <t>opt@hightec.ru</t>
  </si>
  <si>
    <t>opt@ihz3.udmhk.ru</t>
  </si>
  <si>
    <t>opt@ironnori.ru</t>
  </si>
  <si>
    <t>opt@karlet-cosmetics.ru</t>
  </si>
  <si>
    <t>opt@kf-demidov.ru</t>
  </si>
  <si>
    <t>opt@kidzoni.ru</t>
  </si>
  <si>
    <t>opt@koenigsmann.ru</t>
  </si>
  <si>
    <t>opt@kubdel.ru</t>
  </si>
  <si>
    <t>opt@lamzac-king.ru</t>
  </si>
  <si>
    <t>opt@lavco.ru</t>
  </si>
  <si>
    <t>opt@lf-store.ru</t>
  </si>
  <si>
    <t>opt@mama-relax.ru</t>
  </si>
  <si>
    <t>opt@mammysize.ru</t>
  </si>
  <si>
    <t>opt@mche.ru</t>
  </si>
  <si>
    <t>opt@medodegda.ru</t>
  </si>
  <si>
    <t>opt@meh-nakidki.ru</t>
  </si>
  <si>
    <t>opt@molala.ru</t>
  </si>
  <si>
    <t>opt@multidom.ru</t>
  </si>
  <si>
    <t>opt@neoform.su</t>
  </si>
  <si>
    <t>opt@norka.spb.ru</t>
  </si>
  <si>
    <t>opt@novator18.ru</t>
  </si>
  <si>
    <t>opt@oilcoco.ru</t>
  </si>
  <si>
    <t>opt@opadiris.ru</t>
  </si>
  <si>
    <t>opt@opt-forest.ru</t>
  </si>
  <si>
    <t>Opt@ormamebel.ru</t>
  </si>
  <si>
    <t>opt@orthomoda.ru</t>
  </si>
  <si>
    <t>opt@orthosleep.ru</t>
  </si>
  <si>
    <t>opt@orz-design.ru</t>
  </si>
  <si>
    <t>opt@petville.su</t>
  </si>
  <si>
    <t>opt@pkelkitorg.ru</t>
  </si>
  <si>
    <t>opt@policarbonat.info</t>
  </si>
  <si>
    <t>opt@polusgroup.ru</t>
  </si>
  <si>
    <t>opt@primaservis.ru</t>
  </si>
  <si>
    <t>opt@purepassion.ru</t>
  </si>
  <si>
    <t>opt@remar-textil.ru</t>
  </si>
  <si>
    <t>opt@ribomirov.ru</t>
  </si>
  <si>
    <t>opt@rozovsad.ru</t>
  </si>
  <si>
    <t>opt@s-tris.ru</t>
  </si>
  <si>
    <t>opt@siberina.ru</t>
  </si>
  <si>
    <t>opt@skinjestique.ru</t>
  </si>
  <si>
    <t>opt@spaceintan.ru</t>
  </si>
  <si>
    <t>opt@suhpaytorg.ru</t>
  </si>
  <si>
    <t>opt@taste-time.ru</t>
  </si>
  <si>
    <t>opt@theobroma.msk.ru</t>
  </si>
  <si>
    <t>opt@tkanislavtex.ru</t>
  </si>
  <si>
    <t>opt@toysib.ru</t>
  </si>
  <si>
    <t>opt@triymfkrasoti.ru</t>
  </si>
  <si>
    <t>opt@unlex.com</t>
  </si>
  <si>
    <t>opt@urex.ru</t>
  </si>
  <si>
    <t>opt@vitoradveri.ru</t>
  </si>
  <si>
    <t>opt@wefamily.site</t>
  </si>
  <si>
    <t>opt@wein.ru</t>
  </si>
  <si>
    <t>opt@yartcevo.ru</t>
  </si>
  <si>
    <t>opt@zaoelektrotehnika.ru</t>
  </si>
  <si>
    <t>opt@zavodnason.ru</t>
  </si>
  <si>
    <t>opt@zhuravli32.ru</t>
  </si>
  <si>
    <t>opt@zil-component.ru</t>
  </si>
  <si>
    <t>opt16.slavia24@gmail.com</t>
  </si>
  <si>
    <t>opt2@autochehly.com</t>
  </si>
  <si>
    <t>opt3@sanvut.ru</t>
  </si>
  <si>
    <t>opt3@uralmaz74.ru</t>
  </si>
  <si>
    <t>opt8@gt-produkt.ru</t>
  </si>
  <si>
    <t>optivsale@mail.ru</t>
  </si>
  <si>
    <t>optmanager@svetilniki-optom.ru</t>
  </si>
  <si>
    <t>optmarket93@yandex.ru</t>
  </si>
  <si>
    <t>optom.stul@yandex.ru</t>
  </si>
  <si>
    <t>optomlowcost@yandex.ru</t>
  </si>
  <si>
    <t>optrf.sale@gmail.com</t>
  </si>
  <si>
    <t>optrf.sales@gmail.com</t>
  </si>
  <si>
    <t>optsonya@mail.ru</t>
  </si>
  <si>
    <t>optvital@mail.ru</t>
  </si>
  <si>
    <t>optzoo@petfashion-zoo.ru</t>
  </si>
  <si>
    <t>or@altay-seligor.ru</t>
  </si>
  <si>
    <t>or@armoremont.ru</t>
  </si>
  <si>
    <t>or@glassguard.su</t>
  </si>
  <si>
    <t>order.gf1@gmail.com</t>
  </si>
  <si>
    <t>order@alled.ru</t>
  </si>
  <si>
    <t>order@bazaltek.ru</t>
  </si>
  <si>
    <t>order@dveri-kredo.ru</t>
  </si>
  <si>
    <t>order@erciem.ru</t>
  </si>
  <si>
    <t>order@littlefood.ru</t>
  </si>
  <si>
    <t>order@mudshop.ru</t>
  </si>
  <si>
    <t>order@record-fitness.pro</t>
  </si>
  <si>
    <t>order@snugsocks.ru</t>
  </si>
  <si>
    <t>Order@soliton.site</t>
  </si>
  <si>
    <t>order+600298@merapribor.ru</t>
  </si>
  <si>
    <t>orders@abcpack-official.ru</t>
  </si>
  <si>
    <t>orders@bionovashop.ru</t>
  </si>
  <si>
    <t>orders@kerma-nn.ru</t>
  </si>
  <si>
    <t>orenburg@ecoallianz.ru</t>
  </si>
  <si>
    <t>orenkruzeva@mail.ru</t>
  </si>
  <si>
    <t>oretex.products@gmail.com</t>
  </si>
  <si>
    <t>orhp3103@yandex.ru</t>
  </si>
  <si>
    <t>orion-istok@mail.ru</t>
  </si>
  <si>
    <t>orion-pm@mail.ru</t>
  </si>
  <si>
    <t>orloff_j@inbox.ru</t>
  </si>
  <si>
    <t>orlov@matyash.com</t>
  </si>
  <si>
    <t>orm@orelmebel.com</t>
  </si>
  <si>
    <t>ornament35@yandex.ru</t>
  </si>
  <si>
    <t>os@dalenergomash.ru</t>
  </si>
  <si>
    <t>os@g-p12.ru</t>
  </si>
  <si>
    <t>os@neocomposite.ru</t>
  </si>
  <si>
    <t>os@okna-servise.com</t>
  </si>
  <si>
    <t>os@tomtom.group</t>
  </si>
  <si>
    <t>oscmariya@mail.ru</t>
  </si>
  <si>
    <t>oshk@bk.ru</t>
  </si>
  <si>
    <t>osim@truvor.ru</t>
  </si>
  <si>
    <t>osir@noskoff.ru</t>
  </si>
  <si>
    <t>oskata.razvitie@gmail.com</t>
  </si>
  <si>
    <t>oskgroup@yandex.ru</t>
  </si>
  <si>
    <t>osno84@mail.ru</t>
  </si>
  <si>
    <t>otd_sale@mail.ru</t>
  </si>
  <si>
    <t>otdelprodag@ao-globus.ru</t>
  </si>
  <si>
    <t>otdelprodazh23@yandex.ru</t>
  </si>
  <si>
    <t>otdelz@vent-store.ru</t>
  </si>
  <si>
    <t>otlivka@list.ru</t>
  </si>
  <si>
    <t>otrabotkamasla@mail.ru</t>
  </si>
  <si>
    <t>outstand@romana.ru</t>
  </si>
  <si>
    <t>ovcharenko_sv@krypten.ru</t>
  </si>
  <si>
    <t>ove@metcon.ru</t>
  </si>
  <si>
    <t>ovm@teh-line.com</t>
  </si>
  <si>
    <t>ovolly@yandex.ru</t>
  </si>
  <si>
    <t>ovv@pzjudina.ru</t>
  </si>
  <si>
    <t>ozkda@yandex.ru</t>
  </si>
  <si>
    <t>ozn_manager.kov@bk.ru</t>
  </si>
  <si>
    <t>ozn_marketing@bk.ru</t>
  </si>
  <si>
    <t>ozonstudio@yandex.ru</t>
  </si>
  <si>
    <t>p-bio@mail.ru</t>
  </si>
  <si>
    <t>p.andri@mail.ru</t>
  </si>
  <si>
    <t>p.cvetkov@tant-mieux.com</t>
  </si>
  <si>
    <t>p.kors@uv-tech.ru</t>
  </si>
  <si>
    <t>p.poligraf@bk.ru</t>
  </si>
  <si>
    <t>p.ritet@yandex.ru</t>
  </si>
  <si>
    <t>p.sysenko@grandline.ru</t>
  </si>
  <si>
    <t>pag@mmpl.ru</t>
  </si>
  <si>
    <t>pakprom2@list.ru</t>
  </si>
  <si>
    <t>pal@arbolite.pro</t>
  </si>
  <si>
    <t>paleto2.0@bk.ru</t>
  </si>
  <si>
    <t>palitra-kursk@mail.ru</t>
  </si>
  <si>
    <t>PalitraRA@gmail.com</t>
  </si>
  <si>
    <t>palloarina@yandex.ru</t>
  </si>
  <si>
    <t>paloma_2012@bk.ru</t>
  </si>
  <si>
    <t>pan.sukhar@mail.ru</t>
  </si>
  <si>
    <t>paneli100@yandex.ru</t>
  </si>
  <si>
    <t>pankrol.yug@ya.ru</t>
  </si>
  <si>
    <t>papirusaltay@bk.ru</t>
  </si>
  <si>
    <t>pappado@yandex.ru</t>
  </si>
  <si>
    <t>park003@list.ru</t>
  </si>
  <si>
    <t>parket_dub@mail.ru</t>
  </si>
  <si>
    <t>parketlux-prof@yandex.ru</t>
  </si>
  <si>
    <t>parki-urala@mail.ru</t>
  </si>
  <si>
    <t>parnas.spb@mail.ru</t>
  </si>
  <si>
    <t>partner@avelonsport.ru</t>
  </si>
  <si>
    <t>partner@begura.ru</t>
  </si>
  <si>
    <t>partner@bibalina.ru</t>
  </si>
  <si>
    <t>partner@chauzi.ru</t>
  </si>
  <si>
    <t>partner@franch-formshoes.ru</t>
  </si>
  <si>
    <t>partner@jumbi.ru</t>
  </si>
  <si>
    <t>partner@kashtan-mebel.ru</t>
  </si>
  <si>
    <t>partner@kronco.ru</t>
  </si>
  <si>
    <t>partner@mykidzlab.com</t>
  </si>
  <si>
    <t>partner@pmtcollagen.ru</t>
  </si>
  <si>
    <t>partner@spartaequip.com</t>
  </si>
  <si>
    <t>partner@ultra-wod.com</t>
  </si>
  <si>
    <t>partner1-komfort@yandex.ru</t>
  </si>
  <si>
    <t>partners@selfdom.ru</t>
  </si>
  <si>
    <t>partners@veronafactory.ru</t>
  </si>
  <si>
    <t>partnerzsv@yandex.ru</t>
  </si>
  <si>
    <t>pas-oskol@yandex.ru</t>
  </si>
  <si>
    <t>paseka-orenburg1@yandex.ru</t>
  </si>
  <si>
    <t>pashuta.94@mail.ru</t>
  </si>
  <si>
    <t>pastilamanager@mail.ru</t>
  </si>
  <si>
    <t>patriot_market@mail.ru</t>
  </si>
  <si>
    <t>patrushev_prod@fabrika-smirnov.ru</t>
  </si>
  <si>
    <t>pav-knopka@yandex.ru</t>
  </si>
  <si>
    <t>pavel.v615@gmail.com</t>
  </si>
  <si>
    <t>pavelivanov@polymeralliance.ru</t>
  </si>
  <si>
    <t>pavlov-rusmeat@internet.ru</t>
  </si>
  <si>
    <t>pavlov@silazhizni.ru</t>
  </si>
  <si>
    <t>pba@yandex.ru</t>
  </si>
  <si>
    <t>pchelkazolotaja@mail.ru</t>
  </si>
  <si>
    <t>pelastus.moskva@gmail.com</t>
  </si>
  <si>
    <t>pelmenisyzdal@rambler.ru</t>
  </si>
  <si>
    <t>pemi@list.ru</t>
  </si>
  <si>
    <t>penalplomba12@gmail.com</t>
  </si>
  <si>
    <t>penoplast2025@mail.ru</t>
  </si>
  <si>
    <t>penvn@mail.ru</t>
  </si>
  <si>
    <t>penza.pride97@gmail.com</t>
  </si>
  <si>
    <t>peploblock67@mail.ru</t>
  </si>
  <si>
    <t>peplos2002@mail.ru</t>
  </si>
  <si>
    <t>Perchatki-opt@mail.ru</t>
  </si>
  <si>
    <t>peremotka@inbox.ru</t>
  </si>
  <si>
    <t>perm-bees@yandex.ru</t>
  </si>
  <si>
    <t>perminova.n@caleo.ru</t>
  </si>
  <si>
    <t>perum-opt@mail.ru</t>
  </si>
  <si>
    <t>pervenec-vl@mail.ru</t>
  </si>
  <si>
    <t>pestr@dugla.ru</t>
  </si>
  <si>
    <t>peterboatspb@gmail.com</t>
  </si>
  <si>
    <t>peterburg@binagroup.ru</t>
  </si>
  <si>
    <t>Petr@gkmeridian.ru</t>
  </si>
  <si>
    <t>petrosyannyusha@gmail.com</t>
  </si>
  <si>
    <t>petrusenko@ros-sport.ru</t>
  </si>
  <si>
    <t>pf_porolon@mail.ru</t>
  </si>
  <si>
    <t>pfb032@gmail.com</t>
  </si>
  <si>
    <t>pfproducts@yandex.ru</t>
  </si>
  <si>
    <t>pg.etalon@mail.ru</t>
  </si>
  <si>
    <t>pia@vselmash.ru</t>
  </si>
  <si>
    <t>pike.soyus@bk.ru</t>
  </si>
  <si>
    <t>pinkaist15@gmail.com</t>
  </si>
  <si>
    <t>piramida.tk@yandex.ru</t>
  </si>
  <si>
    <t>piskarev@teler.ru</t>
  </si>
  <si>
    <t>pitertorg24@bk.ru</t>
  </si>
  <si>
    <t>pitomnik-kashira@mail.ru</t>
  </si>
  <si>
    <t>pitomnik18@yandex.ru</t>
  </si>
  <si>
    <t>pizzasanmail@yandex.ru</t>
  </si>
  <si>
    <t>pk-akademika@yandex.ru</t>
  </si>
  <si>
    <t>pk-fpvs@mail.ru</t>
  </si>
  <si>
    <t>pk-upak25@mail.ru</t>
  </si>
  <si>
    <t>pk.logikus@yandex.ru</t>
  </si>
  <si>
    <t>pkf-ksk@yandex.ru</t>
  </si>
  <si>
    <t>pkf-protem.marketing@bk.ru</t>
  </si>
  <si>
    <t>pkf.donmaslo@yandex.ru</t>
  </si>
  <si>
    <t>pkf79@pkftsk.ru</t>
  </si>
  <si>
    <t>pkffarfor@yandex.ru</t>
  </si>
  <si>
    <t>pkftitan1@mail.ru</t>
  </si>
  <si>
    <t>pkmegapolis@yandex.ru</t>
  </si>
  <si>
    <t>pkns.sale@gmail.com</t>
  </si>
  <si>
    <t>pkpolimerplast@gmail.com</t>
  </si>
  <si>
    <t>pkprofmedopt@mail.ru</t>
  </si>
  <si>
    <t>pksus@mail.ru</t>
  </si>
  <si>
    <t>pktmt.pereslavl@gmail.com</t>
  </si>
  <si>
    <t>planag@yandex.ru</t>
  </si>
  <si>
    <t>planetaposm@gmail.com</t>
  </si>
  <si>
    <t>plaskina@azsv.ru</t>
  </si>
  <si>
    <t>plast-m-perm@yandex.ru</t>
  </si>
  <si>
    <t>plast-zpi@alternat.ru</t>
  </si>
  <si>
    <t>plast.servis1@mail.ru</t>
  </si>
  <si>
    <t>plast@1marka.ru</t>
  </si>
  <si>
    <t>plasticomsales@gmail.com</t>
  </si>
  <si>
    <t>plastik-avto@yandex.ru</t>
  </si>
  <si>
    <t>plastinina@lori-toys.ru</t>
  </si>
  <si>
    <t>plastkozh@yandex.ru</t>
  </si>
  <si>
    <t>plastmaster@mail.ru</t>
  </si>
  <si>
    <t>playwoods@bk.ru</t>
  </si>
  <si>
    <t>plazma-tehn@mail.ru</t>
  </si>
  <si>
    <t>plazmorez23@yandex.ru</t>
  </si>
  <si>
    <t>plenka@polyairpack.ru</t>
  </si>
  <si>
    <t>plitmaster.krd@mail.ru</t>
  </si>
  <si>
    <t>plmer@mail.ru</t>
  </si>
  <si>
    <t>plnca@yandex.ru</t>
  </si>
  <si>
    <t>plusnin@gulliver.ru</t>
  </si>
  <si>
    <t>plyuskard@yandex.ru</t>
  </si>
  <si>
    <t>plywood-decor@ply-con.ru</t>
  </si>
  <si>
    <t>pm.konstruktor@mail.ru</t>
  </si>
  <si>
    <t>pm3@enas.ru</t>
  </si>
  <si>
    <t>pmi-td@yandex.ru</t>
  </si>
  <si>
    <t>pmm777@yandex.ru</t>
  </si>
  <si>
    <t>pnclinok@gmail.com</t>
  </si>
  <si>
    <t>po-pvl@yandex.ru</t>
  </si>
  <si>
    <t>po@pk-obuv.ru</t>
  </si>
  <si>
    <t>pochivalni@mail.ru</t>
  </si>
  <si>
    <t>podarok@confaelshop.ru</t>
  </si>
  <si>
    <t>poddon5858@gmail.com</t>
  </si>
  <si>
    <t>podgorny@agatpack.ru</t>
  </si>
  <si>
    <t>podushka_toys@mail.ru</t>
  </si>
  <si>
    <t>pogonazh-kdk@yandex.ru</t>
  </si>
  <si>
    <t>pogryztby@yandex.ru</t>
  </si>
  <si>
    <t>pokotorg1@mail.ru</t>
  </si>
  <si>
    <t>pokupkaiko@gmail.com</t>
  </si>
  <si>
    <t>pol-darya@yandex.ru</t>
  </si>
  <si>
    <t>polarstarsmg@yandex.ru</t>
  </si>
  <si>
    <t>poleshikova.avrora@yandex.ru</t>
  </si>
  <si>
    <t>poligraf003@gmail.com</t>
  </si>
  <si>
    <t>polikor_gm@mail.ru</t>
  </si>
  <si>
    <t>polimer2000@bk.ru</t>
  </si>
  <si>
    <t>polimer76@polimer76.ru</t>
  </si>
  <si>
    <t>polinamajer000@mail.ru</t>
  </si>
  <si>
    <t>poliplast-2@udm.net</t>
  </si>
  <si>
    <t>polschkova.o@tsc-luch.ru</t>
  </si>
  <si>
    <t>Polyanskaya_83@mail.ru</t>
  </si>
  <si>
    <t>polygalova@muka.permill.ru</t>
  </si>
  <si>
    <t>polymir2004@mail.ru</t>
  </si>
  <si>
    <t>popov.v@ooo-konditer.ru</t>
  </si>
  <si>
    <t>popov@fasovka.ru</t>
  </si>
  <si>
    <t>post@almadez.ru</t>
  </si>
  <si>
    <t>post@emka.ru</t>
  </si>
  <si>
    <t>post@grouptm.ru</t>
  </si>
  <si>
    <t>post@ramkhp.ru</t>
  </si>
  <si>
    <t>PostamatJacheikiKameryHranenia@yandex.ru</t>
  </si>
  <si>
    <t>postavki_07@rambler.ru</t>
  </si>
  <si>
    <t>postmaster@oaomoloko.ru</t>
  </si>
  <si>
    <t>powerhitsport@rambler.ru</t>
  </si>
  <si>
    <t>pp_tatis@mail.ru</t>
  </si>
  <si>
    <t>ppolitekhprom@mail.ru</t>
  </si>
  <si>
    <t>ppt-tol@yandex.ru</t>
  </si>
  <si>
    <t>ppz.zavod@gmail.com</t>
  </si>
  <si>
    <t>ppz@perm.ru</t>
  </si>
  <si>
    <t>pr_bagrif@mail.ru</t>
  </si>
  <si>
    <t>pr-men@ritual-opt.ru</t>
  </si>
  <si>
    <t>pr@agk-eco.ru</t>
  </si>
  <si>
    <t>pr@bomz.su</t>
  </si>
  <si>
    <t>pr@duray.ru</t>
  </si>
  <si>
    <t>pr@fabrika-strochka.ru</t>
  </si>
  <si>
    <t>pr@iney.spb.ru</t>
  </si>
  <si>
    <t>pr@mbkk.ru</t>
  </si>
  <si>
    <t>pr@nordinkraft.com</t>
  </si>
  <si>
    <t>pr@oktavatula.ru</t>
  </si>
  <si>
    <t>pr@ormed.ru</t>
  </si>
  <si>
    <t>pr@soyanochka.com</t>
  </si>
  <si>
    <t>pr@tandemsnab.ru</t>
  </si>
  <si>
    <t>pr@termoprocess.ru</t>
  </si>
  <si>
    <t>pr@volma.ru</t>
  </si>
  <si>
    <t>pr@z-dama.ru</t>
  </si>
  <si>
    <t>pr@zettek.ru</t>
  </si>
  <si>
    <t>premier-galant@mail.ru</t>
  </si>
  <si>
    <t>premiumrus@rambler.ru</t>
  </si>
  <si>
    <t>Press-center@rusal.ru</t>
  </si>
  <si>
    <t>press-yugru@yandex.ru</t>
  </si>
  <si>
    <t>press@goodcoil.ru</t>
  </si>
  <si>
    <t>pressforma@inbox.ru</t>
  </si>
  <si>
    <t>prestige-fm@yandex.ru</t>
  </si>
  <si>
    <t>prglass@bk.ru</t>
  </si>
  <si>
    <t>pribor@infocentr.ru</t>
  </si>
  <si>
    <t>pribor021@gmail.com</t>
  </si>
  <si>
    <t>price@tsar-mebel.ru</t>
  </si>
  <si>
    <t>pricepresh74@mail.ru</t>
  </si>
  <si>
    <t>prichal-ural@mail.ru</t>
  </si>
  <si>
    <t>priem@swisshome.ru</t>
  </si>
  <si>
    <t>prigorodova97@mail.ru</t>
  </si>
  <si>
    <t>primemeat1@yandex.ru</t>
  </si>
  <si>
    <t>primodado@mail.ru</t>
  </si>
  <si>
    <t>print@studiopack.ru</t>
  </si>
  <si>
    <t>print@yarpk.ru</t>
  </si>
  <si>
    <t>print62@mail.ru</t>
  </si>
  <si>
    <t>printdiz69@gmail.com</t>
  </si>
  <si>
    <t>priorat-spb@yandex.ru</t>
  </si>
  <si>
    <t>prival-shop@mail.ru</t>
  </si>
  <si>
    <t>privet@gustofamily.ru</t>
  </si>
  <si>
    <t>privet@mestnyye.ru</t>
  </si>
  <si>
    <t>prm1@shtorm-its.ru</t>
  </si>
  <si>
    <t>prman@vesna.toys</t>
  </si>
  <si>
    <t>pro-sport@mail.ru</t>
  </si>
  <si>
    <t>pro.ceramiks@mail.ru</t>
  </si>
  <si>
    <t>pro.zerkalo@mail.ru</t>
  </si>
  <si>
    <t>pro@chebpro.com</t>
  </si>
  <si>
    <t>pro@korenovka.com</t>
  </si>
  <si>
    <t>procenko@conditerprom.ru</t>
  </si>
  <si>
    <t>prod@superlestnica.ru</t>
  </si>
  <si>
    <t>prod3@bumko.ru</t>
  </si>
  <si>
    <t>prodaga@max-christmas.ru</t>
  </si>
  <si>
    <t>prodal1@list.ru</t>
  </si>
  <si>
    <t>product@berestoff.ru</t>
  </si>
  <si>
    <t>product2@biopin.ru</t>
  </si>
  <si>
    <t>productcenter-xokkers@yandex.ru</t>
  </si>
  <si>
    <t>productcenter@happy-moms.ru</t>
  </si>
  <si>
    <t>products@rsautomatic.ru</t>
  </si>
  <si>
    <t>prof-krepeg@mail.ru</t>
  </si>
  <si>
    <t>prof-tara@ya.ru</t>
  </si>
  <si>
    <t>profi2m@mail.ru</t>
  </si>
  <si>
    <t>profil37@yandex.ru</t>
  </si>
  <si>
    <t>profit55@bk.ru</t>
  </si>
  <si>
    <t>profsin27@mail.ru</t>
  </si>
  <si>
    <t>profzabor-52@mail.ru</t>
  </si>
  <si>
    <t>prograver.msk@gmail.com</t>
  </si>
  <si>
    <t>progressagro18@mail.ru</t>
  </si>
  <si>
    <t>progylkaposagy@mail.ru</t>
  </si>
  <si>
    <t>prohorov2010@yandex.ru</t>
  </si>
  <si>
    <t>proizvodstvo@gloria-sweet.ru</t>
  </si>
  <si>
    <t>project@1russtal-group.ru</t>
  </si>
  <si>
    <t>project@ferriswheel.ru</t>
  </si>
  <si>
    <t>project@himitex.ru</t>
  </si>
  <si>
    <t>prokatis@internet.ru</t>
  </si>
  <si>
    <t>prokhorow-1300@mail.ru</t>
  </si>
  <si>
    <t>prom_resh@mail.ru</t>
  </si>
  <si>
    <t>prom-servis2008@yandex.ru</t>
  </si>
  <si>
    <t>prom-sistem@mail.ru</t>
  </si>
  <si>
    <t>prom@goodhim.com</t>
  </si>
  <si>
    <t>promalianspack@mail.ru</t>
  </si>
  <si>
    <t>promgrup72@mail.ru</t>
  </si>
  <si>
    <t>promkomplektek@yandex.ru</t>
  </si>
  <si>
    <t>promkurs52@yandex.ru</t>
  </si>
  <si>
    <t>promnastil.msk@mail.ru</t>
  </si>
  <si>
    <t>promo@bpfpro.ru</t>
  </si>
  <si>
    <t>promo@btline-vlg.ru</t>
  </si>
  <si>
    <t>promo@staroruspribor.ru</t>
  </si>
  <si>
    <t>promo@vcs-stroy.ru</t>
  </si>
  <si>
    <t>promo@vesper.ru</t>
  </si>
  <si>
    <t>promsita@sitforce.ru</t>
  </si>
  <si>
    <t>promtcep@bk.ru</t>
  </si>
  <si>
    <t>promtechplast@yandex.ru</t>
  </si>
  <si>
    <t>promtehnoland2@gmail.com</t>
  </si>
  <si>
    <t>promterminal21@bk.ru</t>
  </si>
  <si>
    <t>promticket@mail.ru</t>
  </si>
  <si>
    <t>propp_mebel@mail.ru</t>
  </si>
  <si>
    <t>prostokap@poly-kap.com</t>
  </si>
  <si>
    <t>protasova@nicole-lab.ru</t>
  </si>
  <si>
    <t>provans-clean@mail.ru</t>
  </si>
  <si>
    <t>proximabuh@yandex.ru</t>
  </si>
  <si>
    <t>prozakaz@c-project.ru</t>
  </si>
  <si>
    <t>prr@uptk65.ru</t>
  </si>
  <si>
    <t>prt@promtractor.ru</t>
  </si>
  <si>
    <t>pruzina-centr@yandex.ru</t>
  </si>
  <si>
    <t>ps9552583@yandex.ru</t>
  </si>
  <si>
    <t>psa@wasco-group.ru</t>
  </si>
  <si>
    <t>psimcmet@yandex.ru</t>
  </si>
  <si>
    <t>pskcheese@mail.ru</t>
  </si>
  <si>
    <t>psm-gorunova@mail.ru</t>
  </si>
  <si>
    <t>psy-feya@yandex.ru</t>
  </si>
  <si>
    <t>ptk-dobro@mail.ru</t>
  </si>
  <si>
    <t>ptk54@yandex.ru</t>
  </si>
  <si>
    <t>pulation@mail.ru</t>
  </si>
  <si>
    <t>punchenko@elman.su</t>
  </si>
  <si>
    <t>pvlgroup@yandex.ru</t>
  </si>
  <si>
    <t>pvs@nutsbee.ru</t>
  </si>
  <si>
    <t>pvxshifer9426@mail.ru</t>
  </si>
  <si>
    <t>pz2019@yandex.ru</t>
  </si>
  <si>
    <t>quest888@yandex.ru</t>
  </si>
  <si>
    <t>qwert70@yandex.ru</t>
  </si>
  <si>
    <t>r.kadyrov@mirtrub.ru</t>
  </si>
  <si>
    <t>r.klepikov@free-nrg.ru</t>
  </si>
  <si>
    <t>r.oman@mail.ru</t>
  </si>
  <si>
    <t>r.verba@bg.market</t>
  </si>
  <si>
    <t>r.zaharov@uni-opt.ru</t>
  </si>
  <si>
    <t>ra@laticka.com</t>
  </si>
  <si>
    <t>racio80@mail.ru</t>
  </si>
  <si>
    <t>raduga-fito@yandex.ru</t>
  </si>
  <si>
    <t>radugaigr5499@mail.ru</t>
  </si>
  <si>
    <t>ragg@yandex.ru</t>
  </si>
  <si>
    <t>ragozin@nzto-nk.ru</t>
  </si>
  <si>
    <t>rahcheev.1981@mail.ru</t>
  </si>
  <si>
    <t>rais@kmtn.ru</t>
  </si>
  <si>
    <t>rakita-16@yandex.ru</t>
  </si>
  <si>
    <t>ramilhaliullin87@gmail.com</t>
  </si>
  <si>
    <t>raminspb@bk.ru</t>
  </si>
  <si>
    <t>ran@green-matrix.ru</t>
  </si>
  <si>
    <t>ratnikov.a@yahoo.com</t>
  </si>
  <si>
    <t>ravennadies@gmail.com</t>
  </si>
  <si>
    <t>Ravis.11@mail.ru</t>
  </si>
  <si>
    <t>rawman.biz@gmail.com</t>
  </si>
  <si>
    <t>rawtogosales@gmail.com</t>
  </si>
  <si>
    <t>rbk_rus23@mail.ru</t>
  </si>
  <si>
    <t>RBKT@yandex.ru</t>
  </si>
  <si>
    <t>rbsagro01@gmail.com</t>
  </si>
  <si>
    <t>rd@zavodsa.ru</t>
  </si>
  <si>
    <t>rdt@radiatech.ru</t>
  </si>
  <si>
    <t>re_sales@biplant.ru</t>
  </si>
  <si>
    <t>real.straik@yandex.ru</t>
  </si>
  <si>
    <t>real@oktpf.ru</t>
  </si>
  <si>
    <t>realizacia@melkombinat3.ru</t>
  </si>
  <si>
    <t>reception_ymz@gaz.ru</t>
  </si>
  <si>
    <t>reception@kariguz.ru</t>
  </si>
  <si>
    <t>reception@zavod.fonteaqua.ru</t>
  </si>
  <si>
    <t>redstar@udmnet.ru</t>
  </si>
  <si>
    <t>refer@hlebodar.ru</t>
  </si>
  <si>
    <t>referent@rebq.ru</t>
  </si>
  <si>
    <t>reg@asm-mebel.ru</t>
  </si>
  <si>
    <t>reg@wttx.ru</t>
  </si>
  <si>
    <t>region_2000@inbox.ru</t>
  </si>
  <si>
    <t>region_amk@mail.ru</t>
  </si>
  <si>
    <t>region-m8@sibbalt.com</t>
  </si>
  <si>
    <t>region@akkond.com</t>
  </si>
  <si>
    <t>region@fizra.shop</t>
  </si>
  <si>
    <t>region@golden-candies.ru</t>
  </si>
  <si>
    <t>region@pksmak.ru</t>
  </si>
  <si>
    <t>region@prodmaster.pro</t>
  </si>
  <si>
    <t>region@ukmp.ru</t>
  </si>
  <si>
    <t>region@unitex.ru</t>
  </si>
  <si>
    <t>region@vsemnapolzu.ru</t>
  </si>
  <si>
    <t>region05@gkfavorite.ru</t>
  </si>
  <si>
    <t>regions@sibcola.ru</t>
  </si>
  <si>
    <t>regrubezh@gmail.com</t>
  </si>
  <si>
    <t>rehina96@mail.ru</t>
  </si>
  <si>
    <t>rek-times@bk.ru</t>
  </si>
  <si>
    <t>rekkam@bk.ru</t>
  </si>
  <si>
    <t>reklama@aircutklima.com</t>
  </si>
  <si>
    <t>reklama@azpaley.ru</t>
  </si>
  <si>
    <t>reklama@borvf.ru</t>
  </si>
  <si>
    <t>reklama@evropa-biofarm.ru</t>
  </si>
  <si>
    <t>reklama@hanger-plus.ru</t>
  </si>
  <si>
    <t>reklama@kraftspan.com</t>
  </si>
  <si>
    <t>reklama@mortadel.ru</t>
  </si>
  <si>
    <t>reklama@new-tone.su</t>
  </si>
  <si>
    <t>reklama@penza-radiozavod.ru</t>
  </si>
  <si>
    <t>reklama@plastfactor.ru</t>
  </si>
  <si>
    <t>reklama@plodovoe.com</t>
  </si>
  <si>
    <t>reklama@ruswatch.ru</t>
  </si>
  <si>
    <t>reklama@triadoors.ru</t>
  </si>
  <si>
    <t>rem_and_coil@mail.ru</t>
  </si>
  <si>
    <t>RemesloOkna@yandex.ru</t>
  </si>
  <si>
    <t>remixlinks123@gmail.com</t>
  </si>
  <si>
    <t>rentcapitl@mail.ru</t>
  </si>
  <si>
    <t>repair@email.ru</t>
  </si>
  <si>
    <t>reply@avrora-mebel.ru</t>
  </si>
  <si>
    <t>res-imp@res-imp.ru</t>
  </si>
  <si>
    <t>ressla@yandex.ru</t>
  </si>
  <si>
    <t>restamica@mail.ru</t>
  </si>
  <si>
    <t>resurs-ikra@mail.ru</t>
  </si>
  <si>
    <t>resursplus.om@mail.ru</t>
  </si>
  <si>
    <t>retail@laycy-queen.ru</t>
  </si>
  <si>
    <t>retail@rtrus.ru</t>
  </si>
  <si>
    <t>reucsrug@mail.ru</t>
  </si>
  <si>
    <t>reutov@logosltd.ru</t>
  </si>
  <si>
    <t>revaykin@rambler.ru</t>
  </si>
  <si>
    <t>reviews@steel-master.ru</t>
  </si>
  <si>
    <t>revsa@gmail.com</t>
  </si>
  <si>
    <t>reya@reya.ru</t>
  </si>
  <si>
    <t>rezerv@tg-yar.ru</t>
  </si>
  <si>
    <t>rezka-azarin@yandex.ru</t>
  </si>
  <si>
    <t>rezprom@bk.ru</t>
  </si>
  <si>
    <t>rfz@rfz.ru</t>
  </si>
  <si>
    <t>rialopt@gmail.com</t>
  </si>
  <si>
    <t>Rimchen.ru@yandex.ru</t>
  </si>
  <si>
    <t>rinaamari@yandex.ru</t>
  </si>
  <si>
    <t>RIShubin@bk.ru</t>
  </si>
  <si>
    <t>rita.barannikova.85@mail.ru</t>
  </si>
  <si>
    <t>ritm-2@ritm-2.ru</t>
  </si>
  <si>
    <t>ritterbrand@yandex.ru</t>
  </si>
  <si>
    <t>ritual_nsk@mail.ru</t>
  </si>
  <si>
    <t>ritual.tarasov@mail.ru</t>
  </si>
  <si>
    <t>ritualdzer34@gmail.com</t>
  </si>
  <si>
    <t>ritualrk.lara@yandex.ru</t>
  </si>
  <si>
    <t>riyad69@yandex.ru</t>
  </si>
  <si>
    <t>RK@roskrep.ru</t>
  </si>
  <si>
    <t>rk@svetilniki-opory.com</t>
  </si>
  <si>
    <t>rk@tkf.tula.net</t>
  </si>
  <si>
    <t>rkk@paritettrade.ru</t>
  </si>
  <si>
    <t>rkzavodom@yandex.ru</t>
  </si>
  <si>
    <t>RM-CompanyGroup@yandex.ru</t>
  </si>
  <si>
    <t>rna@standart-prof.ru</t>
  </si>
  <si>
    <t>rnd-mikhail@mail.ru</t>
  </si>
  <si>
    <t>rnv@tradvkusa.ru</t>
  </si>
  <si>
    <t>robert.rasulev@mail.ru</t>
  </si>
  <si>
    <t>rodent-kids@mail.ru</t>
  </si>
  <si>
    <t>rodionova.s.v.v@gmail.com</t>
  </si>
  <si>
    <t>rodniki_penza@mail.ru</t>
  </si>
  <si>
    <t>rodniki_sibiri_opt@mail.ru</t>
  </si>
  <si>
    <t>rodniki@nord-tex.ru</t>
  </si>
  <si>
    <t>rodos-sport@yandex.ru</t>
  </si>
  <si>
    <t>rogerboat.com@mail.ru</t>
  </si>
  <si>
    <t>rogozhev_ap@bzk32.ru</t>
  </si>
  <si>
    <t>roman.dyadyushko@mail.ru</t>
  </si>
  <si>
    <t>roman@alegro-orel.ru</t>
  </si>
  <si>
    <t>roman@pskstal.ru</t>
  </si>
  <si>
    <t>roman@sarapin.ru</t>
  </si>
  <si>
    <t>romankruk@bk.ru</t>
  </si>
  <si>
    <t>romanlaylin@gmail.com</t>
  </si>
  <si>
    <t>romanov@pokrov.ru</t>
  </si>
  <si>
    <t>romanprodaji2017@mail.ru</t>
  </si>
  <si>
    <t>romeooo@bk.ru</t>
  </si>
  <si>
    <t>ronbel@yandex.ru</t>
  </si>
  <si>
    <t>rop@iontoys.ru</t>
  </si>
  <si>
    <t>rop@proekt-t.ru</t>
  </si>
  <si>
    <t>rop@sferaprint.ru</t>
  </si>
  <si>
    <t>ros-zakaz@mail.ru</t>
  </si>
  <si>
    <t>roskosh2011@yandex.ru</t>
  </si>
  <si>
    <t>rosmat147@gmail.com</t>
  </si>
  <si>
    <t>rospenoplast@mail.ru</t>
  </si>
  <si>
    <t>rosproduct@list.ru</t>
  </si>
  <si>
    <t>rosscon.bc@mail.ru</t>
  </si>
  <si>
    <t>rossdepo@list.ru</t>
  </si>
  <si>
    <t>rossianka-retail@mail.ru</t>
  </si>
  <si>
    <t>rost.mebelbravo@gmail.com</t>
  </si>
  <si>
    <t>rostufa@mail.ru</t>
  </si>
  <si>
    <t>rosvetfarmvz@gmail.com</t>
  </si>
  <si>
    <t>roy@mmglass.ru</t>
  </si>
  <si>
    <t>rozacvetov@list.ru</t>
  </si>
  <si>
    <t>rozn@hoops.ru</t>
  </si>
  <si>
    <t>roznica@pionrf.ru</t>
  </si>
  <si>
    <t>roznitsa@svobodako.ru</t>
  </si>
  <si>
    <t>rp_07@mail.ru</t>
  </si>
  <si>
    <t>rpk-most@mail.ru</t>
  </si>
  <si>
    <t>rs.volodina@temafish.ru</t>
  </si>
  <si>
    <t>rsa-93@mail.ru</t>
  </si>
  <si>
    <t>rsn-profi@mail.ru</t>
  </si>
  <si>
    <t>rstk-trade@mail.ru</t>
  </si>
  <si>
    <t>ruarr@mail.ru</t>
  </si>
  <si>
    <t>rubicon_2020@mail.ru</t>
  </si>
  <si>
    <t>ruchidel@bk.ru</t>
  </si>
  <si>
    <t>ruda-met@yandex.ru</t>
  </si>
  <si>
    <t>rumax-dima@yandex.ru</t>
  </si>
  <si>
    <t>runexzakaz@mail.ru</t>
  </si>
  <si>
    <t>runo1991@mail.ru</t>
  </si>
  <si>
    <t>rupackages@gmail.com</t>
  </si>
  <si>
    <t>Rus-shef-produkt@yandex.ru</t>
  </si>
  <si>
    <t>rus@spectronxray.ru</t>
  </si>
  <si>
    <t>rusagrogroup@rusagrogroup.ru</t>
  </si>
  <si>
    <t>ruscotton@mail.ru</t>
  </si>
  <si>
    <t>rusdorznak@mail.ru</t>
  </si>
  <si>
    <t>rusdver-invest@mail.ru</t>
  </si>
  <si>
    <t>rusfish@yandex.ru</t>
  </si>
  <si>
    <t>rushleb-sbyt@mail.ru</t>
  </si>
  <si>
    <t>rusintexsale@mail.ru</t>
  </si>
  <si>
    <t>RusnyakAA@surgutmebel.ru</t>
  </si>
  <si>
    <t>rusocks@list.ru</t>
  </si>
  <si>
    <t>ruson.izh@yandex.ru</t>
  </si>
  <si>
    <t>Russea777@mail.ru</t>
  </si>
  <si>
    <t>russia@1ak200.ru</t>
  </si>
  <si>
    <t>russia@aist-tools.ru</t>
  </si>
  <si>
    <t>russia@hannecard.com</t>
  </si>
  <si>
    <t>russiansilver-os@rambler.ru</t>
  </si>
  <si>
    <t>russiantools@yandex.ru</t>
  </si>
  <si>
    <t>russkayaoliva@mail.ru</t>
  </si>
  <si>
    <t>russkiemagnity@mail.ru</t>
  </si>
  <si>
    <t>russkiymedwed.ekb@yandex.ru</t>
  </si>
  <si>
    <t>russkoedragee@mail.ru</t>
  </si>
  <si>
    <t>rustemmukhametshin@gmail.com</t>
  </si>
  <si>
    <t>ruszastolye@yandex.ru</t>
  </si>
  <si>
    <t>ruzafish@bk.ru</t>
  </si>
  <si>
    <t>ryzhov@svobodarybinsk.ru</t>
  </si>
  <si>
    <t>rznw@mail.ru</t>
  </si>
  <si>
    <t>rzps01@yandex.ru</t>
  </si>
  <si>
    <t>rzsp161@mail.ru</t>
  </si>
  <si>
    <t>s-ftenergo@yandex.ru</t>
  </si>
  <si>
    <t>s-id9955@yandex.ru</t>
  </si>
  <si>
    <t>s-plastic@mail.ru</t>
  </si>
  <si>
    <t>s-silicone@yandex.ru</t>
  </si>
  <si>
    <t>s-tep@ngs.ru</t>
  </si>
  <si>
    <t>s.granova@loncq.ru</t>
  </si>
  <si>
    <t>s.klopova@origamo.org</t>
  </si>
  <si>
    <t>s.kulikov@iraprom.ru</t>
  </si>
  <si>
    <t>s.kuznetsov.90@mail.ru</t>
  </si>
  <si>
    <t>s.mityushov@vanslad.ru</t>
  </si>
  <si>
    <t>s.n.kalyakin@uhmk.ru</t>
  </si>
  <si>
    <t>s.nesterov@tpkresource.ru</t>
  </si>
  <si>
    <t>s.puls37@yandex.ru</t>
  </si>
  <si>
    <t>s.shtepa68@mail.ru</t>
  </si>
  <si>
    <t>s.synchikova@origamo.org</t>
  </si>
  <si>
    <t>s@pkkoncept.ru</t>
  </si>
  <si>
    <t>s5pck@yandex.ru</t>
  </si>
  <si>
    <t>s89083844458@yandex.ru</t>
  </si>
  <si>
    <t>sa.peshkov@altay-skazka.ru</t>
  </si>
  <si>
    <t>sa@pl46.ru</t>
  </si>
  <si>
    <t>saa@ezsk.ru</t>
  </si>
  <si>
    <t>saab.78@mail.ru</t>
  </si>
  <si>
    <t>sachera.av@sachera-med.ru</t>
  </si>
  <si>
    <t>sad@agrosplus.ru</t>
  </si>
  <si>
    <t>sad44@mail.ru</t>
  </si>
  <si>
    <t>sadkova@td-adel.ru</t>
  </si>
  <si>
    <t>sadograd1@yandex.ru</t>
  </si>
  <si>
    <t>sadovayaimperia@yandex.ru</t>
  </si>
  <si>
    <t>safina@geospecpribor.ru</t>
  </si>
  <si>
    <t>safonov-igor2006@yandex.ru</t>
  </si>
  <si>
    <t>safonov@tpe-sebs.ru</t>
  </si>
  <si>
    <t>safoteks@mail.ru</t>
  </si>
  <si>
    <t>safronov7435a@mail.ru</t>
  </si>
  <si>
    <t>safronovich.ke@rrcs.ru</t>
  </si>
  <si>
    <t>saharzavod@bk.ru</t>
  </si>
  <si>
    <t>sahno_aleksandr@mail.ru</t>
  </si>
  <si>
    <t>sai@vector-ap.ru</t>
  </si>
  <si>
    <t>sal@sp-sonic.com</t>
  </si>
  <si>
    <t>salamaha.a@valeria.ru.com</t>
  </si>
  <si>
    <t>salberodecor@rambler.ru</t>
  </si>
  <si>
    <t>sale-astra@list.ru</t>
  </si>
  <si>
    <t>sale-market93@bk.ru</t>
  </si>
  <si>
    <t>sale-okeramika@yandex.ru</t>
  </si>
  <si>
    <t>sale-trk@mail.ru</t>
  </si>
  <si>
    <t>sale-wood@yandex.ru</t>
  </si>
  <si>
    <t>sale.mamamila@mail.ru</t>
  </si>
  <si>
    <t>sale.suho@gmail.com</t>
  </si>
  <si>
    <t>sale.ug@ugrain.ru</t>
  </si>
  <si>
    <t>sale.vmz@mail.ru</t>
  </si>
  <si>
    <t>sale@5gbi.ru</t>
  </si>
  <si>
    <t>sale@aer-tech.ru</t>
  </si>
  <si>
    <t>sale@agro-viton.ru</t>
  </si>
  <si>
    <t>sale@agroekodom.ru</t>
  </si>
  <si>
    <t>sale@aks-zavod.ru</t>
  </si>
  <si>
    <t>sale@altlen.ru</t>
  </si>
  <si>
    <t>sale@amaprod.ru</t>
  </si>
  <si>
    <t>sale@aqua-vait.ru</t>
  </si>
  <si>
    <t>sale@aqualine.ru</t>
  </si>
  <si>
    <t>sale@artiz.ru</t>
  </si>
  <si>
    <t>sale@axelmg.com</t>
  </si>
  <si>
    <t>sale@beauty-teh.ru</t>
  </si>
  <si>
    <t>sale@betulin.com</t>
  </si>
  <si>
    <t>sale@bklpobeda.ru</t>
  </si>
  <si>
    <t>sale@chisto-bistro.com</t>
  </si>
  <si>
    <t>sale@cosmo-tex.ru</t>
  </si>
  <si>
    <t>sale@crystalltd.ru</t>
  </si>
  <si>
    <t>sale@dagomystea.ru</t>
  </si>
  <si>
    <t>sale@dansonia.ru</t>
  </si>
  <si>
    <t>sale@derevostore.ru</t>
  </si>
  <si>
    <t>sale@dimergy.ru</t>
  </si>
  <si>
    <t>sale@dinastika.ru</t>
  </si>
  <si>
    <t>sale@diniya.ru</t>
  </si>
  <si>
    <t>sale@diveevskaya52.ru</t>
  </si>
  <si>
    <t>sale@dobriymed.ru</t>
  </si>
  <si>
    <t>sale@doski-balki.ru</t>
  </si>
  <si>
    <t>sale@drinkandeat.ru</t>
  </si>
  <si>
    <t>sale@eco-cart.ru</t>
  </si>
  <si>
    <t>sale@ecoseti.ru</t>
  </si>
  <si>
    <t>sale@ecotech72.ru</t>
  </si>
  <si>
    <t>sale@elsh.ru</t>
  </si>
  <si>
    <t>sale@escorb.ru</t>
  </si>
  <si>
    <t>sale@exportoil.ru</t>
  </si>
  <si>
    <t>sale@fiverays.ru</t>
  </si>
  <si>
    <t>sale@friga.ru</t>
  </si>
  <si>
    <t>sale@gefest-pro.ru</t>
  </si>
  <si>
    <t>sale@gefest-spb.ru</t>
  </si>
  <si>
    <t>sale@geliodoor.ru</t>
  </si>
  <si>
    <t>sale@gidrolast.com</t>
  </si>
  <si>
    <t>sale@globusi.ru</t>
  </si>
  <si>
    <t>sale@gmdecking.ru</t>
  </si>
  <si>
    <t>sale@gofraprime.ru</t>
  </si>
  <si>
    <t>sale@greenea.ru</t>
  </si>
  <si>
    <t>sale@grenkoff.com</t>
  </si>
  <si>
    <t>sale@grizzly-marine.ru</t>
  </si>
  <si>
    <t>sale@happylama-opt.ru</t>
  </si>
  <si>
    <t>sale@hirvi.spb.ru</t>
  </si>
  <si>
    <t>sale@holzerflexo.com</t>
  </si>
  <si>
    <t>sale@iceumi.com</t>
  </si>
  <si>
    <t>sale@im-v.ru</t>
  </si>
  <si>
    <t>sale@introplastik.ru</t>
  </si>
  <si>
    <t>sale@kancrdk.ru</t>
  </si>
  <si>
    <t>sale@kavkazcabel.ru</t>
  </si>
  <si>
    <t>sale@kosmosmoda.ru</t>
  </si>
  <si>
    <t>sale@leathercompany.ru</t>
  </si>
  <si>
    <t>sale@leratex.ru</t>
  </si>
  <si>
    <t>sale@lider-gk24.ru</t>
  </si>
  <si>
    <t>sale@lomo.ru</t>
  </si>
  <si>
    <t>sale@lpec.ru</t>
  </si>
  <si>
    <t>sale@lpk.su</t>
  </si>
  <si>
    <t>sale@lucky-child.com</t>
  </si>
  <si>
    <t>sale@magniff.ru</t>
  </si>
  <si>
    <t>sale@mirex.ru</t>
  </si>
  <si>
    <t>sale@mirida.com.ru</t>
  </si>
  <si>
    <t>sale@mtpsp.ru</t>
  </si>
  <si>
    <t>sale@myfriday.ru</t>
  </si>
  <si>
    <t>sale@nikastyle.ru</t>
  </si>
  <si>
    <t>sale@opp-obninsk.ru</t>
  </si>
  <si>
    <t>sale@palanzh.ru</t>
  </si>
  <si>
    <t>sale@palermofactory.ru</t>
  </si>
  <si>
    <t>sale@palitra-37.ru</t>
  </si>
  <si>
    <t>sale@paxfactory.com</t>
  </si>
  <si>
    <t>sale@perlite.group</t>
  </si>
  <si>
    <t>sale@petropakspb.ru</t>
  </si>
  <si>
    <t>sale@petropolimer.ru</t>
  </si>
  <si>
    <t>sale@pfaves.ru</t>
  </si>
  <si>
    <t>sale@pk-intellekt.ru</t>
  </si>
  <si>
    <t>sale@porfirit74.ru</t>
  </si>
  <si>
    <t>Sale@ppu-snab.com</t>
  </si>
  <si>
    <t>sale@princessa-textil.ru</t>
  </si>
  <si>
    <t>sale@promocoatings.ru</t>
  </si>
  <si>
    <t>sale@prosigma.ru</t>
  </si>
  <si>
    <t>sale@proteinchef.ru</t>
  </si>
  <si>
    <t>sale@pvdtop1.ru</t>
  </si>
  <si>
    <t>sale@ramzhbi.ru</t>
  </si>
  <si>
    <t>sale@rxt.su</t>
  </si>
  <si>
    <t>sale@s-paneli.ru</t>
  </si>
  <si>
    <t>sale@shades-store.ru</t>
  </si>
  <si>
    <t>sale@shahintex.ru</t>
  </si>
  <si>
    <t>sale@shpatler.ru</t>
  </si>
  <si>
    <t>sale@sibparquet.ru</t>
  </si>
  <si>
    <t>sale@silteco.ru</t>
  </si>
  <si>
    <t>sale@slavkirp.ru</t>
  </si>
  <si>
    <t>sale@speccode.ru</t>
  </si>
  <si>
    <t>sale@stairshop.pro</t>
  </si>
  <si>
    <t>sale@stankodom.ru</t>
  </si>
  <si>
    <t>sale@stellarvvv.ru</t>
  </si>
  <si>
    <t>sale@sterilnost.ru</t>
  </si>
  <si>
    <t>sale@svetal.pro</t>
  </si>
  <si>
    <t>sale@tactilica.ru</t>
  </si>
  <si>
    <t>sale@terem-ekostroy.ru</t>
  </si>
  <si>
    <t>sale@textiloptom.ru</t>
  </si>
  <si>
    <t>sale@tm.mkm.ru</t>
  </si>
  <si>
    <t>sale@toris.ru</t>
  </si>
  <si>
    <t>sale@toys-omsk.ru</t>
  </si>
  <si>
    <t>sale@tricardo.ru</t>
  </si>
  <si>
    <t>sale@tronitek.ru</t>
  </si>
  <si>
    <t>sale@truck-industry.ru</t>
  </si>
  <si>
    <t>sale@uki-kids.ru</t>
  </si>
  <si>
    <t>sale@unikit24.ru</t>
  </si>
  <si>
    <t>sale@upakstore.ru</t>
  </si>
  <si>
    <t>sale@upic-auto.com</t>
  </si>
  <si>
    <t>sale@valeshi.ru</t>
  </si>
  <si>
    <t>sale@vasilisa.ltd</t>
  </si>
  <si>
    <t>sale@wtree.ru</t>
  </si>
  <si>
    <t>sale@zaria.ru</t>
  </si>
  <si>
    <t>sale@zisman.ru</t>
  </si>
  <si>
    <t>sale@zsk-sfera.ru</t>
  </si>
  <si>
    <t>sale@zsm-rekord.ru</t>
  </si>
  <si>
    <t>sale03@altaitrd.ru</t>
  </si>
  <si>
    <t>sale1@avtoteplo.org</t>
  </si>
  <si>
    <t>sale1@ionos.ru</t>
  </si>
  <si>
    <t>sale1@led-sfera.ru</t>
  </si>
  <si>
    <t>sale1@magmattress.ru</t>
  </si>
  <si>
    <t>sale1@obuvemalto.ru</t>
  </si>
  <si>
    <t>sale1@sambyel.ru</t>
  </si>
  <si>
    <t>sale2@mingachev.com</t>
  </si>
  <si>
    <t>sale2@utura96.ru</t>
  </si>
  <si>
    <t>sale3@multiform.spb.ru</t>
  </si>
  <si>
    <t>sale4@helffer.ru</t>
  </si>
  <si>
    <t>sale4@mealbox.pro</t>
  </si>
  <si>
    <t>sale4@triton-pnevmo.ru</t>
  </si>
  <si>
    <t>sale5@amare-moscow.ru</t>
  </si>
  <si>
    <t>sale5@cdfabric.ru</t>
  </si>
  <si>
    <t>sale6@promkat.ru</t>
  </si>
  <si>
    <t>sale6@promsnabr.ru</t>
  </si>
  <si>
    <t>sale7@dialexport.ru</t>
  </si>
  <si>
    <t>sale7@kronvuz.ru</t>
  </si>
  <si>
    <t>salemarket1@citadel-kostroma.ru</t>
  </si>
  <si>
    <t>sales_russia@polair.com</t>
  </si>
  <si>
    <t>Sales-2@amy-tek.ru</t>
  </si>
  <si>
    <t>sales.denis@tarpika.ru</t>
  </si>
  <si>
    <t>sales.diapazon@mystery.ru</t>
  </si>
  <si>
    <t>sales.konkord@mail.ru</t>
  </si>
  <si>
    <t>sales.kr@unw.ru</t>
  </si>
  <si>
    <t>sales.lidertula@mail.ru</t>
  </si>
  <si>
    <t>sales.nashfilter@mail.ru</t>
  </si>
  <si>
    <t>sales.oil@npk-company.ru</t>
  </si>
  <si>
    <t>sales.pemakids@gmail.com</t>
  </si>
  <si>
    <t>sales.pm@forest-groups.ru</t>
  </si>
  <si>
    <t>sales.tehnohim@mail.ru</t>
  </si>
  <si>
    <t>sales@4restcosmetics.ru</t>
  </si>
  <si>
    <t>sales@9a714.ru</t>
  </si>
  <si>
    <t>sales@ablepromo.ru</t>
  </si>
  <si>
    <t>sales@adhesive-m.ru</t>
  </si>
  <si>
    <t>sales@agrigaz.ru</t>
  </si>
  <si>
    <t>sales@agrizmk.ru</t>
  </si>
  <si>
    <t>sales@agronom-sad.ru</t>
  </si>
  <si>
    <t>sales@alatoys-market.ru</t>
  </si>
  <si>
    <t>sales@almondandcoffee.ru</t>
  </si>
  <si>
    <t>sales@altaysnack.ru</t>
  </si>
  <si>
    <t>sales@altnauka.ru</t>
  </si>
  <si>
    <t>sales@anacom.ru</t>
  </si>
  <si>
    <t>sales@analytica-lab.ru</t>
  </si>
  <si>
    <t>sales@andrometa.ru</t>
  </si>
  <si>
    <t>sales@angelyeast.ru</t>
  </si>
  <si>
    <t>sales@antraks.ru</t>
  </si>
  <si>
    <t>sales@aquant.ru</t>
  </si>
  <si>
    <t>sales@aqwater.ru</t>
  </si>
  <si>
    <t>sales@ariateks.ru</t>
  </si>
  <si>
    <t>sales@armor-gr.ru</t>
  </si>
  <si>
    <t>sales@artparks.ru</t>
  </si>
  <si>
    <t>sales@askell.ru</t>
  </si>
  <si>
    <t>sales@asrtbarnwood.ru</t>
  </si>
  <si>
    <t>sales@astraform.ru</t>
  </si>
  <si>
    <t>sales@astrann.ru</t>
  </si>
  <si>
    <t>sales@avangard-cx.ru</t>
  </si>
  <si>
    <t>sales@avantage38.ru</t>
  </si>
  <si>
    <t>sales@baisad.ru</t>
  </si>
  <si>
    <t>sales@baraka-vkus.ru</t>
  </si>
  <si>
    <t>sales@beaversbro.ru</t>
  </si>
  <si>
    <t>sales@belamos.ru</t>
  </si>
  <si>
    <t>sales@belayamalva.ru</t>
  </si>
  <si>
    <t>sales@beni.ru</t>
  </si>
  <si>
    <t>sales@bestmeal25.ru</t>
  </si>
  <si>
    <t>sales@betonconstruct.ru</t>
  </si>
  <si>
    <t>sales@bezrk.ru</t>
  </si>
  <si>
    <t>sales@bft.market</t>
  </si>
  <si>
    <t>sales@big-bag.ru</t>
  </si>
  <si>
    <t>sales@bioformel.ru</t>
  </si>
  <si>
    <t>sales@bor-t.ru</t>
  </si>
  <si>
    <t>sales@brmk.ru</t>
  </si>
  <si>
    <t>sales@buckle.ru</t>
  </si>
  <si>
    <t>sales@candleson.ru</t>
  </si>
  <si>
    <t>sales@checkyahead.com</t>
  </si>
  <si>
    <t>sales@chepe.ru</t>
  </si>
  <si>
    <t>Sales@color-kit.ru</t>
  </si>
  <si>
    <t>sales@con-sys.ru</t>
  </si>
  <si>
    <t>sales@coolbrs.com</t>
  </si>
  <si>
    <t>sales@custom-cosmetic.ru</t>
  </si>
  <si>
    <t>sales@dcrystal.ru</t>
  </si>
  <si>
    <t>sales@deltapk.ru</t>
  </si>
  <si>
    <t>sales@domusmia.ru</t>
  </si>
  <si>
    <t>sales@e-indep.ru</t>
  </si>
  <si>
    <t>sales@eastbrew.com</t>
  </si>
  <si>
    <t>sales@elny.ru</t>
  </si>
  <si>
    <t>sales@ets-city.com</t>
  </si>
  <si>
    <t>sales@euro-line.ru</t>
  </si>
  <si>
    <t>sales@euroconveyor.ru</t>
  </si>
  <si>
    <t>sales@evropa-biofarm.ru</t>
  </si>
  <si>
    <t>sales@farachap.ru</t>
  </si>
  <si>
    <t>sales@festiva.ru</t>
  </si>
  <si>
    <t>sales@fire-fly24.com</t>
  </si>
  <si>
    <t>sales@fitocom-altai.ru</t>
  </si>
  <si>
    <t>sales@flaran.ru</t>
  </si>
  <si>
    <t>sales@formacia.ru</t>
  </si>
  <si>
    <t>sales@geneticlab.ru</t>
  </si>
  <si>
    <t>sales@geosinstroi.com</t>
  </si>
  <si>
    <t>sales@ghsz.ru</t>
  </si>
  <si>
    <t>sales@goldenan.ru</t>
  </si>
  <si>
    <t>sales@gydrogenius.ru</t>
  </si>
  <si>
    <t>sales@halle-house.ru</t>
  </si>
  <si>
    <t>sales@hatber.ru</t>
  </si>
  <si>
    <t>sales@hrumhrustych.ru</t>
  </si>
  <si>
    <t>sales@ht.plus</t>
  </si>
  <si>
    <t>sales@hunterboat.ru</t>
  </si>
  <si>
    <t>sales@ilandcompany.ru</t>
  </si>
  <si>
    <t>sales@ilemal.ru</t>
  </si>
  <si>
    <t>sales@imperial-mf.ru</t>
  </si>
  <si>
    <t>sales@incab.ru</t>
  </si>
  <si>
    <t>sales@indefini.com</t>
  </si>
  <si>
    <t>sales@intobox.ru</t>
  </si>
  <si>
    <t>sales@ipack.ru</t>
  </si>
  <si>
    <t>sales@itsolutions.city</t>
  </si>
  <si>
    <t>sales@ivanovoiskozh.ru</t>
  </si>
  <si>
    <t>sales@kahman.ru</t>
  </si>
  <si>
    <t>sales@kf-altai.ru</t>
  </si>
  <si>
    <t>sales@kidstation.ru</t>
  </si>
  <si>
    <t>sales@kiokotea.com</t>
  </si>
  <si>
    <t>sales@kiosk-torg.com</t>
  </si>
  <si>
    <t>sales@kirov.nnov.ru</t>
  </si>
  <si>
    <t>sales@klmgroup.ru</t>
  </si>
  <si>
    <t>sales@kombezfordog.ru</t>
  </si>
  <si>
    <t>sales@konord.com</t>
  </si>
  <si>
    <t>sales@kopchenow.ru</t>
  </si>
  <si>
    <t>sales@koprino.biz</t>
  </si>
  <si>
    <t>sales@kpcltd.ru</t>
  </si>
  <si>
    <t>sales@krepbox.ru</t>
  </si>
  <si>
    <t>sales@kubanfarfor.ru</t>
  </si>
  <si>
    <t>sales@kubanochka.ru</t>
  </si>
  <si>
    <t>sales@l-craft.ru</t>
  </si>
  <si>
    <t>sales@lasar.ru</t>
  </si>
  <si>
    <t>sales@laserapr.ru</t>
  </si>
  <si>
    <t>sales@lautshop.ru</t>
  </si>
  <si>
    <t>sales@lesnushki.ru</t>
  </si>
  <si>
    <t>sales@limak.ru</t>
  </si>
  <si>
    <t>sales@linfas.ru</t>
  </si>
  <si>
    <t>sales@lmkk.ru</t>
  </si>
  <si>
    <t>sales@markakrima.com</t>
  </si>
  <si>
    <t>sales@martika-home.ru</t>
  </si>
  <si>
    <t>sales@matera.pro</t>
  </si>
  <si>
    <t>sales@mebelson.ru</t>
  </si>
  <si>
    <t>sales@mgt-trade.ru</t>
  </si>
  <si>
    <t>sales@mikstoys.ru</t>
  </si>
  <si>
    <t>sales@mimaks.su</t>
  </si>
  <si>
    <t>sales@mk-haupt.ru</t>
  </si>
  <si>
    <t>sales@molvest.ru</t>
  </si>
  <si>
    <t>sales@mpknorilsk.ru</t>
  </si>
  <si>
    <t>sales@myasoyar.ru</t>
  </si>
  <si>
    <t>sales@mysvip.ru</t>
  </si>
  <si>
    <t>sales@n-sil.ru</t>
  </si>
  <si>
    <t>sales@nan-tech.ru</t>
  </si>
  <si>
    <t>sales@nef-distribyut.ru</t>
  </si>
  <si>
    <t>sales@neopeels.ru</t>
  </si>
  <si>
    <t>sales@nikische.com</t>
  </si>
  <si>
    <t>sales@nlk.ru</t>
  </si>
  <si>
    <t>sales@nlmk.ru</t>
  </si>
  <si>
    <t>sales@nordman.ru</t>
  </si>
  <si>
    <t>sales@notbad.pro</t>
  </si>
  <si>
    <t>sales@novastretch.ru</t>
  </si>
  <si>
    <t>sales@omos.tech</t>
  </si>
  <si>
    <t>sales@onhs.ru</t>
  </si>
  <si>
    <t>sales@ouwi.ru</t>
  </si>
  <si>
    <t>sales@ozeu.ru</t>
  </si>
  <si>
    <t>sales@p-energetica.ru</t>
  </si>
  <si>
    <t>sales@parkwood.info</t>
  </si>
  <si>
    <t>sales@peat-based.com</t>
  </si>
  <si>
    <t>Sales@peter-frost.ru</t>
  </si>
  <si>
    <t>sales@petrodel.ru</t>
  </si>
  <si>
    <t>sales@pgz-dekor.ru</t>
  </si>
  <si>
    <t>sales@phototech.ru</t>
  </si>
  <si>
    <t>sales@pik.com</t>
  </si>
  <si>
    <t>sales@pirs.spb.ru</t>
  </si>
  <si>
    <t>sales@pk-cup.ru</t>
  </si>
  <si>
    <t>sales@platki.ru</t>
  </si>
  <si>
    <t>sales@polimerk.ru</t>
  </si>
  <si>
    <t>sales@pozis.ru</t>
  </si>
  <si>
    <t>sales@primf.com</t>
  </si>
  <si>
    <t>sales@ptpa.ru</t>
  </si>
  <si>
    <t>sales@pzbf.ru</t>
  </si>
  <si>
    <t>sales@readypack.ru</t>
  </si>
  <si>
    <t>sales@regionk.ru</t>
  </si>
  <si>
    <t>sales@retinoids.ru</t>
  </si>
  <si>
    <t>sales@rfzavod.com</t>
  </si>
  <si>
    <t>sales@rkz1896.ru</t>
  </si>
  <si>
    <t>sales@rosplita.ru</t>
  </si>
  <si>
    <t>sales@royalcake.ru</t>
  </si>
  <si>
    <t>sales@rukzakit.ru</t>
  </si>
  <si>
    <t>sales@saroboi.ru</t>
  </si>
  <si>
    <t>sales@sbry.ru</t>
  </si>
  <si>
    <t>sales@seafood.ru</t>
  </si>
  <si>
    <t>sales@seedex.pro</t>
  </si>
  <si>
    <t>sales@set-omsk.ru</t>
  </si>
  <si>
    <t>sales@shaaz.ru</t>
  </si>
  <si>
    <t>sales@shtrih-m.ru</t>
  </si>
  <si>
    <t>sales@smartypro.ru</t>
  </si>
  <si>
    <t>sales@snpoteplopribor.ru</t>
  </si>
  <si>
    <t>sales@soc-comfort.ru</t>
  </si>
  <si>
    <t>sales@solstek.com</t>
  </si>
  <si>
    <t>sales@sotopack.ru</t>
  </si>
  <si>
    <t>sales@starkidz.ru</t>
  </si>
  <si>
    <t>sales@stellinigroup.ru</t>
  </si>
  <si>
    <t>sales@stereosocks.ru</t>
  </si>
  <si>
    <t>sales@stm-materials.ru</t>
  </si>
  <si>
    <t>sales@stylepak.ru</t>
  </si>
  <si>
    <t>sales@sunsiberia.ru</t>
  </si>
  <si>
    <t>sales@suvorov.tula.net</t>
  </si>
  <si>
    <t>sales@syrenaroma.ru</t>
  </si>
  <si>
    <t>sales@tattechno.ru</t>
  </si>
  <si>
    <t>sales@technospectr.com</t>
  </si>
  <si>
    <t>sales@tehnotron.ru</t>
  </si>
  <si>
    <t>sales@tekstil-zamsha.ru</t>
  </si>
  <si>
    <t>sales@tptlt.ru</t>
  </si>
  <si>
    <t>sales@tualetnaya-bumaga.com</t>
  </si>
  <si>
    <t>sales@ucana.ru</t>
  </si>
  <si>
    <t>sales@ufaburmash.ru</t>
  </si>
  <si>
    <t>sales@ural-nerud.ru</t>
  </si>
  <si>
    <t>sales@uralkarton.ru</t>
  </si>
  <si>
    <t>sales@vashden.com</t>
  </si>
  <si>
    <t>sales@volgajoy.com</t>
  </si>
  <si>
    <t>sales@wmwpolymer.ru</t>
  </si>
  <si>
    <t>sales@wntcosmetics.com</t>
  </si>
  <si>
    <t>sales@woodjo.ru</t>
  </si>
  <si>
    <t>sales@yamalproduct.com</t>
  </si>
  <si>
    <t>sales@yola-kkz.ru</t>
  </si>
  <si>
    <t>sales@yolochka.ru</t>
  </si>
  <si>
    <t>sales@zaoferment.ru</t>
  </si>
  <si>
    <t>sales@ziplenta.ru</t>
  </si>
  <si>
    <t>sales@zuroplast.ru</t>
  </si>
  <si>
    <t>sales01@motsins.ru</t>
  </si>
  <si>
    <t>sales1.prosymbionts@gmail.com</t>
  </si>
  <si>
    <t>sales1@abrin.ru</t>
  </si>
  <si>
    <t>sales1@greenpoint.group</t>
  </si>
  <si>
    <t>sales1@produpak.ru</t>
  </si>
  <si>
    <t>sales1@troyvavilon.com</t>
  </si>
  <si>
    <t>sales1@zozh-shop.ru</t>
  </si>
  <si>
    <t>sales10@kaysarow.ru</t>
  </si>
  <si>
    <t>sales2@farm-product.ru</t>
  </si>
  <si>
    <t>sales2@iglu.spb.ru</t>
  </si>
  <si>
    <t>sales2@isokon-russia.ru</t>
  </si>
  <si>
    <t>sales2@verators.com</t>
  </si>
  <si>
    <t>sales3@lifeway.su</t>
  </si>
  <si>
    <t>sales3@picnmix.ru</t>
  </si>
  <si>
    <t>sales3@sibtoys.ru</t>
  </si>
  <si>
    <t>sales4@desso.su</t>
  </si>
  <si>
    <t>sales6@heliosmeat.ru</t>
  </si>
  <si>
    <t>salesart@mail.ru</t>
  </si>
  <si>
    <t>saleschpk@mail.ru</t>
  </si>
  <si>
    <t>salestp@kvolokno.ru</t>
  </si>
  <si>
    <t>salesulia@yandex.ru</t>
  </si>
  <si>
    <t>saleszvezda@mail.ru</t>
  </si>
  <si>
    <t>salfatex@mail.ru</t>
  </si>
  <si>
    <t>salfetki-engels@mail.ru</t>
  </si>
  <si>
    <t>salfeto@yandex.ru</t>
  </si>
  <si>
    <t>saliteks@mail.ru</t>
  </si>
  <si>
    <t>salmishop@mail.ru</t>
  </si>
  <si>
    <t>salonrussiantraditions@gmail.com</t>
  </si>
  <si>
    <t>salskselmash@mail.ru</t>
  </si>
  <si>
    <t>saltsea.project@gmail.com</t>
  </si>
  <si>
    <t>salutem.manager@yandex.ru</t>
  </si>
  <si>
    <t>samara@haveg.ru</t>
  </si>
  <si>
    <t>samcond@list.ru</t>
  </si>
  <si>
    <t>samex-ural@yandex.ru</t>
  </si>
  <si>
    <t>samofatova.sa@kvt.su</t>
  </si>
  <si>
    <t>samplecoffeernd@yandex.ru</t>
  </si>
  <si>
    <t>samsung0212@mail.ru</t>
  </si>
  <si>
    <t>samuraev-uzp@rambler.ru</t>
  </si>
  <si>
    <t>san-trade02@aelita-toys.ru</t>
  </si>
  <si>
    <t>sandetskij@yandex.ru</t>
  </si>
  <si>
    <t>sandkinder@BK.RU</t>
  </si>
  <si>
    <t>sangerstyle.jeans@gmail.com</t>
  </si>
  <si>
    <t>sangurai_elena@mail.ru</t>
  </si>
  <si>
    <t>sanitizer.mf@gmail.com</t>
  </si>
  <si>
    <t>santa-nv@mail.ru</t>
  </si>
  <si>
    <t>sap039@yandex.ru</t>
  </si>
  <si>
    <t>saprex@rambler.ru</t>
  </si>
  <si>
    <t>sapronov@rostpozh.ru</t>
  </si>
  <si>
    <t>saremm_@bk.ru</t>
  </si>
  <si>
    <t>sas@ol-lab.com</t>
  </si>
  <si>
    <t>sas7@hotbox.ru</t>
  </si>
  <si>
    <t>sastalogist@yandex.ru</t>
  </si>
  <si>
    <t>satel.2024@yandex.ru</t>
  </si>
  <si>
    <t>satellit161@gmail.com</t>
  </si>
  <si>
    <t>satels.grupp@yandex.ru</t>
  </si>
  <si>
    <t>satindom@yandex.ru</t>
  </si>
  <si>
    <t>satooperator@gmail.com</t>
  </si>
  <si>
    <t>saturn-zerkalo@mail.ru</t>
  </si>
  <si>
    <t>sav@zavodsvet.ru</t>
  </si>
  <si>
    <t>savich@otk-profile.by</t>
  </si>
  <si>
    <t>sb@balzavod.ru</t>
  </si>
  <si>
    <t>sb@neva-sound.ru</t>
  </si>
  <si>
    <t>sbanko@epkgroup.ru</t>
  </si>
  <si>
    <t>sbit@alexandria-krasnodar.com</t>
  </si>
  <si>
    <t>sbit@gvos.ru</t>
  </si>
  <si>
    <t>sbit@iristonsteklo.ru</t>
  </si>
  <si>
    <t>sbit@lamzur.ru</t>
  </si>
  <si>
    <t>sbit@ogneupor.biz</t>
  </si>
  <si>
    <t>sbit@rusremesla.ru</t>
  </si>
  <si>
    <t>sbit@salsk-obuv.ru</t>
  </si>
  <si>
    <t>sbit@salute-clock.ru</t>
  </si>
  <si>
    <t>sbit2@radugakirov.ru</t>
  </si>
  <si>
    <t>sbit3@bk.ru</t>
  </si>
  <si>
    <t>sbitvzgo@yandex.ru</t>
  </si>
  <si>
    <t>sbrankin@mail.ru</t>
  </si>
  <si>
    <t>sbt@vyazma.su</t>
  </si>
  <si>
    <t>sbt7@knz.ru</t>
  </si>
  <si>
    <t>sbyt_kotl@kzavod.ru</t>
  </si>
  <si>
    <t>sbyt.bogdanovich@gmail.com</t>
  </si>
  <si>
    <t>sbyt@mezh-company.ru</t>
  </si>
  <si>
    <t>sbyt@ogonek-toys.ru</t>
  </si>
  <si>
    <t>sbyt@velmeat.ru</t>
  </si>
  <si>
    <t>sbyt2@prompoliplast.ru</t>
  </si>
  <si>
    <t>sbytkiki@mail.ru</t>
  </si>
  <si>
    <t>sbytzam@revkz.ru</t>
  </si>
  <si>
    <t>sc-collection@mail.ru</t>
  </si>
  <si>
    <t>schaman@ngs.ru</t>
  </si>
  <si>
    <t>sdd@nordwey.ru</t>
  </si>
  <si>
    <t>sdok.pilmat_sg@segezha-group.com</t>
  </si>
  <si>
    <t>sdv@redmison.ru</t>
  </si>
  <si>
    <t>se.steting@yandex.ru</t>
  </si>
  <si>
    <t>secret@uslada.com</t>
  </si>
  <si>
    <t>secretar@rusholod.ru</t>
  </si>
  <si>
    <t>secretar15let@ya.ru</t>
  </si>
  <si>
    <t>sekret@lider-privod.ru</t>
  </si>
  <si>
    <t>sekretar@skopin-keramika.ru</t>
  </si>
  <si>
    <t>SelevichaMarti2003@list.ru</t>
  </si>
  <si>
    <t>selfiework@selfiework.ru</t>
  </si>
  <si>
    <t>selivanova@ekologi.ru</t>
  </si>
  <si>
    <t>sell.kot.komok@yandex.ru</t>
  </si>
  <si>
    <t>sella-stool@mail.ru</t>
  </si>
  <si>
    <t>seller@myphotopuzzle.ru</t>
  </si>
  <si>
    <t>selling@zaobmk.ru</t>
  </si>
  <si>
    <t>selvoda01@mail.ru</t>
  </si>
  <si>
    <t>semenagavrish@inbox.eu</t>
  </si>
  <si>
    <t>semenov.sv@krpr.ru</t>
  </si>
  <si>
    <t>semenova@chezima.ru</t>
  </si>
  <si>
    <t>semilyclub@gmail.com</t>
  </si>
  <si>
    <t>senatorov.andrew@yandex.ru</t>
  </si>
  <si>
    <t>senso.s@yandex.ru</t>
  </si>
  <si>
    <t>seo.plazareal@yandex.ru</t>
  </si>
  <si>
    <t>seo@conso.city</t>
  </si>
  <si>
    <t>seo@generator.ru</t>
  </si>
  <si>
    <t>seo@shm.su</t>
  </si>
  <si>
    <t>seo@tatmash.ru</t>
  </si>
  <si>
    <t>seo@zaokipz.ru</t>
  </si>
  <si>
    <t>seokresla@yandex.ru</t>
  </si>
  <si>
    <t>septic174@gmail.com</t>
  </si>
  <si>
    <t>serdyukov_as@constell-group.ru</t>
  </si>
  <si>
    <t>sergej.artykov@mail.ru</t>
  </si>
  <si>
    <t>sergejjchirvas1@gmail.com</t>
  </si>
  <si>
    <t>sergey.dkplus@gmail.com</t>
  </si>
  <si>
    <t>sergey.troshchenko@petra-lk.ru</t>
  </si>
  <si>
    <t>sergmihkol@mail.ru</t>
  </si>
  <si>
    <t>sernovodckaya@gmail.com</t>
  </si>
  <si>
    <t>serova@emilink.ru</t>
  </si>
  <si>
    <t>serpokrylroman@yandex.ru</t>
  </si>
  <si>
    <t>service@skatpower.ru</t>
  </si>
  <si>
    <t>service@svarkamontag.ru</t>
  </si>
  <si>
    <t>services@artline-shop.ru</t>
  </si>
  <si>
    <t>servisrosdorznak1@yandex.ru</t>
  </si>
  <si>
    <t>seta99help@gmail.com</t>
  </si>
  <si>
    <t>seti@forte24.ru</t>
  </si>
  <si>
    <t>seti@mihptf.ru</t>
  </si>
  <si>
    <t>setiz2014@yandex.ru</t>
  </si>
  <si>
    <t>setkaral@gmail.com</t>
  </si>
  <si>
    <t>sev@ledmaster.pro</t>
  </si>
  <si>
    <t>sevcentre@gmail.com</t>
  </si>
  <si>
    <t>sever.et99@yandex.ru</t>
  </si>
  <si>
    <t>sever.reklama@bk.ru</t>
  </si>
  <si>
    <t>severo.rostov@mail.ru</t>
  </si>
  <si>
    <t>sevi.firsova@gmail.com</t>
  </si>
  <si>
    <t>sewenstar000@gmail.com</t>
  </si>
  <si>
    <t>sewerage.sale@yandex.ru</t>
  </si>
  <si>
    <t>sewskill@yandex.ru</t>
  </si>
  <si>
    <t>sey.s@ruspacking.ru</t>
  </si>
  <si>
    <t>seyma@kis.ru</t>
  </si>
  <si>
    <t>sez61@mail.ru</t>
  </si>
  <si>
    <t>sf@gantrycnc.ru</t>
  </si>
  <si>
    <t>sfera.dzerjinsk@yandex.ru</t>
  </si>
  <si>
    <t>sferaistok@sigma-npp.ru</t>
  </si>
  <si>
    <t>sfzsar@gmail.com</t>
  </si>
  <si>
    <t>sg.gulina@gmail.com</t>
  </si>
  <si>
    <t>sg@nerosport.ru</t>
  </si>
  <si>
    <t>sgp17.84@mail.ru</t>
  </si>
  <si>
    <t>sh@mkkbt.ru</t>
  </si>
  <si>
    <t>Sh@quartiere.ru</t>
  </si>
  <si>
    <t>shabatinainna@gmail.com</t>
  </si>
  <si>
    <t>shadrina.kzpt@mail.ru</t>
  </si>
  <si>
    <t>shadrina.va@orthoboom.ru</t>
  </si>
  <si>
    <t>shaidullinah@elmoloko.ru</t>
  </si>
  <si>
    <t>shalyaev@metallur.ru</t>
  </si>
  <si>
    <t>shamo.mmk@mail.ru</t>
  </si>
  <si>
    <t>shandakova@l-ktm.ru</t>
  </si>
  <si>
    <t>sharkanshop@mail.ru</t>
  </si>
  <si>
    <t>sharlize.ivanovo@yandex.ru</t>
  </si>
  <si>
    <t>shchelokov@velken.ru</t>
  </si>
  <si>
    <t>shenoks.ooo@mail.ru</t>
  </si>
  <si>
    <t>shevchenko_mv@texxcore.com</t>
  </si>
  <si>
    <t>shilina@mimibabybook.ru</t>
  </si>
  <si>
    <t>shipuniforma@rambler.ru</t>
  </si>
  <si>
    <t>shishkov@polair.com</t>
  </si>
  <si>
    <t>shivadanse@gmail.com</t>
  </si>
  <si>
    <t>shobickcompany@gmail.com</t>
  </si>
  <si>
    <t>shoes@aura-rostov.ru</t>
  </si>
  <si>
    <t>shokoboxvl@gmail.com</t>
  </si>
  <si>
    <t>shop_istokspt@mail.ru</t>
  </si>
  <si>
    <t>shop.debut-mebel@yandex.ru</t>
  </si>
  <si>
    <t>shop@alexander-ts.ru</t>
  </si>
  <si>
    <t>shop@almaz54.ru</t>
  </si>
  <si>
    <t>shop@b2motor.ru</t>
  </si>
  <si>
    <t>shop@bellodeco.ru</t>
  </si>
  <si>
    <t>shop@bus-rus.com</t>
  </si>
  <si>
    <t>shop@f-kozlov.ru</t>
  </si>
  <si>
    <t>shop@malavit.ru</t>
  </si>
  <si>
    <t>shop@mapaya.ru</t>
  </si>
  <si>
    <t>shop@oberegvdom.ru</t>
  </si>
  <si>
    <t>shop@seahava.ru</t>
  </si>
  <si>
    <t>shop@shegida.ru</t>
  </si>
  <si>
    <t>shop@stolbushino.com</t>
  </si>
  <si>
    <t>shop@technomarin.ru</t>
  </si>
  <si>
    <t>shop@yukagir.ru</t>
  </si>
  <si>
    <t>shop1@corpdidi.ru</t>
  </si>
  <si>
    <t>shpalru@mail.ru</t>
  </si>
  <si>
    <t>shredder.64@mail.ru</t>
  </si>
  <si>
    <t>shtapova@pkapex.ru</t>
  </si>
  <si>
    <t>shtil0395@gmail.com</t>
  </si>
  <si>
    <t>shtora.sv@yandex.ru</t>
  </si>
  <si>
    <t>shubin.ea@mail.ru</t>
  </si>
  <si>
    <t>shubinaes@ao-kzsk.ru</t>
  </si>
  <si>
    <t>Shuml-yuliya@yandex.ru</t>
  </si>
  <si>
    <t>shurakovamk@cicle.ru</t>
  </si>
  <si>
    <t>shuvaevamn@mail.ru</t>
  </si>
  <si>
    <t>shvecova@bars.company</t>
  </si>
  <si>
    <t>shvedova@nutvinograd.ru</t>
  </si>
  <si>
    <t>si-nn@yandex.ru</t>
  </si>
  <si>
    <t>sialonorm@mail.ru</t>
  </si>
  <si>
    <t>siasilkplastergrup@yandex.ru</t>
  </si>
  <si>
    <t>sib-conditer54@yandex.ru</t>
  </si>
  <si>
    <t>Sibbear2020@yandex.ru</t>
  </si>
  <si>
    <t>sibbelka-komdir@mail.ru</t>
  </si>
  <si>
    <t>sibbioteh@yandex.ru</t>
  </si>
  <si>
    <t>siberiantable@yandex.ru</t>
  </si>
  <si>
    <t>sibirskayaguberniya@mail.ru</t>
  </si>
  <si>
    <t>sibkamen.nsk@gmail.com</t>
  </si>
  <si>
    <t>sibmuka@mail.ru</t>
  </si>
  <si>
    <t>sibprom_54@mail.ru</t>
  </si>
  <si>
    <t>sibsolonina@mail.ru</t>
  </si>
  <si>
    <t>sibspk-24@yandex.ru</t>
  </si>
  <si>
    <t>sibstandart38@mail.ru</t>
  </si>
  <si>
    <t>sich_d@rubberfactory.ru</t>
  </si>
  <si>
    <t>Sidorov-va@list.ru</t>
  </si>
  <si>
    <t>sidorovsd@borfab.ru</t>
  </si>
  <si>
    <t>sidrvil@mail.ru</t>
  </si>
  <si>
    <t>sien82@mail.ru</t>
  </si>
  <si>
    <t>sigmax5@yandex.ru</t>
  </si>
  <si>
    <t>signal.plus21@yandex.ru</t>
  </si>
  <si>
    <t>signal@stav.ru</t>
  </si>
  <si>
    <t>Signaled.info@gmail.com</t>
  </si>
  <si>
    <t>sigrio@gmail.com</t>
  </si>
  <si>
    <t>silko.1978@mail.ru</t>
  </si>
  <si>
    <t>silov@lentaprom.ru</t>
  </si>
  <si>
    <t>silplast@mail.ru</t>
  </si>
  <si>
    <t>siluanov74@rambler.ru</t>
  </si>
  <si>
    <t>silver.colubrid@mail.ru</t>
  </si>
  <si>
    <t>silver2004@yandex.ru</t>
  </si>
  <si>
    <t>simuninaoa@selting.ru</t>
  </si>
  <si>
    <t>sinar@sinar.ru</t>
  </si>
  <si>
    <t>sinchuk@crystalexrus.ru</t>
  </si>
  <si>
    <t>sinel-tex@mail.ru</t>
  </si>
  <si>
    <t>sintek40@mail.ru</t>
  </si>
  <si>
    <t>sintex-tver@yandex.ru</t>
  </si>
  <si>
    <t>sintez-effect@mail.ru</t>
  </si>
  <si>
    <t>sipower.ltd@yandex.ru</t>
  </si>
  <si>
    <t>sirena-sd@mail.ru</t>
  </si>
  <si>
    <t>sirius-m@yandex.ru</t>
  </si>
  <si>
    <t>Sirius7.av@gmail.com</t>
  </si>
  <si>
    <t>sirotaoleg@yandex.ru</t>
  </si>
  <si>
    <t>site@ecoyurus.ru</t>
  </si>
  <si>
    <t>site@madeo.ru</t>
  </si>
  <si>
    <t>site@mashproject.ru</t>
  </si>
  <si>
    <t>site@spektra-nsk.ru</t>
  </si>
  <si>
    <t>sj_shop@mail.ru</t>
  </si>
  <si>
    <t>skaer_dk@mail.ru</t>
  </si>
  <si>
    <t>skarn-1@mail.ru</t>
  </si>
  <si>
    <t>skashubin@orionworld.ru</t>
  </si>
  <si>
    <t>skazka773@yandex.ru</t>
  </si>
  <si>
    <t>skazkidereva@mail.ru</t>
  </si>
  <si>
    <t>skbmrt@skmrt.ru</t>
  </si>
  <si>
    <t>skbtrm@mail.ru</t>
  </si>
  <si>
    <t>skhaleksey@mail.ru</t>
  </si>
  <si>
    <t>sklezneva@farfor-gzhel.ru</t>
  </si>
  <si>
    <t>skon18@mail.ru</t>
  </si>
  <si>
    <t>skorpion.galaxy@gmail.com</t>
  </si>
  <si>
    <t>skp-rus@mail.ru</t>
  </si>
  <si>
    <t>skripnik.maksimop@gmail.com</t>
  </si>
  <si>
    <t>sksm26@yandex.ru</t>
  </si>
  <si>
    <t>skurihin.dm@mail.ru</t>
  </si>
  <si>
    <t>skurydindaniil@yandex.ru</t>
  </si>
  <si>
    <t>skv@rushoses.ru</t>
  </si>
  <si>
    <t>skvortsov_denis@rambler.ru</t>
  </si>
  <si>
    <t>skyform@mail.ru</t>
  </si>
  <si>
    <t>skyhim_sotnikov@bk.ru</t>
  </si>
  <si>
    <t>sl@metizplant.ru</t>
  </si>
  <si>
    <t>sladeia.export@yandex.ru</t>
  </si>
  <si>
    <t>sladevil@mail.ru</t>
  </si>
  <si>
    <t>sladkiyray@mail.ru</t>
  </si>
  <si>
    <t>slav.semechki@mail.ru</t>
  </si>
  <si>
    <t>slavia.1997@mail.ru</t>
  </si>
  <si>
    <t>slavtara@rambler.ru</t>
  </si>
  <si>
    <t>slmk@meatsk.kirov.ru</t>
  </si>
  <si>
    <t>slonpapaof@yandex.ru</t>
  </si>
  <si>
    <t>slovarik64@mail.ru</t>
  </si>
  <si>
    <t>sls-kuhni@yandex.com</t>
  </si>
  <si>
    <t>slsoyuz@yandex.ru</t>
  </si>
  <si>
    <t>sm@savushka.ru</t>
  </si>
  <si>
    <t>smarket@radianzavod.ru</t>
  </si>
  <si>
    <t>smdnsk@gmail.com</t>
  </si>
  <si>
    <t>smileopt@bk.ru</t>
  </si>
  <si>
    <t>smirnov@acrosport.ru</t>
  </si>
  <si>
    <t>smirnov@servotechnica.ru</t>
  </si>
  <si>
    <t>smirnova_ruzana@mail.ru</t>
  </si>
  <si>
    <t>smk@smko.ru</t>
  </si>
  <si>
    <t>SMM.GarnaSport@yandex.ru</t>
  </si>
  <si>
    <t>smo-63@yandex.ru</t>
  </si>
  <si>
    <t>Smola-Boroda@yandex.ru</t>
  </si>
  <si>
    <t>smola-kedra@mail.ru</t>
  </si>
  <si>
    <t>smolpm@mail.ru</t>
  </si>
  <si>
    <t>smoroz.sklad@gmail.com</t>
  </si>
  <si>
    <t>smpz@list.ru</t>
  </si>
  <si>
    <t>smr.ovoschi@yandex.ru</t>
  </si>
  <si>
    <t>sms@uvelka.ru</t>
  </si>
  <si>
    <t>snab.sbyt@bk.ru</t>
  </si>
  <si>
    <t>snab@woodvibe.ru</t>
  </si>
  <si>
    <t>snab@zpfrk.ru</t>
  </si>
  <si>
    <t>snab4@inari.pro</t>
  </si>
  <si>
    <t>snabdobr@mail.ru</t>
  </si>
  <si>
    <t>snabsbit@cesis.ru</t>
  </si>
  <si>
    <t>snabtorg43@inbox.ru</t>
  </si>
  <si>
    <t>snail.smile.clothes@gmail.com</t>
  </si>
  <si>
    <t>snegnosok@gmail.com</t>
  </si>
  <si>
    <t>snejinka-bulochkin@mail.ru</t>
  </si>
  <si>
    <t>snek.region@yandex.ru</t>
  </si>
  <si>
    <t>snowtech.snow@gmail.com</t>
  </si>
  <si>
    <t>snv@decoplint.ru</t>
  </si>
  <si>
    <t>snzayavka@yandex.ru</t>
  </si>
  <si>
    <t>soapcrimea@gmail.com</t>
  </si>
  <si>
    <t>sobko.e@mail.ru</t>
  </si>
  <si>
    <t>sobol-kirov@yandex.ru</t>
  </si>
  <si>
    <t>sochi@profrein.ru</t>
  </si>
  <si>
    <t>sofia_wear@mail.ru</t>
  </si>
  <si>
    <t>sofiadoors.spb@yandex.ru</t>
  </si>
  <si>
    <t>sokolov.tmz@yandex.ru</t>
  </si>
  <si>
    <t>sokolova@jamixfit.ru</t>
  </si>
  <si>
    <t>sokovikova-e@mail.ru</t>
  </si>
  <si>
    <t>solo@solo-bag.ru</t>
  </si>
  <si>
    <t>soloninova.z@tetra2006.ru</t>
  </si>
  <si>
    <t>soloviova.t@cosmopit.ru</t>
  </si>
  <si>
    <t>soltarelka@mail.ru</t>
  </si>
  <si>
    <t>somlan@yandex.ru</t>
  </si>
  <si>
    <t>son-servis85@mail.ru</t>
  </si>
  <si>
    <t>Sonka.37@yandex.ru</t>
  </si>
  <si>
    <t>sonneta37@mail.ru</t>
  </si>
  <si>
    <t>soulf@yandex.ru</t>
  </si>
  <si>
    <t>souzpaket@mail.ru</t>
  </si>
  <si>
    <t>sovslasti@bk.ru</t>
  </si>
  <si>
    <t>sowhite@list.ru</t>
  </si>
  <si>
    <t>soy@tepofol.ru</t>
  </si>
  <si>
    <t>sp-info@stankopet.ru</t>
  </si>
  <si>
    <t>spas5858@mail.ru</t>
  </si>
  <si>
    <t>spasskiy.sv@gmail.com</t>
  </si>
  <si>
    <t>spb_opt@amro.ru</t>
  </si>
  <si>
    <t>spb@78dosok.ru</t>
  </si>
  <si>
    <t>spb@bvb-alyans.ru</t>
  </si>
  <si>
    <t>spb@souz.spb.ru</t>
  </si>
  <si>
    <t>spec-o@mail.ru</t>
  </si>
  <si>
    <t>spec-sura@mail.ru</t>
  </si>
  <si>
    <t>specmash-sp@yandex.ru</t>
  </si>
  <si>
    <t>spectrum_kirov@mail.ru</t>
  </si>
  <si>
    <t>spetspromstroy@bk.ru</t>
  </si>
  <si>
    <t>spev_spb@mail.ru</t>
  </si>
  <si>
    <t>spi@nm.ru</t>
  </si>
  <si>
    <t>spicyn_vv@sztek.ru</t>
  </si>
  <si>
    <t>spidernik@mail.ru</t>
  </si>
  <si>
    <t>spiridonova@zavod-ksp.ru</t>
  </si>
  <si>
    <t>spkchistogorsk@mail.ru</t>
  </si>
  <si>
    <t>splav18@mail.ru</t>
  </si>
  <si>
    <t>spmt163@mail.ru</t>
  </si>
  <si>
    <t>Sport-gear@inbox.ru</t>
  </si>
  <si>
    <t>sport-shik@mail.ru</t>
  </si>
  <si>
    <t>sportysnacks@gmail.com</t>
  </si>
  <si>
    <t>spprkt@ya.ru</t>
  </si>
  <si>
    <t>spprofil@mail.ru</t>
  </si>
  <si>
    <t>spulka_blue@mail.ru</t>
  </si>
  <si>
    <t>sr4@proflist.ru</t>
  </si>
  <si>
    <t>sregion@karon.ru</t>
  </si>
  <si>
    <t>ss.prib@garant-avto22.ru</t>
  </si>
  <si>
    <t>ssa.771211@yandex.ru</t>
  </si>
  <si>
    <t>ssa@himtb.ru</t>
  </si>
  <si>
    <t>ssanchess37@mail.ru</t>
  </si>
  <si>
    <t>ssgift@yandex.ru</t>
  </si>
  <si>
    <t>ssheymnogo@mail.ru</t>
  </si>
  <si>
    <t>sshmelev@waterful.ru</t>
  </si>
  <si>
    <t>ssmaplen@yandex.ru</t>
  </si>
  <si>
    <t>Ssorinroman@gmail.com</t>
  </si>
  <si>
    <t>sssrloft@yandex.ru</t>
  </si>
  <si>
    <t>sst@sst.ru</t>
  </si>
  <si>
    <t>ssv@komset.ru</t>
  </si>
  <si>
    <t>st_vit2003@mail.ru</t>
  </si>
  <si>
    <t>st-partner@bk.ru</t>
  </si>
  <si>
    <t>st@chmz.net</t>
  </si>
  <si>
    <t>st@novotrade-centr.ru</t>
  </si>
  <si>
    <t>st6@a-petrov.ru</t>
  </si>
  <si>
    <t>staff@masterhim.ru</t>
  </si>
  <si>
    <t>stak_servise@mail.ru</t>
  </si>
  <si>
    <t>stakhmich@plastek.spb.ru</t>
  </si>
  <si>
    <t>stal.teh@mail.ru</t>
  </si>
  <si>
    <t>Stalkon38@gmail.com</t>
  </si>
  <si>
    <t>Stalprom22@ya.ru</t>
  </si>
  <si>
    <t>Staltexpenza@yandex.ru</t>
  </si>
  <si>
    <t>standart-36@yandex.ru</t>
  </si>
  <si>
    <t>standartwood@yandex.ru</t>
  </si>
  <si>
    <t>stanislav@titanof.ru</t>
  </si>
  <si>
    <t>stanok.dlybiznesa@mail.ru</t>
  </si>
  <si>
    <t>stardustrussia@mail.ru</t>
  </si>
  <si>
    <t>starkbicycles@gmail.com</t>
  </si>
  <si>
    <t>staroveropt2@list.ru</t>
  </si>
  <si>
    <t>start@zavod-start.ru</t>
  </si>
  <si>
    <t>statera61@mail.ru</t>
  </si>
  <si>
    <t>status_stroy11@mail.ru</t>
  </si>
  <si>
    <t>status046@yandex.ru</t>
  </si>
  <si>
    <t>statusgoloden@mail.ru</t>
  </si>
  <si>
    <t>stav-sd@mail.ru</t>
  </si>
  <si>
    <t>stavemz@mail.ru</t>
  </si>
  <si>
    <t>stavnasos@yandex.ru</t>
  </si>
  <si>
    <t>stb-innov@bk.ru</t>
  </si>
  <si>
    <t>steel-ekb@mail.ru</t>
  </si>
  <si>
    <t>steelconstruction35@yandex.ru</t>
  </si>
  <si>
    <t>steelproject_rus@mail.ru</t>
  </si>
  <si>
    <t>steeltula@mail.ru</t>
  </si>
  <si>
    <t>steklo@makromer.ru</t>
  </si>
  <si>
    <t>steklo62@yandex.ru</t>
  </si>
  <si>
    <t>steklostroy-nn@mail.ru</t>
  </si>
  <si>
    <t>stepanova@klamet.ru</t>
  </si>
  <si>
    <t>stepanova@myendorphin.ru</t>
  </si>
  <si>
    <t>stepanson2008@gmail.com</t>
  </si>
  <si>
    <t>stevia5@yandex.ua</t>
  </si>
  <si>
    <t>stillm47@mcstyle.ru</t>
  </si>
  <si>
    <t>stilnospb@mail.ru</t>
  </si>
  <si>
    <t>stilnovv@internet.ru</t>
  </si>
  <si>
    <t>Stk014@yandex.ru</t>
  </si>
  <si>
    <t>stktara@stktara.ru</t>
  </si>
  <si>
    <t>stm.malyshko.sptv@gmail.com</t>
  </si>
  <si>
    <t>stm@galkom.ru</t>
  </si>
  <si>
    <t>stolbbq@bk.ru</t>
  </si>
  <si>
    <t>stolicasibiri54@yandex.ru</t>
  </si>
  <si>
    <t>stolkrep@yandex.ru</t>
  </si>
  <si>
    <t>stolyarkovlg@mail.ru</t>
  </si>
  <si>
    <t>stone@in-do.pro</t>
  </si>
  <si>
    <t>stophimiy.ru@yandex.ru</t>
  </si>
  <si>
    <t>store@harmund.com</t>
  </si>
  <si>
    <t>store37@bk.ru</t>
  </si>
  <si>
    <t>strelka.nn@mail.ru</t>
  </si>
  <si>
    <t>strizhak.andrey@yandex.ru</t>
  </si>
  <si>
    <t>stroim2007@mail.ru</t>
  </si>
  <si>
    <t>stroitel43@nhk.infosys.ru</t>
  </si>
  <si>
    <t>stronflex@rpscom.ru</t>
  </si>
  <si>
    <t>strop@c-k.ooo</t>
  </si>
  <si>
    <t>stropmash@mail.ru</t>
  </si>
  <si>
    <t>strub.rf@mail.ru</t>
  </si>
  <si>
    <t>struzhkin@mayakprint.ru</t>
  </si>
  <si>
    <t>studenka12@mail.ru</t>
  </si>
  <si>
    <t>stv.avrora@mail.ru</t>
  </si>
  <si>
    <t>style-21@mail.ru</t>
  </si>
  <si>
    <t>style-fishdv@mail.ru</t>
  </si>
  <si>
    <t>subtillis@vetom.ru</t>
  </si>
  <si>
    <t>sugar-export-sale@bk.ru</t>
  </si>
  <si>
    <t>sugar@agrosila-zainsk.ru</t>
  </si>
  <si>
    <t>suhenko.ivan@mail.ru</t>
  </si>
  <si>
    <t>suhova@aokpps.ru</t>
  </si>
  <si>
    <t>Suman@suman.ru</t>
  </si>
  <si>
    <t>sumki@elmasta.ru</t>
  </si>
  <si>
    <t>sumochki@alswa.ru</t>
  </si>
  <si>
    <t>sun-pesok@mail.ru</t>
  </si>
  <si>
    <t>Sun278@yandex.ru</t>
  </si>
  <si>
    <t>sunflower_oil@list.ru</t>
  </si>
  <si>
    <t>sunray2912320@mail.ru</t>
  </si>
  <si>
    <t>super.rastoropsha@yandex.ru</t>
  </si>
  <si>
    <t>super9608028080@gmail.com</t>
  </si>
  <si>
    <t>superles32@mail.ru</t>
  </si>
  <si>
    <t>superlimonka@mail.ru</t>
  </si>
  <si>
    <t>supershveika@mail.ru</t>
  </si>
  <si>
    <t>support@decoplast.ru</t>
  </si>
  <si>
    <t>support@luckroute.com</t>
  </si>
  <si>
    <t>support@warme-rus.ru</t>
  </si>
  <si>
    <t>supra@gkkarat.ru</t>
  </si>
  <si>
    <t>sura-avto01@mail.ru</t>
  </si>
  <si>
    <t>surkofdanil@gmail.com</t>
  </si>
  <si>
    <t>sushko@mirtolli.ru</t>
  </si>
  <si>
    <t>suveniryregionov43@gmail.com</t>
  </si>
  <si>
    <t>sv.teslya@gmail.com</t>
  </si>
  <si>
    <t>sv2978@mail.ru</t>
  </si>
  <si>
    <t>sva@siberec.ru</t>
  </si>
  <si>
    <t>svaivintovmoskow@mail.ru</t>
  </si>
  <si>
    <t>svechiandco@yandex.ru</t>
  </si>
  <si>
    <t>svet@optimum74.ru</t>
  </si>
  <si>
    <t>svet82@mail.ru</t>
  </si>
  <si>
    <t>svetkatuta@yandex.ru</t>
  </si>
  <si>
    <t>svetlana_a@magic-herbs.ru</t>
  </si>
  <si>
    <t>Svetlana.Bykova@efole.ru</t>
  </si>
  <si>
    <t>svetlana69shvarts@yandex.ru</t>
  </si>
  <si>
    <t>svetlanamaravi@gmail.com</t>
  </si>
  <si>
    <t>svetlanavl81@yandex.ru</t>
  </si>
  <si>
    <t>Svetok402@yandex.ru</t>
  </si>
  <si>
    <t>svetplast@mail.ru</t>
  </si>
  <si>
    <t>svg.80@mail.ru</t>
  </si>
  <si>
    <t>svinnik@27del.ru</t>
  </si>
  <si>
    <t>svl.ryba@bk.ru</t>
  </si>
  <si>
    <t>svn@prominkom.ru</t>
  </si>
  <si>
    <t>svokna@svokna.ru</t>
  </si>
  <si>
    <t>svs-J2019@yandex.ru</t>
  </si>
  <si>
    <t>sweetmarieli@mail.ru</t>
  </si>
  <si>
    <t>sweetplant@rambler.ru</t>
  </si>
  <si>
    <t>synergy.siberia@gmail.com</t>
  </si>
  <si>
    <t>syntelek@mail.ru</t>
  </si>
  <si>
    <t>syrodalie@bk.ru</t>
  </si>
  <si>
    <t>sz-kl@mail.ru</t>
  </si>
  <si>
    <t>Sz@dvelinii.ru</t>
  </si>
  <si>
    <t>szmkz@mail.ru</t>
  </si>
  <si>
    <t>t-771-21-48@yandex.ru</t>
  </si>
  <si>
    <t>t.baklanova@sptk.com.ru</t>
  </si>
  <si>
    <t>t.ignatovich@slotex.ru</t>
  </si>
  <si>
    <t>t.moiseeva@floristea.com</t>
  </si>
  <si>
    <t>t.novikova@bitblaze.ru</t>
  </si>
  <si>
    <t>t.pugacheva@elektroautomatika.ru</t>
  </si>
  <si>
    <t>t.ustus@vipmebelnn.ru</t>
  </si>
  <si>
    <t>T@legioner.store</t>
  </si>
  <si>
    <t>tachprofkam@gmail.com</t>
  </si>
  <si>
    <t>tagmetiz4@mail.ru</t>
  </si>
  <si>
    <t>tagut@mail.ru</t>
  </si>
  <si>
    <t>taigasocks@ya.ru</t>
  </si>
  <si>
    <t>tal@atrigroup.ru</t>
  </si>
  <si>
    <t>tal@ladoga-group.ru</t>
  </si>
  <si>
    <t>taleks.komer.otdel@gmail.com</t>
  </si>
  <si>
    <t>tambov.yuvelir@bk.ru</t>
  </si>
  <si>
    <t>tambovchanka@tmb.ru</t>
  </si>
  <si>
    <t>tambovtrikotag@mail.ru</t>
  </si>
  <si>
    <t>tandem2301@gmail.com</t>
  </si>
  <si>
    <t>tandir@list.ru</t>
  </si>
  <si>
    <t>tanitakapriz@mail.ru</t>
  </si>
  <si>
    <t>tanvolt.com@gmail.com</t>
  </si>
  <si>
    <t>tanya_pamigo@mail.ru</t>
  </si>
  <si>
    <t>tanya@nevsky-t.ru</t>
  </si>
  <si>
    <t>tanyAftor@yandex.ru</t>
  </si>
  <si>
    <t>taracom60a@mail.ru</t>
  </si>
  <si>
    <t>tarlakov@narod.ru</t>
  </si>
  <si>
    <t>Tartaletka26@yandex.ru</t>
  </si>
  <si>
    <t>tat-aip@mail.ru</t>
  </si>
  <si>
    <t>tatianas@ermatel.ru</t>
  </si>
  <si>
    <t>Tatka@levis-food.ru</t>
  </si>
  <si>
    <t>tavrida-crimea.besedina@list.ru</t>
  </si>
  <si>
    <t>tavriyakvas.77777@mail.ru</t>
  </si>
  <si>
    <t>tavrus2013@yandex.ru</t>
  </si>
  <si>
    <t>tchirkovdaniil@yandex.ru</t>
  </si>
  <si>
    <t>tckarelia@gmail.com</t>
  </si>
  <si>
    <t>td_dami@mail.ru</t>
  </si>
  <si>
    <t>td-k@yandex.ru</t>
  </si>
  <si>
    <t>td-sinta.kev@mail.ru</t>
  </si>
  <si>
    <t>td.sale10@kccc.ru</t>
  </si>
  <si>
    <t>td.sviridov@mail.ru</t>
  </si>
  <si>
    <t>td@agrobel.ru</t>
  </si>
  <si>
    <t>td@essvet.ru</t>
  </si>
  <si>
    <t>td@lisna.ru</t>
  </si>
  <si>
    <t>tdbkg@mail.ru</t>
  </si>
  <si>
    <t>tdbumaga@mail.ru</t>
  </si>
  <si>
    <t>tdc.manager.rf@gmail.com</t>
  </si>
  <si>
    <t>tdk-nsk@mmail.ru</t>
  </si>
  <si>
    <t>tdmts2007@yandex.ru</t>
  </si>
  <si>
    <t>tdstroyka@list.ru</t>
  </si>
  <si>
    <t>tdvaleria@ya.ru</t>
  </si>
  <si>
    <t>tdvz@topol.ru</t>
  </si>
  <si>
    <t>tea@matsestatea.ru</t>
  </si>
  <si>
    <t>techcom-ug@yandex.ru</t>
  </si>
  <si>
    <t>techgastk@mail.ru</t>
  </si>
  <si>
    <t>techmash07@inbox.ru</t>
  </si>
  <si>
    <t>technoproekt@list.ru</t>
  </si>
  <si>
    <t>techprom-v@yandex.ru</t>
  </si>
  <si>
    <t>tefiya@mail.ru</t>
  </si>
  <si>
    <t>teh1@mebelinni.ru</t>
  </si>
  <si>
    <t>teh29@pkprintprof.ru</t>
  </si>
  <si>
    <t>tehadaapk@yandex.ru</t>
  </si>
  <si>
    <t>tehno-t@i.ua</t>
  </si>
  <si>
    <t>tehnolog@bor-tea.ru</t>
  </si>
  <si>
    <t>tehnopark@tehpark.ru</t>
  </si>
  <si>
    <t>tehpromrzn@yandex.ru</t>
  </si>
  <si>
    <t>tehsnab-saratov@yandex.ru</t>
  </si>
  <si>
    <t>tehstroi-nn@tehstroi-nn.ru</t>
  </si>
  <si>
    <t>tek_nefteservis@mail.ru</t>
  </si>
  <si>
    <t>tekhpakmaster@bk.ru</t>
  </si>
  <si>
    <t>teknos.russia@teknos.com</t>
  </si>
  <si>
    <t>tekstil-house@mail.ru</t>
  </si>
  <si>
    <t>tekstil2022@bk.ru</t>
  </si>
  <si>
    <t>Telecom-master@yandex.ru</t>
  </si>
  <si>
    <t>telkoff@mail.ru</t>
  </si>
  <si>
    <t>telnyashechki@gmail.com</t>
  </si>
  <si>
    <t>temapack-info@yandex.ru</t>
  </si>
  <si>
    <t>tempiumpk@mail.ru</t>
  </si>
  <si>
    <t>tender.arh@mascoglass.ru</t>
  </si>
  <si>
    <t>tender@goodhim.com</t>
  </si>
  <si>
    <t>tender@grms.su</t>
  </si>
  <si>
    <t>tender@loymina.ru</t>
  </si>
  <si>
    <t>tender@medic-prom.ru</t>
  </si>
  <si>
    <t>teplicyoptrussia@yandex.ru</t>
  </si>
  <si>
    <t>teplitsa.sprav@yandex.ru</t>
  </si>
  <si>
    <t>teplo.gidro@gmail.com</t>
  </si>
  <si>
    <t>teplo@termolit.pro</t>
  </si>
  <si>
    <t>teploholodpvc@mail.ru</t>
  </si>
  <si>
    <t>terehinpro@yandex.ru</t>
  </si>
  <si>
    <t>teremok-design@mail.ru</t>
  </si>
  <si>
    <t>terentevstavromed@yandex.ru</t>
  </si>
  <si>
    <t>termo-krd@yandex.ru</t>
  </si>
  <si>
    <t>terraformation2017@gmail.com</t>
  </si>
  <si>
    <t>testsand@mail.ru</t>
  </si>
  <si>
    <t>teterinav@demidovskaya.ru</t>
  </si>
  <si>
    <t>tetragraph@mail.ru</t>
  </si>
  <si>
    <t>tev@askinm.ru</t>
  </si>
  <si>
    <t>teva@bk.ru</t>
  </si>
  <si>
    <t>tex2017spb@yandex.ru</t>
  </si>
  <si>
    <t>texmach63@mail.ru</t>
  </si>
  <si>
    <t>texnocom@kovrov.ru</t>
  </si>
  <si>
    <t>textil-cheb@yandex.ru</t>
  </si>
  <si>
    <t>textile.market@mail.ru</t>
  </si>
  <si>
    <t>textile44@bk.ru</t>
  </si>
  <si>
    <t>textill.nn@yandex.ru</t>
  </si>
  <si>
    <t>textilmarket@mail.ru</t>
  </si>
  <si>
    <t>tfzp@tfzp.ru</t>
  </si>
  <si>
    <t>thermo@meteor.ru</t>
  </si>
  <si>
    <t>thk_7@mail.ru</t>
  </si>
  <si>
    <t>tiflografika@mail.ru</t>
  </si>
  <si>
    <t>tigress_2019@inbox.ru</t>
  </si>
  <si>
    <t>tiikerikids@gmail.com</t>
  </si>
  <si>
    <t>tikhonova.24@yandex.ru</t>
  </si>
  <si>
    <t>tim@mantor.pro</t>
  </si>
  <si>
    <t>timarti74@mail.ru</t>
  </si>
  <si>
    <t>timofeeva@aquaeca.ru</t>
  </si>
  <si>
    <t>timt.pilmat_sg@segezha-group.com</t>
  </si>
  <si>
    <t>timursemenov2015@ya.ru</t>
  </si>
  <si>
    <t>tiomat198@yandex.ru</t>
  </si>
  <si>
    <t>tipografiay@mail.ru</t>
  </si>
  <si>
    <t>tipografiya-pmg@yandex.com</t>
  </si>
  <si>
    <t>titova@leber.ru</t>
  </si>
  <si>
    <t>tizspb@gmail.com</t>
  </si>
  <si>
    <t>tk21439@mail.ru</t>
  </si>
  <si>
    <t>tka174@yandex.ru</t>
  </si>
  <si>
    <t>tkprok@yandex.ru</t>
  </si>
  <si>
    <t>tl@amadeus-f.ru</t>
  </si>
  <si>
    <t>Tlandnsk@mail.ru</t>
  </si>
  <si>
    <t>tm_vilenababy@mail.ru</t>
  </si>
  <si>
    <t>tm.masterpit@yandex.ru</t>
  </si>
  <si>
    <t>tm387872@yandex.ru</t>
  </si>
  <si>
    <t>tmn@bvb-alyans.ru</t>
  </si>
  <si>
    <t>tmz.2022@yandex.ru</t>
  </si>
  <si>
    <t>tmzsbyt@yandex.ru</t>
  </si>
  <si>
    <t>tnv@monmoransy.com</t>
  </si>
  <si>
    <t>tochilin.aleksey@yandex.ru</t>
  </si>
  <si>
    <t>togr@quality-pro.ru</t>
  </si>
  <si>
    <t>tomaks@mail.ru</t>
  </si>
  <si>
    <t>tomass-07@yandex.ru</t>
  </si>
  <si>
    <t>tomskiy_len@mail.ru</t>
  </si>
  <si>
    <t>top-merch@yandex.ru</t>
  </si>
  <si>
    <t>top@perseiline.com</t>
  </si>
  <si>
    <t>topcheese@mail.ru</t>
  </si>
  <si>
    <t>topfashiontrade@bk.ru</t>
  </si>
  <si>
    <t>topor001@mail.ru</t>
  </si>
  <si>
    <t>toprintufa@yandex.ru</t>
  </si>
  <si>
    <t>topviner@mail.ru</t>
  </si>
  <si>
    <t>torg-zapad@dps.ru</t>
  </si>
  <si>
    <t>torg.arzamas@mail.ru</t>
  </si>
  <si>
    <t>torg.opt.russia@gmail.com</t>
  </si>
  <si>
    <t>torg@cariba.ru</t>
  </si>
  <si>
    <t>torg@teplofon.ru</t>
  </si>
  <si>
    <t>torg1@ionessi.ru</t>
  </si>
  <si>
    <t>torgi@makstory.ru</t>
  </si>
  <si>
    <t>torgmags@gmail.com</t>
  </si>
  <si>
    <t>tortosphere@yandex.ru</t>
  </si>
  <si>
    <t>tosheva_lena@mail.ru</t>
  </si>
  <si>
    <t>totorino05@mail.ru</t>
  </si>
  <si>
    <t>tovar@zencha.ru</t>
  </si>
  <si>
    <t>tpfsantim@mail.ru</t>
  </si>
  <si>
    <t>tpk-elektra22@bk.ru</t>
  </si>
  <si>
    <t>Tpkferrum.ru@yandex.ru</t>
  </si>
  <si>
    <t>tpkvibormanager@mail.ru</t>
  </si>
  <si>
    <t>tppsystem@mail.ru</t>
  </si>
  <si>
    <t>tpu-ppu@yandex.ru</t>
  </si>
  <si>
    <t>tr-s@mail.ru</t>
  </si>
  <si>
    <t>trade-tara@mail.ru</t>
  </si>
  <si>
    <t>trade@armar-lux.ru</t>
  </si>
  <si>
    <t>trade@baskcompany.ru</t>
  </si>
  <si>
    <t>trade@ca-priz.ru</t>
  </si>
  <si>
    <t>trade@ecovit.org</t>
  </si>
  <si>
    <t>trade@feeria-moda.ru</t>
  </si>
  <si>
    <t>trade@kor-groups.com</t>
  </si>
  <si>
    <t>trade@orimitrade.ru</t>
  </si>
  <si>
    <t>trade@rdfgroup.ru</t>
  </si>
  <si>
    <t>trade@russalt.ru</t>
  </si>
  <si>
    <t>trade@sp-don.ru</t>
  </si>
  <si>
    <t>trade@statusgoloden.ru</t>
  </si>
  <si>
    <t>trade@yesta.ru</t>
  </si>
  <si>
    <t>trade@zdrava.com</t>
  </si>
  <si>
    <t>tradeglobal.product@gmail.com</t>
  </si>
  <si>
    <t>tradicii.beleva@yandex.ru</t>
  </si>
  <si>
    <t>trading@kes-company.ru</t>
  </si>
  <si>
    <t>tradtex@list.ru</t>
  </si>
  <si>
    <t>trans-energo@bk.ru</t>
  </si>
  <si>
    <t>trapeza15@mail.ru</t>
  </si>
  <si>
    <t>trapezaposibirski@yandex.ru</t>
  </si>
  <si>
    <t>traviopt@mail.ru</t>
  </si>
  <si>
    <t>trefilovdm@mag-wood.ru</t>
  </si>
  <si>
    <t>treid-2008@mail.ru</t>
  </si>
  <si>
    <t>tri-trikotag@mail.ru</t>
  </si>
  <si>
    <t>tric@seltex-iv.ru</t>
  </si>
  <si>
    <t>trifonova@akosteks.ru</t>
  </si>
  <si>
    <t>trigger54@mail.ru</t>
  </si>
  <si>
    <t>trikotajnica@yandex.ru</t>
  </si>
  <si>
    <t>triplex2015@yandex.ru</t>
  </si>
  <si>
    <t>triton-vendor-market@yandex.ru</t>
  </si>
  <si>
    <t>tritonpl@yandex.ru</t>
  </si>
  <si>
    <t>tro3ka@gmail.com</t>
  </si>
  <si>
    <t>trofimova.n@shtil-print.ru</t>
  </si>
  <si>
    <t>trofimova@sib-m.ru</t>
  </si>
  <si>
    <t>trosti5shop@gmail.com</t>
  </si>
  <si>
    <t>trubapnd.top@yandex.ru</t>
  </si>
  <si>
    <t>trunov.hair@mail.ru</t>
  </si>
  <si>
    <t>trushin.gs@yandex.ru</t>
  </si>
  <si>
    <t>trust_flex@mail.ru</t>
  </si>
  <si>
    <t>ts@jpegtrans-signal.ru</t>
  </si>
  <si>
    <t>tsar-kovka@mail.ru</t>
  </si>
  <si>
    <t>tsb_moskit@mail.ru</t>
  </si>
  <si>
    <t>tseh@mail.ru</t>
  </si>
  <si>
    <t>tsv-spb.bags@yandex.ru</t>
  </si>
  <si>
    <t>tsybenkonadya@yandex.ru</t>
  </si>
  <si>
    <t>tu@agropit.ru</t>
  </si>
  <si>
    <t>tubing-m@mail.ru</t>
  </si>
  <si>
    <t>tulabak@ya.ru</t>
  </si>
  <si>
    <t>tulamilk@gmail.com</t>
  </si>
  <si>
    <t>tulskiy-ledenec@yandex.ru</t>
  </si>
  <si>
    <t>tumanina.str@gmail.com</t>
  </si>
  <si>
    <t>tumanov@printbazaar.ru</t>
  </si>
  <si>
    <t>turgor-am@yandex.ru</t>
  </si>
  <si>
    <t>tvermoloko@yandex.ru</t>
  </si>
  <si>
    <t>tvexcs@tvcom.ru</t>
  </si>
  <si>
    <t>tvorets2010@yandex.ru</t>
  </si>
  <si>
    <t>tvorog-nn@mail.ru</t>
  </si>
  <si>
    <t>tvoyaodezhda.pro@gmail.com</t>
  </si>
  <si>
    <t>tx@vluki.com</t>
  </si>
  <si>
    <t>tyuanfit@mail.ru</t>
  </si>
  <si>
    <t>u.energosistemy@yandex.ru</t>
  </si>
  <si>
    <t>u.masterskaya@mail.ru</t>
  </si>
  <si>
    <t>ub2005@yandex.ru</t>
  </si>
  <si>
    <t>uborakrd@gmail.com</t>
  </si>
  <si>
    <t>uchtinka-mk.zakaz@yandex.ru</t>
  </si>
  <si>
    <t>udalix@udalix.ru</t>
  </si>
  <si>
    <t>udk2004@mail.ru</t>
  </si>
  <si>
    <t>ufa.lift@bk.ru</t>
  </si>
  <si>
    <t>Ufabrig@yandex.ru</t>
  </si>
  <si>
    <t>ugor.rus@yandex.ru</t>
  </si>
  <si>
    <t>uk@ubkorm.ru</t>
  </si>
  <si>
    <t>ukbleskkostroma@ya.ru</t>
  </si>
  <si>
    <t>ukk2020@yandex.ru</t>
  </si>
  <si>
    <t>ulankov2016@mail.ru</t>
  </si>
  <si>
    <t>ulia.madorskaya@cwet.ru</t>
  </si>
  <si>
    <t>uliya@sophit.ru</t>
  </si>
  <si>
    <t>ulkonkrasnodar@mail.ru</t>
  </si>
  <si>
    <t>ulpp@inbox.ru</t>
  </si>
  <si>
    <t>ultima-moda@yandex.ru</t>
  </si>
  <si>
    <t>ultrakresla@gmail.com</t>
  </si>
  <si>
    <t>ultrame.pro@gmail.com</t>
  </si>
  <si>
    <t>ultraoffice@bzsn.ru</t>
  </si>
  <si>
    <t>uma.rustanova@two-eagles.ru</t>
  </si>
  <si>
    <t>umatdu@yandex.ru</t>
  </si>
  <si>
    <t>umi-online@mail.ru</t>
  </si>
  <si>
    <t>ums_sid@bk.ru</t>
  </si>
  <si>
    <t>undusk@sloplast.ru</t>
  </si>
  <si>
    <t>unimilk18@mail.ru</t>
  </si>
  <si>
    <t>unioncap@inbox.ru</t>
  </si>
  <si>
    <t>Unisono@list.ru</t>
  </si>
  <si>
    <t>universall@inbox.ru</t>
  </si>
  <si>
    <t>Uno_2019@mail.ru</t>
  </si>
  <si>
    <t>uno-tex@mail.ru</t>
  </si>
  <si>
    <t>Unona98@yandex.ru</t>
  </si>
  <si>
    <t>upack@komupak.ru</t>
  </si>
  <si>
    <t>upakovka@v-lek.ru</t>
  </si>
  <si>
    <t>upitermebel1@yandex.ru</t>
  </si>
  <si>
    <t>Ural-2000@mail.ru</t>
  </si>
  <si>
    <t>Ural-romanov@yandex.ru</t>
  </si>
  <si>
    <t>uralarmaprom@mail.ru</t>
  </si>
  <si>
    <t>uralbroiler@uralbro.ru</t>
  </si>
  <si>
    <t>uralres96@mail.ru</t>
  </si>
  <si>
    <t>ursa-russia@ursa.com</t>
  </si>
  <si>
    <t>usk_174@bk.ru</t>
  </si>
  <si>
    <t>usk-hupad@yandex.ru</t>
  </si>
  <si>
    <t>usov609689@yandex.ru</t>
  </si>
  <si>
    <t>uspehupakRus@mail.ru</t>
  </si>
  <si>
    <t>uspex54@yandex.ru</t>
  </si>
  <si>
    <t>ustinovfrons@yandex.ru</t>
  </si>
  <si>
    <t>usz-parus@yandex.ru</t>
  </si>
  <si>
    <t>uteks@mail.ru</t>
  </si>
  <si>
    <t>utkin.av@karpovchem.ru</t>
  </si>
  <si>
    <t>utkin@tdlez.ru</t>
  </si>
  <si>
    <t>uutatar@yandex.ru</t>
  </si>
  <si>
    <t>uv@eraspb.ru</t>
  </si>
  <si>
    <t>uvn-plast@yandex.ru</t>
  </si>
  <si>
    <t>uyuta-v-dome@mail.ru</t>
  </si>
  <si>
    <t>UzelokVrn@yandex.ru</t>
  </si>
  <si>
    <t>uzkmzakaz@mail.ru</t>
  </si>
  <si>
    <t>uzpr@bk.ru</t>
  </si>
  <si>
    <t>uzpvs@yandex.ru</t>
  </si>
  <si>
    <t>uzrvkub@yandex.ru</t>
  </si>
  <si>
    <t>v.9877315520@yandex.ru</t>
  </si>
  <si>
    <t>v.chernova@ankhold.ru</t>
  </si>
  <si>
    <t>v.e.2000@tut.by</t>
  </si>
  <si>
    <t>v.eniderkin@spp.ru</t>
  </si>
  <si>
    <t>v.grigorov@stroyproduct77.ru</t>
  </si>
  <si>
    <t>V.Lubavin@Delfinrus.com</t>
  </si>
  <si>
    <t>v.metsler@alfit.ru</t>
  </si>
  <si>
    <t>v.mezhibovski@russnegohod.ru</t>
  </si>
  <si>
    <t>v.nikitin@schraubenmun.ru</t>
  </si>
  <si>
    <t>v.panov-tc@yandex.ru</t>
  </si>
  <si>
    <t>v.yudin@ddm-sound.ru</t>
  </si>
  <si>
    <t>va_krisii@ecogum.ru</t>
  </si>
  <si>
    <t>va_ypc@mail.ru</t>
  </si>
  <si>
    <t>vaaat@yandex.ru</t>
  </si>
  <si>
    <t>vadeurich@yandex.ru</t>
  </si>
  <si>
    <t>vadim.p0201@yandex.ru</t>
  </si>
  <si>
    <t>vag.profitex@gmail.com</t>
  </si>
  <si>
    <t>valenkioptom76@gmail.com</t>
  </si>
  <si>
    <t>valenkisever@yandex.ru</t>
  </si>
  <si>
    <t>valentin.gordienko@ekipland.ru</t>
  </si>
  <si>
    <t>valentin.pastukhov@protectivesystems.ru</t>
  </si>
  <si>
    <t>valentinochka@bk.ru</t>
  </si>
  <si>
    <t>valera.opt2014@yandex.ru</t>
  </si>
  <si>
    <t>valeramen@varteck.com</t>
  </si>
  <si>
    <t>vamintatarstan@mail.ru</t>
  </si>
  <si>
    <t>vanteevpetr@yandex.ru</t>
  </si>
  <si>
    <t>vanuykov@velvex.shop</t>
  </si>
  <si>
    <t>vardIdea-plast@yandex.ru</t>
  </si>
  <si>
    <t>varvara.evgrafov@mail.ru</t>
  </si>
  <si>
    <t>vasko@sales.pack.ru</t>
  </si>
  <si>
    <t>Vaso@avestar.ru</t>
  </si>
  <si>
    <t>vavilon363@rambler.ru</t>
  </si>
  <si>
    <t>vavy14-1@mail.ru</t>
  </si>
  <si>
    <t>vaz19.80@yandex.ru</t>
  </si>
  <si>
    <t>vblinkov@tarmet.ru</t>
  </si>
  <si>
    <t>vbs@rapsalin.com</t>
  </si>
  <si>
    <t>vbs@tlt.ru</t>
  </si>
  <si>
    <t>vbtrrostov@mail.ru</t>
  </si>
  <si>
    <t>vcenci@bk.ru</t>
  </si>
  <si>
    <t>vchumakov@rusredmet.ru</t>
  </si>
  <si>
    <t>vea@ardour.style</t>
  </si>
  <si>
    <t>Vector33M@gmail.com</t>
  </si>
  <si>
    <t>vek_tekstil@mail.ru</t>
  </si>
  <si>
    <t>vektor.vent@mail.ru</t>
  </si>
  <si>
    <t>vektrabiznes@mail.ru</t>
  </si>
  <si>
    <t>velasrs@yandex.ru</t>
  </si>
  <si>
    <t>velesstone@yandex.ru</t>
  </si>
  <si>
    <t>velichnv@yandex.ru</t>
  </si>
  <si>
    <t>velm@velm.ru</t>
  </si>
  <si>
    <t>venok@venok-ritual.ru</t>
  </si>
  <si>
    <t>ventmash-m@ventmash.net</t>
  </si>
  <si>
    <t>vepsrub@gmail.com</t>
  </si>
  <si>
    <t>vera.solyaris@mail.ru</t>
  </si>
  <si>
    <t>verakso@absolut-n.com</t>
  </si>
  <si>
    <t>vernisazhistorii@yandex.ru</t>
  </si>
  <si>
    <t>ves@alfaetalon.ru</t>
  </si>
  <si>
    <t>vesna@vesna.kirov.ru</t>
  </si>
  <si>
    <t>vesprom77@mail.ru</t>
  </si>
  <si>
    <t>vest_volga@mail.ru</t>
  </si>
  <si>
    <t>vetluzhskayavoda@yandex.ru</t>
  </si>
  <si>
    <t>vezdehoder@yandex.ru</t>
  </si>
  <si>
    <t>viavitel@yandex.ru</t>
  </si>
  <si>
    <t>victor@polietileny.ru</t>
  </si>
  <si>
    <t>vid-kids@yandex.ru</t>
  </si>
  <si>
    <t>vid2379@mail.ru</t>
  </si>
  <si>
    <t>vifalia.shop@gmail.com</t>
  </si>
  <si>
    <t>vigen2015@mail.ru</t>
  </si>
  <si>
    <t>vikingfish67@gmail.com</t>
  </si>
  <si>
    <t>viktor-bote@mail.ru</t>
  </si>
  <si>
    <t>viktor@ecohlebtm.ru</t>
  </si>
  <si>
    <t>viktor@td-viko.ru</t>
  </si>
  <si>
    <t>viktoria.d@kvinto55.ru</t>
  </si>
  <si>
    <t>Viktorina.bs41@gmail.com</t>
  </si>
  <si>
    <t>viktoriya.vn@mail.ru</t>
  </si>
  <si>
    <t>vilana-tex@mail.ru</t>
  </si>
  <si>
    <t>vima.mebel@gmail.com</t>
  </si>
  <si>
    <t>vin@vinteplo.ru</t>
  </si>
  <si>
    <t>vinar54@mail.ru</t>
  </si>
  <si>
    <t>vinmotors@inbox.ru</t>
  </si>
  <si>
    <t>vinnilave@mail.ru</t>
  </si>
  <si>
    <t>vinokurov@edimspolzoy.ru</t>
  </si>
  <si>
    <t>viola_nsk@mail.ru</t>
  </si>
  <si>
    <t>viola.shtriker@mail.ru</t>
  </si>
  <si>
    <t>vip-art@mail.ru</t>
  </si>
  <si>
    <t>vip-batut@yandex.ru</t>
  </si>
  <si>
    <t>vip.takich@mail.ru</t>
  </si>
  <si>
    <t>vira-gruz.sv@mail.ru</t>
  </si>
  <si>
    <t>virage_2003@mail.ru</t>
  </si>
  <si>
    <t>virele.perm@mail.ru</t>
  </si>
  <si>
    <t>vishivka@proshevron.com</t>
  </si>
  <si>
    <t>vishnevskaya@rusprof.ru</t>
  </si>
  <si>
    <t>vissolmanager@yandex.ru</t>
  </si>
  <si>
    <t>vista63@list.ru</t>
  </si>
  <si>
    <t>vitaliy_bakar@mail.ru</t>
  </si>
  <si>
    <t>vitalyp@mail.ru</t>
  </si>
  <si>
    <t>vitalytumanov@gmail.com</t>
  </si>
  <si>
    <t>vitatent@yandex.ru</t>
  </si>
  <si>
    <t>vitos110@mail.ru</t>
  </si>
  <si>
    <t>vitraje-nn@yandex.ru</t>
  </si>
  <si>
    <t>vittora@mail.ru</t>
  </si>
  <si>
    <t>vivo-fashion@mail.ru</t>
  </si>
  <si>
    <t>vivo-klient@vivo-fashion.ru</t>
  </si>
  <si>
    <t>vizaraspb@yandex.ru</t>
  </si>
  <si>
    <t>vk-sfera@mail.ru</t>
  </si>
  <si>
    <t>vk-trade@mail.ru</t>
  </si>
  <si>
    <t>vk@stivado.ru</t>
  </si>
  <si>
    <t>vk9282280149@yandex.ru</t>
  </si>
  <si>
    <t>vkoz17@mail.ru</t>
  </si>
  <si>
    <t>vkusno.sales@yandex.ru</t>
  </si>
  <si>
    <t>vkusnovarzn@gmail.com</t>
  </si>
  <si>
    <t>vkusrus@bk.ru</t>
  </si>
  <si>
    <t>vkuss.com@inbox.ru</t>
  </si>
  <si>
    <t>vlad.ag@inbox.ru</t>
  </si>
  <si>
    <t>vladzmp.ru@yandex.ru</t>
  </si>
  <si>
    <t>vlapacksnab@mail.ru</t>
  </si>
  <si>
    <t>vlasov-kvaslux@yandex.ru</t>
  </si>
  <si>
    <t>vlaviwurst@gmail.com</t>
  </si>
  <si>
    <t>vlhlcom@vladhleb.com</t>
  </si>
  <si>
    <t>vm_zavod6@mail.ru</t>
  </si>
  <si>
    <t>vm@rzts.ru</t>
  </si>
  <si>
    <t>vmleathergoods@gmail.com</t>
  </si>
  <si>
    <t>vmotion2018@gmail.com</t>
  </si>
  <si>
    <t>vms28@mail.ru</t>
  </si>
  <si>
    <t>vnm@planetacentr.ru</t>
  </si>
  <si>
    <t>voda-elite-aqua@yandex.ru</t>
  </si>
  <si>
    <t>voda.kmv@mail.ru</t>
  </si>
  <si>
    <t>vodasmile@mail.ru</t>
  </si>
  <si>
    <t>vok@bumko.ru</t>
  </si>
  <si>
    <t>vokvl@mail.ru</t>
  </si>
  <si>
    <t>volgateks@bk.ru</t>
  </si>
  <si>
    <t>volgogradattr@rambler.ru</t>
  </si>
  <si>
    <t>volgskie@mail.com</t>
  </si>
  <si>
    <t>volkov-kpk@mail.ru</t>
  </si>
  <si>
    <t>volkova@smart-textile.ru</t>
  </si>
  <si>
    <t>volo91@mail.ru</t>
  </si>
  <si>
    <t>vologda.forma@yandex.ru</t>
  </si>
  <si>
    <t>VOLPROM@bk.ru</t>
  </si>
  <si>
    <t>voltera@rostehbyt.ru</t>
  </si>
  <si>
    <t>vopros@impleso.ru</t>
  </si>
  <si>
    <t>vopros@yafo-goods.ru</t>
  </si>
  <si>
    <t>vorimteks_70@mail.ru</t>
  </si>
  <si>
    <t>voronina@zolpodkova.ru</t>
  </si>
  <si>
    <t>vossvechicer@mail.ru</t>
  </si>
  <si>
    <t>Vostok-s@bk.ru</t>
  </si>
  <si>
    <t>vostok@polygal.com</t>
  </si>
  <si>
    <t>vovbiz.lip@yandex.ru</t>
  </si>
  <si>
    <t>vozrrazv@vmail.ru</t>
  </si>
  <si>
    <t>vpfs@bk.ru</t>
  </si>
  <si>
    <t>vrmz2007mg@yandex.ru</t>
  </si>
  <si>
    <t>vs.bashfarfor@bk.ru</t>
  </si>
  <si>
    <t>vse.krasznam@yandex.ru</t>
  </si>
  <si>
    <t>vsederevyashki@yandex.ru</t>
  </si>
  <si>
    <t>vsesvoecom@yandex.ru</t>
  </si>
  <si>
    <t>Vsevsad2021@mail.ru</t>
  </si>
  <si>
    <t>vsgla@mail.ru</t>
  </si>
  <si>
    <t>vsk@ikt-spb.ru</t>
  </si>
  <si>
    <t>vskrvo@gmail.com</t>
  </si>
  <si>
    <t>vsz@dsk-etalon.ru</t>
  </si>
  <si>
    <t>vtcompany37@yandex.ru</t>
  </si>
  <si>
    <t>vtorpndpp@yandex.ru</t>
  </si>
  <si>
    <t>vulkanlvc@mail.ru</t>
  </si>
  <si>
    <t>vv.toropov722672@gmail.com</t>
  </si>
  <si>
    <t>vvs73@bk.ru</t>
  </si>
  <si>
    <t>vvz7@yandex.ru</t>
  </si>
  <si>
    <t>vyacheslav@mypumpup.ru</t>
  </si>
  <si>
    <t>vyugina_tatiana@goldenhohloma.com</t>
  </si>
  <si>
    <t>vzga.marketing@mail.ru</t>
  </si>
  <si>
    <t>vzkm2020@yandex.ru</t>
  </si>
  <si>
    <t>vzksm@ruscom.ru</t>
  </si>
  <si>
    <t>w@ekspress-kuban.ru</t>
  </si>
  <si>
    <t>wamil82@mail.ru</t>
  </si>
  <si>
    <t>warco-znaki@mail.ru</t>
  </si>
  <si>
    <t>warmcompanys@gmail.com</t>
  </si>
  <si>
    <t>warmdesign.m@yandex.ru</t>
  </si>
  <si>
    <t>warmplatt@yandex.ru</t>
  </si>
  <si>
    <t>water_order@mail.ru</t>
  </si>
  <si>
    <t>waygroup2042@gmail.com</t>
  </si>
  <si>
    <t>wc24@yandex.ru</t>
  </si>
  <si>
    <t>wdwork@yandex.ru</t>
  </si>
  <si>
    <t>wealthyguy1723@yahoo.com</t>
  </si>
  <si>
    <t>web.tkdm@mail.ru</t>
  </si>
  <si>
    <t>web@mebelholding.ru</t>
  </si>
  <si>
    <t>webmaster@serebrum.ru</t>
  </si>
  <si>
    <t>welcome@confashion.ru</t>
  </si>
  <si>
    <t>welcome@happywear.ru</t>
  </si>
  <si>
    <t>weles-agro@mail.ru</t>
  </si>
  <si>
    <t>werfstore@mail.ru</t>
  </si>
  <si>
    <t>wetless@bk.ru</t>
  </si>
  <si>
    <t>wicavo@mail.ru</t>
  </si>
  <si>
    <t>wikeseo@yandex.ru</t>
  </si>
  <si>
    <t>wikihelps.ru@yandex.ru</t>
  </si>
  <si>
    <t>wizards.brand@gmail.com</t>
  </si>
  <si>
    <t>woc@list.ru</t>
  </si>
  <si>
    <t>wodotata@inbox.ru</t>
  </si>
  <si>
    <t>woman_accent@mail.ru</t>
  </si>
  <si>
    <t>woodenww39@bk.ru</t>
  </si>
  <si>
    <t>woodexpertsale@gmail.com</t>
  </si>
  <si>
    <t>woodins@mail.ru</t>
  </si>
  <si>
    <t>woodlife@inbox.ru</t>
  </si>
  <si>
    <t>woodline-dveri@mail.ru</t>
  </si>
  <si>
    <t>woodmari.lipa@gmail.com</t>
  </si>
  <si>
    <t>woodtime@yandex.ru</t>
  </si>
  <si>
    <t>wool-sheep@mail.ru</t>
  </si>
  <si>
    <t>woolt.moscow@gmail.com</t>
  </si>
  <si>
    <t>workasu@mail.ru</t>
  </si>
  <si>
    <t>worlddistributor@yandex.ru</t>
  </si>
  <si>
    <t>wowgranola@gmail.com</t>
  </si>
  <si>
    <t>www.ec74.ru@yandex.ru</t>
  </si>
  <si>
    <t>www.maslov@bk.ru</t>
  </si>
  <si>
    <t>www.ruspvc@mail.ru</t>
  </si>
  <si>
    <t>www.shoker.ru@gmail.com</t>
  </si>
  <si>
    <t>www.ufabssi.ru@ya.ru</t>
  </si>
  <si>
    <t>www@mail.ru</t>
  </si>
  <si>
    <t>wwww-60@bk.ru</t>
  </si>
  <si>
    <t>wz.elena@yandex.ru</t>
  </si>
  <si>
    <t>x0y1@mail.ru</t>
  </si>
  <si>
    <t>x20304444@gmail.com</t>
  </si>
  <si>
    <t>xekabet228@gmail.com</t>
  </si>
  <si>
    <t>Xim-resursservis@yandex.ru</t>
  </si>
  <si>
    <t>xzka@mail.ru</t>
  </si>
  <si>
    <t>y.chumin@rk-roskon.ru</t>
  </si>
  <si>
    <t>y.gladkih@pkf.perm.ru</t>
  </si>
  <si>
    <t>Y.Kovaleva@agrivolga.ru</t>
  </si>
  <si>
    <t>y.medvedkova@sintekom.ru</t>
  </si>
  <si>
    <t>ya.texpolimer@yandex.ru</t>
  </si>
  <si>
    <t>yakhiev.ys@gmail.com</t>
  </si>
  <si>
    <t>yan.enov@bzs.ru</t>
  </si>
  <si>
    <t>yana-safonova7@yandex.ru</t>
  </si>
  <si>
    <t>yana@qtp.ru</t>
  </si>
  <si>
    <t>yanata@mail.ru</t>
  </si>
  <si>
    <t>yancho@mail.ru</t>
  </si>
  <si>
    <t>yanta@irk.ru</t>
  </si>
  <si>
    <t>yantar-s@mail.ru</t>
  </si>
  <si>
    <t>yanvarmeb.dm@gmail.com</t>
  </si>
  <si>
    <t>yar.antiseptik@mail.ru</t>
  </si>
  <si>
    <t>yarco2210@ya.ru</t>
  </si>
  <si>
    <t>yarmatura@gmail.com</t>
  </si>
  <si>
    <t>yaroff.fdm@yandex.ru</t>
  </si>
  <si>
    <t>yaroslav.maktamak@bk.ru</t>
  </si>
  <si>
    <t>yaroslavets.traktor@yandex.ru</t>
  </si>
  <si>
    <t>yarovicyna@mail.ru</t>
  </si>
  <si>
    <t>yarpolimerprom@gmail.com</t>
  </si>
  <si>
    <t>yarst@inbox.ru</t>
  </si>
  <si>
    <t>yarupak@mail.ru</t>
  </si>
  <si>
    <t>yaruse.ru@bk.ru</t>
  </si>
  <si>
    <t>yashina.77@mail.ru</t>
  </si>
  <si>
    <t>YASHKINO-PK@yandex.ru</t>
  </si>
  <si>
    <t>yekaterina.osokina.86@mail.ru</t>
  </si>
  <si>
    <t>yes@kvatplast.ru</t>
  </si>
  <si>
    <t>yg-proms@mail.ru</t>
  </si>
  <si>
    <t>Ymko74@yandex.ru</t>
  </si>
  <si>
    <t>yo.3d.studio.sales@gmail.com</t>
  </si>
  <si>
    <t>yoshpes@yandex.ru</t>
  </si>
  <si>
    <t>youryour.hats@gmail.com</t>
  </si>
  <si>
    <t>ysk76@bk.ru</t>
  </si>
  <si>
    <t>yu.storozhenko@mfm-moscow.ru</t>
  </si>
  <si>
    <t>yugeco01.market@mail.ru</t>
  </si>
  <si>
    <t>yugkran@yandex.ru</t>
  </si>
  <si>
    <t>yugpartner-granula@bk.ru</t>
  </si>
  <si>
    <t>yukka_moskva@mail.ru</t>
  </si>
  <si>
    <t>yukka.sale@gmail.com</t>
  </si>
  <si>
    <t>yulyakramina@mail.ru</t>
  </si>
  <si>
    <t>yumatovr@bk.ru</t>
  </si>
  <si>
    <t>yury@jackssquare.com</t>
  </si>
  <si>
    <t>yustusgerman@yandex.ru</t>
  </si>
  <si>
    <t>yutplast@mail.ru</t>
  </si>
  <si>
    <t>yuzsib@gmail.com</t>
  </si>
  <si>
    <t>yv@zaglushka.ru</t>
  </si>
  <si>
    <t>z.goplacheva@cfzhako.ru</t>
  </si>
  <si>
    <t>z.muhatdisova@datamark.ru</t>
  </si>
  <si>
    <t>z.tulyakova58@bk.ru</t>
  </si>
  <si>
    <t>zab44488@yandex.ru</t>
  </si>
  <si>
    <t>zabavamaf@yandex.ru</t>
  </si>
  <si>
    <t>zaboryvnizhnem3@yandex.ru</t>
  </si>
  <si>
    <t>zabpsk.chita@mail.ru</t>
  </si>
  <si>
    <t>zaharovskiprodykti@gmail.com</t>
  </si>
  <si>
    <t>zaharyan.karina@yandex.ru</t>
  </si>
  <si>
    <t>zajcev@masteras.ru</t>
  </si>
  <si>
    <t>zak.farmatevgenia@mail.ru</t>
  </si>
  <si>
    <t>zakaz_sf@mail.ru</t>
  </si>
  <si>
    <t>zakaz-elegant-m@yandex.ru</t>
  </si>
  <si>
    <t>zakaz-rezerve@mail.ru</t>
  </si>
  <si>
    <t>zakaz.aem@mail.ru</t>
  </si>
  <si>
    <t>zakaz.happybit@yandex.ru</t>
  </si>
  <si>
    <t>zakaz.opt2018@mail.ru</t>
  </si>
  <si>
    <t>zakaz.toloknov@gmail.com</t>
  </si>
  <si>
    <t>zakaz.zifa@gmail.com</t>
  </si>
  <si>
    <t>zakaz@2405500.ru</t>
  </si>
  <si>
    <t>zakaz@3017762.ru</t>
  </si>
  <si>
    <t>zakaz@akrilium.ru</t>
  </si>
  <si>
    <t>zakaz@alet.ru</t>
  </si>
  <si>
    <t>zakaz@alt-pos.ru</t>
  </si>
  <si>
    <t>zakaz@anker-w.ru</t>
  </si>
  <si>
    <t>zakaz@architec-decor.ru</t>
  </si>
  <si>
    <t>zakaz@areapanels.ru</t>
  </si>
  <si>
    <t>zakaz@arhisand.ru</t>
  </si>
  <si>
    <t>zakaz@artcandles.ru</t>
  </si>
  <si>
    <t>zakaz@askpromplast.ru</t>
  </si>
  <si>
    <t>zakaz@avadgardplus.info</t>
  </si>
  <si>
    <t>zakaz@b-desert.ru</t>
  </si>
  <si>
    <t>zakaz@belform.ru</t>
  </si>
  <si>
    <t>zakaz@benza.ru</t>
  </si>
  <si>
    <t>zakaz@betuladecor.ru</t>
  </si>
  <si>
    <t>zakaz@bgmz.ru</t>
  </si>
  <si>
    <t>zakaz@biodanika.ru</t>
  </si>
  <si>
    <t>zakaz@blago-td.ru</t>
  </si>
  <si>
    <t>zakaz@bytovka-deshevo.ru</t>
  </si>
  <si>
    <t>zakaz@cabinet-ledekran.ru</t>
  </si>
  <si>
    <t>zakaz@cooza.pro</t>
  </si>
  <si>
    <t>zakaz@delikateci.ru</t>
  </si>
  <si>
    <t>zakaz@diodex.ru</t>
  </si>
  <si>
    <t>zakaz@dispak.ru</t>
  </si>
  <si>
    <t>zakaz@doilka.com</t>
  </si>
  <si>
    <t>zakaz@domkvas.ru</t>
  </si>
  <si>
    <t>zakaz@domperegon.com</t>
  </si>
  <si>
    <t>zakaz@dostavkadivanov.ru</t>
  </si>
  <si>
    <t>zakaz@dverienter.com</t>
  </si>
  <si>
    <t>zakaz@eclipsegel.ru</t>
  </si>
  <si>
    <t>zakaz@efesto.pro</t>
  </si>
  <si>
    <t>zakaz@effekt-energo.ru</t>
  </si>
  <si>
    <t>zakaz@egorka37.ru</t>
  </si>
  <si>
    <t>zakaz@ekush.ru</t>
  </si>
  <si>
    <t>zakaz@elcom-kids.ru</t>
  </si>
  <si>
    <t>zakaz@elem.info</t>
  </si>
  <si>
    <t>zakaz@emi-school.ru</t>
  </si>
  <si>
    <t>zakaz@ensolves.ru</t>
  </si>
  <si>
    <t>zakaz@entro-design.ru</t>
  </si>
  <si>
    <t>zakaz@esmis.ru</t>
  </si>
  <si>
    <t>zakaz@evrotransmarket.ru</t>
  </si>
  <si>
    <t>zakaz@exform.ru</t>
  </si>
  <si>
    <t>zakaz@fab-art.ru</t>
  </si>
  <si>
    <t>zakaz@fabrikadk.ru</t>
  </si>
  <si>
    <t>zakaz@fabrikanoskov.ru</t>
  </si>
  <si>
    <t>zakaz@finstroy.net</t>
  </si>
  <si>
    <t>zakaz@fortis-pak.ru</t>
  </si>
  <si>
    <t>zakaz@gardenplast.ru</t>
  </si>
  <si>
    <t>zakaz@gfi-rus.com</t>
  </si>
  <si>
    <t>zakaz@gfleksa.ru</t>
  </si>
  <si>
    <t>zakaz@ghz.ru</t>
  </si>
  <si>
    <t>zakaz@glosslabel.com</t>
  </si>
  <si>
    <t>zakaz@helyx.ru</t>
  </si>
  <si>
    <t>zakaz@hippo-kids.ru</t>
  </si>
  <si>
    <t>zakaz@id-mebel.info</t>
  </si>
  <si>
    <t>zakaz@inkraft.net</t>
  </si>
  <si>
    <t>zakaz@ironopori.ru</t>
  </si>
  <si>
    <t>zakaz@ivelektro.ru</t>
  </si>
  <si>
    <t>zakaz@karavay.spb.ru</t>
  </si>
  <si>
    <t>zakaz@kaysarow.ru</t>
  </si>
  <si>
    <t>zakaz@kgfnola.ru</t>
  </si>
  <si>
    <t>zakaz@krosh-ka.ru</t>
  </si>
  <si>
    <t>zakaz@kubansteklotara.ru</t>
  </si>
  <si>
    <t>zakaz@ligapack.ru</t>
  </si>
  <si>
    <t>zakaz@lightproof.ru</t>
  </si>
  <si>
    <t>zakaz@littlebloom.ru</t>
  </si>
  <si>
    <t>zakaz@lmopt.ru</t>
  </si>
  <si>
    <t>zakaz@loveandsweets.ru</t>
  </si>
  <si>
    <t>zakaz@lumexart.ru</t>
  </si>
  <si>
    <t>zakaz@lyalya73.ru</t>
  </si>
  <si>
    <t>zakaz@mafich.ru</t>
  </si>
  <si>
    <t>zakaz@magazin-s.com</t>
  </si>
  <si>
    <t>zakaz@malahovskiy.ru</t>
  </si>
  <si>
    <t>zakaz@manzanaplus.ru</t>
  </si>
  <si>
    <t>zakaz@masavtobeton.ru</t>
  </si>
  <si>
    <t>zakaz@mbex.ru</t>
  </si>
  <si>
    <t>zakaz@mel-marker.ru</t>
  </si>
  <si>
    <t>zakaz@metallist-udm.ru</t>
  </si>
  <si>
    <t>zakaz@mfa58.ru</t>
  </si>
  <si>
    <t>zakaz@mfm-moscow.ru</t>
  </si>
  <si>
    <t>zakaz@minifigurka.ru</t>
  </si>
  <si>
    <t>zakaz@mirofox.ru</t>
  </si>
  <si>
    <t>zakaz@mobilnyzabor.com</t>
  </si>
  <si>
    <t>zakaz@mondi.su</t>
  </si>
  <si>
    <t>zakaz@mtr-servis.ru</t>
  </si>
  <si>
    <t>zakaz@mwphockey.ru</t>
  </si>
  <si>
    <t>zakaz@mznm.ru</t>
  </si>
  <si>
    <t>Zakaz@naves-hi-tech.ru</t>
  </si>
  <si>
    <t>zakaz@neodrip.ru</t>
  </si>
  <si>
    <t>zakaz@noez-zavod.ru</t>
  </si>
  <si>
    <t>zakaz@npo-integral.ru</t>
  </si>
  <si>
    <t>zakaz@npp-mehanika.ru</t>
  </si>
  <si>
    <t>zakaz@o-m-p.ru</t>
  </si>
  <si>
    <t>zakaz@obuv-eva.ru</t>
  </si>
  <si>
    <t>zakaz@ogk-opora.ru</t>
  </si>
  <si>
    <t>zakaz@ograx.ru</t>
  </si>
  <si>
    <t>zakaz@oknabau.ru</t>
  </si>
  <si>
    <t>zakaz@oooedinstvo.com</t>
  </si>
  <si>
    <t>zakaz@pallet63.ru</t>
  </si>
  <si>
    <t>zakaz@paritet.podolsk.ru</t>
  </si>
  <si>
    <t>zakaz@patrikmast.ru</t>
  </si>
  <si>
    <t>zakaz@pbsspb.com</t>
  </si>
  <si>
    <t>zakaz@pletenev.ru</t>
  </si>
  <si>
    <t>zakaz@pododeyalkom.ru</t>
  </si>
  <si>
    <t>zakaz@polag.ru</t>
  </si>
  <si>
    <t>zakaz@pollypettoys.ru</t>
  </si>
  <si>
    <t>zakaz@polyfacture.ru</t>
  </si>
  <si>
    <t>zakaz@pravpack.com</t>
  </si>
  <si>
    <t>zakaz@prod.art</t>
  </si>
  <si>
    <t>zakaz@profy-t.ru</t>
  </si>
  <si>
    <t>zakaz@promokoster.ru</t>
  </si>
  <si>
    <t>zakaz@promteh-spb.ru</t>
  </si>
  <si>
    <t>zakaz@promto62.ru</t>
  </si>
  <si>
    <t>zakaz@rezolux.ru</t>
  </si>
  <si>
    <t>zakaz@rikotriko.ru</t>
  </si>
  <si>
    <t>zakaz@romer.ru</t>
  </si>
  <si>
    <t>zakaz@rosarms.com</t>
  </si>
  <si>
    <t>zakaz@roskomtrans.ru</t>
  </si>
  <si>
    <t>zakaz@rosvetrogenerator.ru</t>
  </si>
  <si>
    <t>zakaz@rpt.ru.com</t>
  </si>
  <si>
    <t>zakaz@rsts.ru</t>
  </si>
  <si>
    <t>zakaz@russcarton.ru</t>
  </si>
  <si>
    <t>zakaz@rybaoptom.ru</t>
  </si>
  <si>
    <t>zakaz@saturngk.ru</t>
  </si>
  <si>
    <t>zakaz@sazhinskiy.ru</t>
  </si>
  <si>
    <t>zakaz@sd88.ru</t>
  </si>
  <si>
    <t>zakaz@shtaketniki.ru</t>
  </si>
  <si>
    <t>zakaz@spe.su</t>
  </si>
  <si>
    <t>zakaz@specpozakuske.ru</t>
  </si>
  <si>
    <t>zakaz@spsever.ru</t>
  </si>
  <si>
    <t>zakaz@stanki-stark.ru</t>
  </si>
  <si>
    <t>zakaz@svecha-market.ru</t>
  </si>
  <si>
    <t>zakaz@svetorezerv.ru</t>
  </si>
  <si>
    <t>zakaz@tat-sbyt.ru</t>
  </si>
  <si>
    <t>zakaz@td-gzhel.ru</t>
  </si>
  <si>
    <t>zakaz@td-shkola.ru</t>
  </si>
  <si>
    <t>zakaz@tehsnabural.ru</t>
  </si>
  <si>
    <t>zakaz@terra-led.ru</t>
  </si>
  <si>
    <t>Zakaz@tex-tri.ru</t>
  </si>
  <si>
    <t>zakaz@toenergo.ru</t>
  </si>
  <si>
    <t>zakaz@trybapnd.ru</t>
  </si>
  <si>
    <t>Zakaz@trzo.ru</t>
  </si>
  <si>
    <t>zakaz@umasmeb.ru</t>
  </si>
  <si>
    <t>zakaz@upakovkaoptom.ru</t>
  </si>
  <si>
    <t>zakaz@veara.ru</t>
  </si>
  <si>
    <t>zakaz@ventopro.ru</t>
  </si>
  <si>
    <t>zakaz@versta.store</t>
  </si>
  <si>
    <t>zakaz@vilon.ru</t>
  </si>
  <si>
    <t>zakaz@vitafon.ru</t>
  </si>
  <si>
    <t>zakaz@vitagrin.ru</t>
  </si>
  <si>
    <t>zakaz@volzhanin.com</t>
  </si>
  <si>
    <t>zakaz@vorsh.ru</t>
  </si>
  <si>
    <t>zakaz@vvlesprom.com</t>
  </si>
  <si>
    <t>zakaz@worldofmetal.ru</t>
  </si>
  <si>
    <t>zakaz@xn--90acefzjlcetj7c6d.xn</t>
  </si>
  <si>
    <t>zakaz@zaborpodolsk.ru</t>
  </si>
  <si>
    <t>zakaz@zao-proton.ru</t>
  </si>
  <si>
    <t>zakaz@zavod-174.ru</t>
  </si>
  <si>
    <t>zakaz@zavodh.ru</t>
  </si>
  <si>
    <t>zakaz+238878@pineshop.ru</t>
  </si>
  <si>
    <t>zakaz1@interier-center.ru</t>
  </si>
  <si>
    <t>zakaz1v@mail.ru</t>
  </si>
  <si>
    <t>zakaz2023@hellenfarben.ru</t>
  </si>
  <si>
    <t>zakaz4@jenavi.ru</t>
  </si>
  <si>
    <t>zakaz8@prom-en.com</t>
  </si>
  <si>
    <t>zakazgarro@gmail.com</t>
  </si>
  <si>
    <t>zakazholod@yandex.ru</t>
  </si>
  <si>
    <t>zakazktekstil@mail.ru</t>
  </si>
  <si>
    <t>zakazslg@mail.ru</t>
  </si>
  <si>
    <t>zakirov_tr@pfvaraksino.ru</t>
  </si>
  <si>
    <t>zakup@flexografica.ru</t>
  </si>
  <si>
    <t>zakup@mypumpup.ru</t>
  </si>
  <si>
    <t>zakup@zakuski.su</t>
  </si>
  <si>
    <t>zakupki@egoza-tag.ru</t>
  </si>
  <si>
    <t>zakupki@natural-oil.ru</t>
  </si>
  <si>
    <t>zalevskii_va@transvit-center.ru</t>
  </si>
  <si>
    <t>zam.valensia@mail.ru</t>
  </si>
  <si>
    <t>zam@elitaprof.com</t>
  </si>
  <si>
    <t>zao_tehservis@mail.ru</t>
  </si>
  <si>
    <t>zao@zaomari.ru</t>
  </si>
  <si>
    <t>zaoaltaimash@mail.ru</t>
  </si>
  <si>
    <t>zapas@zapas.me</t>
  </si>
  <si>
    <t>zapros@arline.ru</t>
  </si>
  <si>
    <t>zapros@proton-sss.ru</t>
  </si>
  <si>
    <t>zapros@velkran.ru</t>
  </si>
  <si>
    <t>zapros22@chempack.ru</t>
  </si>
  <si>
    <t>zar_med_pavel@mail.ru</t>
  </si>
  <si>
    <t>zarya.zakaz@mail.ru</t>
  </si>
  <si>
    <t>zauralie45@mail.ru</t>
  </si>
  <si>
    <t>zaverkin@mos-clim.ru</t>
  </si>
  <si>
    <t>zavetnie.sladosti@mail.ru</t>
  </si>
  <si>
    <t>zavod-vto@yandex.ru</t>
  </si>
  <si>
    <t>zavod@chmz.org</t>
  </si>
  <si>
    <t>zavod@gk-kapitel.ru</t>
  </si>
  <si>
    <t>zavod@konditerhouse.ru</t>
  </si>
  <si>
    <t>zavod@tentorium.ru</t>
  </si>
  <si>
    <t>zavod@tmprom.ru</t>
  </si>
  <si>
    <t>zavodgpo72@mail.ru</t>
  </si>
  <si>
    <t>zavodktp24@mail.ru</t>
  </si>
  <si>
    <t>zavodmmk@yandex.ru</t>
  </si>
  <si>
    <t>zavodupack@mail.ru</t>
  </si>
  <si>
    <t>zavodupakovki@mail.ru</t>
  </si>
  <si>
    <t>zavodvolcem@gmail.com</t>
  </si>
  <si>
    <t>Zavyalov@polimetal.ru</t>
  </si>
  <si>
    <t>zayav-amk@bk.ru</t>
  </si>
  <si>
    <t>zayavka@serovgormolzavod.ru</t>
  </si>
  <si>
    <t>zayavki@molkom-pnz.ru</t>
  </si>
  <si>
    <t>Zayceva.M@bereginya.ru</t>
  </si>
  <si>
    <t>zbknn@yandex.ru</t>
  </si>
  <si>
    <t>zbumaga23@bk.ru</t>
  </si>
  <si>
    <t>zct@zct.ru</t>
  </si>
  <si>
    <t>zdk002@yandex.ru</t>
  </si>
  <si>
    <t>zdorovie_ot_prirody@bk.ru</t>
  </si>
  <si>
    <t>zdorovy_perekus@bk.ru</t>
  </si>
  <si>
    <t>zdr@powdertech.ru</t>
  </si>
  <si>
    <t>zdravo.food@mail.ru</t>
  </si>
  <si>
    <t>zebrabird@mail.ru</t>
  </si>
  <si>
    <t>zebrakondi@mail.ru</t>
  </si>
  <si>
    <t>zeon.agro@gmail.com</t>
  </si>
  <si>
    <t>zernodrobilka@bk.ru</t>
  </si>
  <si>
    <t>zerts@zerts.ru</t>
  </si>
  <si>
    <t>zetdoors@mail.ru</t>
  </si>
  <si>
    <t>zfishstepin@gmail.com</t>
  </si>
  <si>
    <t>zgaynullina@gmail.com</t>
  </si>
  <si>
    <t>zgmk@mail.ru</t>
  </si>
  <si>
    <t>zhaluziKL@yandex.ru</t>
  </si>
  <si>
    <t>zharmebelmassiv@yandex.ru</t>
  </si>
  <si>
    <t>zharov1996@yandex.ru</t>
  </si>
  <si>
    <t>zhdanov@plyterra.ru</t>
  </si>
  <si>
    <t>zikizaki@internet.ru</t>
  </si>
  <si>
    <t>zimushka163@yandex.ru</t>
  </si>
  <si>
    <t>zinazina86@yandex.ru</t>
  </si>
  <si>
    <t>zion1@zion1.ru</t>
  </si>
  <si>
    <t>zion24@rambler.ru</t>
  </si>
  <si>
    <t>zirovp4@gmail.com</t>
  </si>
  <si>
    <t>zkp@foroom.ru</t>
  </si>
  <si>
    <t>zlakomka.spb@gmail.com</t>
  </si>
  <si>
    <t>zlatiks74@mail.ru</t>
  </si>
  <si>
    <t>zlatoust.air@gmail.com</t>
  </si>
  <si>
    <t>zmkmarketing@yandex.ru</t>
  </si>
  <si>
    <t>zmo.ooo@yandex.ru</t>
  </si>
  <si>
    <t>zmss61@mail.ru</t>
  </si>
  <si>
    <t>zmzavod@gmail.com</t>
  </si>
  <si>
    <t>zoaa@azot.net</t>
  </si>
  <si>
    <t>zobova@zao-rim.ru</t>
  </si>
  <si>
    <t>zolotaya-bort@yandex.ru</t>
  </si>
  <si>
    <t>zolotoepole2@gmail.com</t>
  </si>
  <si>
    <t>zoluh@list.ru</t>
  </si>
  <si>
    <t>zoo-bio@ya.ru</t>
  </si>
  <si>
    <t>zoo.dimar@gmail.com</t>
  </si>
  <si>
    <t>zookorm@mail.ru</t>
  </si>
  <si>
    <t>zoovestin@mail.ru</t>
  </si>
  <si>
    <t>zopina@mail.ru</t>
  </si>
  <si>
    <t>zorin@gsrlab.ru</t>
  </si>
  <si>
    <t>Zrf@green-pro.net</t>
  </si>
  <si>
    <t>zsa.beckse@gmail.com</t>
  </si>
  <si>
    <t>zsa.ritm@gmail.com</t>
  </si>
  <si>
    <t>ztm-miass-menedger@mail.ru</t>
  </si>
  <si>
    <t>zverkovski@ya.ru</t>
  </si>
  <si>
    <t>zvezda9956@mail.ru</t>
  </si>
  <si>
    <t>zvn.candy@mail.ru</t>
  </si>
  <si>
    <t>zvo@liutira.lt</t>
  </si>
  <si>
    <t>zyabkin.michael@aurivallis.com</t>
  </si>
  <si>
    <t>zyrianova@nsmc.ru</t>
  </si>
  <si>
    <t>Company</t>
  </si>
  <si>
    <t>Check</t>
  </si>
  <si>
    <t>ККР</t>
  </si>
  <si>
    <t>Prompt</t>
  </si>
  <si>
    <t>You are a classifier for B2B marketing. You receive one row of data with field: 
- "Description" (company description text, can be in Russian),
Your task is to classify the company as either Manufacturer or Service Provider or Dealer using the following rules:
1. If the company manufactures products, equipment, devices, medical devices, or has its own production, or develops its own hardware or products — classify it as Manufacturer.
2. If the company both manufactures and provides services — still classify it as Manufacturer (manufacturing has priority).
3. If the company only provides services (consulting, installation, design, IT, software, logistics, agency, training, marketing, outsourcing, events, conferences, etc.) consults, trains, organizes events, or acts as an agency — classify it as Service Provider.
4. If the company is a distributer or dealer (sells or supplies third-party equipment) - classify as Dealer
5. Typical signs of a Manufacturer: words like "production", "manufacturer", "developer and manufacturer", "own product line", "medical devices", "equipment of our own production", "we produce", 
6. Typical signs of a Service Provider: "agency", "consulting", "training center", "organization of events, conferences, congresses"
7. Dealers: "supply and sale of equipment of other brands", "distributor", "dealer", "official representative".
IF two fields are missing respond: "NA"
Respond with exactly ONE word in Russian, without quotes:
either
Производитель
or
Поставщик услуг
or
Дилер</t>
  </si>
  <si>
    <t>Validation Prompt</t>
  </si>
  <si>
    <t xml:space="preserve">You are a validator for a previous classification task. You will receive three inputs: Description, Categories, and Previous classification. Description and Categories may be in Russian.
Step 1: Ignore the previous classification and independently classify the company as either Manufacturer or Service Provider using these rules:
If the company manufactures products, equipment, devices, medical devices, or has its own production, or develops its own hardware or products, classify it as Manufacturer.
If the company both manufactures and provides services, classify it as Manufacturer (manufacturing has priority).
If the company does not manufacture anything and only provides services, sells or supplies third-party equipment, consults, trains, organizes events, or acts as an agency, distributor, or dealer, classify it as Service Provider.
Step 2: Compare your classification with the Previous classification:
If they match, respond with exactly: OK
If they do not match, respond with exactly: Error
Output only one word: OK or Error.
If the fields are missing and the Category field says "NA" return "NA"  </t>
  </si>
  <si>
    <t>You receive:
- Description (Russian)
- Categories (Russian)
Your task:
From Description and Categories, extract a short list of the company's main tangible products (things they manufacture or sell), written in Russian. If company doesn't have such products (e.g. insurance service company say "нет товаров")
Rules:
- 1–5 items.
- Short noun phrases (1–2 words) (but if product is specific in the description - use that noun phrase)
- No services, actions, audiences (no training, consulting, events, etc.).
- No verbs, no company name.
- No brand, trademark, or model names; no quoted names; no Latin letters. If only specific products are mentioned, generalize them to product categories.
- Prefer plural where it sounds natural.
Format:
Output ONE Russian phrase: items separated by commas, with " и " before the last item. If you can identify only one clear key product, output just that one item without commas or "и". The output needs to start with a small case letter unless it's a proper noun.
Do not add anything else before or after this phrase.</t>
  </si>
  <si>
    <t>You are a company-name shortening assistant for email personalization.
Input: one raw company name (may include Russian or English, legal forms, quotes, commas, symbols, or a person’s full name).
Goal: return a short name that fits in: Для компании {{company}}:.
Language rule (important):
If the core name/brand is originally Russian/Cyrillic → output in Russian/Cyrillic.
If the core name/brand is originally English/Latin → output in English/Latin.
Do not translate; preserve the original script of the brand/name.
Capitalization rule (important):
Capitalize each word: First letter uppercase, the rest lowercase (Title Case).
Exception: keep existing acronyms/short abbreviations fully uppercase (e.g., BMW, 3M, СБЕР, VPD).
Rules:
Output only the shortened name (no extra text, no quotes).
Remove legal forms and noise: ООО, ИП, АО, ПАО, ЗАО, ОАО, LLC, LTD, quotes «», ", brackets, commas, extra symbols.
If it’s a brand/company word → keep the core brand, remove symbols (e.g., ВЕНО+ → ВЕНО).
If it’s a person full name + ИП (individual entrepreneur) → output exactly: ИП &lt;Фамилия&gt; (surname only, proper capitalization).
Example: ЧЕСНОВ ПАВЕЛ АЛЕКСЕЕВИЧ, ИП → ИП Чеснов
If a brand/trademark is in parentheses for an ИП:
Prefer: &lt;Brand&gt; (preserve its original script)
If you must keep both: ИП &lt;Фамилия&gt; (Brand)
Keep output to 1–2 words (plus optional parentheses for brand).</t>
  </si>
  <si>
    <t>Name Validation Prompt</t>
  </si>
  <si>
    <t>You are a validator for a previous classification task. You will receive original name, and shortened name by AI. 
Make sure shortened name is correctly done, e.g. ООО "ЮТА" -&gt; Юта and that it there are no mismatches with the name as the original name should contain the shortened name. 
Output is only the shortened name (no quotes/punctuation/extra text).
Script matches the original core name (Cyrillic stays Cyrillic, Latin stays Latin); no translation.
Title Case applied, except acronyms stay UPPERCASE.
All legal forms/noise removed (ООО/АО/ПАО/ИП/LLC/LTD, quotes «», "", brackets, commas, symbols like +).
If input is ИП + full name or just full name→ output is exactly ИП &lt;Фамилия&gt; (surname only)
If it's good, respond with exactly: OK
If there are problems, respond with exactly: Error
Output only one word: OK or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</si>
</sst>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2.0"/>
      <color theme="1"/>
      <name val="Aptos Narrow"/>
      <scheme val="minor"/>
    </font>
    <font>
      <color theme="1"/>
      <name val="Aptos Narrow"/>
      <scheme val="minor"/>
    </font>
    <font>
      <sz val="12.0"/>
      <color theme="1"/>
      <name val="Aptos Narrow"/>
    </font>
    <font>
      <sz val="10.0"/>
      <color theme="1"/>
      <name val="Arial"/>
    </font>
    <font>
      <u/>
      <sz val="10.0"/>
      <color theme="10"/>
      <name val="Arial"/>
    </font>
    <font>
      <color theme="1"/>
      <name val="Arial"/>
    </font>
    <font>
      <u/>
      <sz val="12.0"/>
      <color theme="10"/>
      <name val="Aptos Narrow"/>
    </font>
    <font>
      <b/>
      <color theme="1"/>
      <name val="Arial"/>
    </font>
  </fonts>
  <fills count="3">
    <fill>
      <patternFill patternType="none"/>
    </fill>
    <fill>
      <patternFill patternType="lightGray"/>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164" xfId="0" applyFont="1" applyNumberFormat="1"/>
    <xf borderId="0" fillId="0" fontId="3" numFmtId="0" xfId="0" applyFont="1"/>
    <xf borderId="0" fillId="0" fontId="4" numFmtId="0" xfId="0" applyFont="1"/>
    <xf borderId="0" fillId="0" fontId="5" numFmtId="0" xfId="0" applyAlignment="1" applyFont="1">
      <alignment readingOrder="0"/>
    </xf>
    <xf borderId="0" fillId="0" fontId="6" numFmtId="0" xfId="0" applyFont="1"/>
    <xf borderId="0" fillId="0" fontId="1" numFmtId="0" xfId="0" applyAlignment="1" applyFont="1">
      <alignment readingOrder="0"/>
    </xf>
    <xf borderId="0" fillId="0" fontId="7" numFmtId="0" xfId="0" applyAlignment="1" applyFont="1">
      <alignment readingOrder="0"/>
    </xf>
    <xf borderId="2" fillId="0"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mailto:info@cs20.ru"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mailto:info@cs20.ru"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2164</xdr:row>
      <xdr:rowOff>0</xdr:rowOff>
    </xdr:from>
    <xdr:ext cx="314325" cy="352425"/>
    <xdr:sp>
      <xdr:nvSpPr>
        <xdr:cNvPr descr="Описание изображения" id="3" name="Shape 3">
          <a:hlinkClick r:id="rId1"/>
        </xdr:cNvPr>
        <xdr:cNvSpPr/>
      </xdr:nvSpPr>
      <xdr:spPr>
        <a:xfrm>
          <a:off x="5193600" y="3608550"/>
          <a:ext cx="304800" cy="342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2158</xdr:row>
      <xdr:rowOff>0</xdr:rowOff>
    </xdr:from>
    <xdr:ext cx="314325" cy="352425"/>
    <xdr:sp>
      <xdr:nvSpPr>
        <xdr:cNvPr descr="Описание изображения" id="3" name="Shape 3">
          <a:hlinkClick r:id="rId1"/>
        </xdr:cNvPr>
        <xdr:cNvSpPr/>
      </xdr:nvSpPr>
      <xdr:spPr>
        <a:xfrm>
          <a:off x="5193600" y="3608550"/>
          <a:ext cx="304800" cy="342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info@cs20.ru" TargetMode="External"/><Relationship Id="rId2" Type="http://schemas.openxmlformats.org/officeDocument/2006/relationships/hyperlink" Target="mailto:info@larch.su" TargetMode="External"/><Relationship Id="rId3" Type="http://schemas.openxmlformats.org/officeDocument/2006/relationships/hyperlink" Target="mailto:info@leader-boats.ru" TargetMode="External"/><Relationship Id="rId4" Type="http://schemas.openxmlformats.org/officeDocument/2006/relationships/hyperlink" Target="mailto:matikkr@mail.ru" TargetMode="External"/><Relationship Id="rId10" Type="http://schemas.openxmlformats.org/officeDocument/2006/relationships/drawing" Target="../drawings/drawing1.xml"/><Relationship Id="rId9" Type="http://schemas.openxmlformats.org/officeDocument/2006/relationships/hyperlink" Target="mailto:zakup@zakuski.su" TargetMode="External"/><Relationship Id="rId5" Type="http://schemas.openxmlformats.org/officeDocument/2006/relationships/hyperlink" Target="mailto:nosov@tdalbeta.ru" TargetMode="External"/><Relationship Id="rId6" Type="http://schemas.openxmlformats.org/officeDocument/2006/relationships/hyperlink" Target="mailto:ooorosinka2007@mail.ru" TargetMode="External"/><Relationship Id="rId7" Type="http://schemas.openxmlformats.org/officeDocument/2006/relationships/hyperlink" Target="mailto:support@luckroute.com" TargetMode="External"/><Relationship Id="rId8" Type="http://schemas.openxmlformats.org/officeDocument/2006/relationships/hyperlink" Target="mailto:zakup@flexografica.r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ofa.r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4.0"/>
    <col customWidth="1" min="2" max="2" width="39.67"/>
    <col customWidth="1" min="3" max="3" width="12.11"/>
    <col customWidth="1" min="4" max="4" width="10.11"/>
    <col customWidth="1" min="5" max="5" width="12.11"/>
    <col customWidth="1" min="6" max="6" width="21.67"/>
    <col customWidth="1" min="7" max="7" width="16.33"/>
    <col customWidth="1" min="8" max="8" width="16.67"/>
    <col customWidth="1" min="9" max="9" width="58.67"/>
    <col customWidth="1" min="10" max="11" width="80.67"/>
    <col customWidth="1" min="12" max="12" width="18.33"/>
    <col customWidth="1" min="13" max="13" width="15.78"/>
    <col customWidth="1" min="14" max="14" width="28.33"/>
    <col customWidth="1" min="15" max="15" width="32.11"/>
    <col customWidth="1" min="16" max="16" width="27.11"/>
    <col customWidth="1" min="17" max="17" width="30.0"/>
    <col customWidth="1" min="18" max="18" width="29.44"/>
    <col customWidth="1" min="19" max="19" width="27.11"/>
    <col customWidth="1" min="20" max="20" width="23.44"/>
    <col customWidth="1" min="21" max="21" width="21.78"/>
    <col customWidth="1" min="22" max="22" width="19.0"/>
    <col customWidth="1" min="23" max="23" width="17.0"/>
    <col customWidth="1" min="24" max="26" width="15.11"/>
    <col customWidth="1" min="27" max="27" width="24.67"/>
    <col customWidth="1" min="28" max="28" width="23.44"/>
    <col customWidth="1" min="29" max="29" width="80.67"/>
    <col customWidth="1" min="30" max="32" width="24.78"/>
    <col customWidth="1" min="33" max="35" width="39.0"/>
    <col customWidth="1" min="36" max="36" width="40.78"/>
    <col customWidth="1" min="37" max="37" width="45.44"/>
    <col customWidth="1" min="38" max="38" width="17.0"/>
    <col customWidth="1" min="39" max="39" width="26.0"/>
    <col customWidth="1" min="40" max="40" width="16.3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15.75" customHeight="1">
      <c r="A2" s="1" t="s">
        <v>40</v>
      </c>
      <c r="B2" s="1" t="s">
        <v>41</v>
      </c>
      <c r="C2" s="1">
        <v>5.047200974E9</v>
      </c>
      <c r="D2" s="1">
        <v>5.00701001E8</v>
      </c>
      <c r="E2" s="1">
        <v>1.175029019032E12</v>
      </c>
      <c r="F2" s="1" t="s">
        <v>42</v>
      </c>
      <c r="G2" s="3">
        <v>42941.0</v>
      </c>
      <c r="H2" s="1">
        <v>8.0</v>
      </c>
      <c r="I2" s="1" t="s">
        <v>43</v>
      </c>
      <c r="J2" s="1" t="s">
        <v>44</v>
      </c>
      <c r="K2" s="1" t="s">
        <v>45</v>
      </c>
      <c r="L2" s="1" t="s">
        <v>46</v>
      </c>
      <c r="M2" s="1">
        <v>141862.0</v>
      </c>
      <c r="N2" s="1" t="s">
        <v>47</v>
      </c>
      <c r="O2" s="1" t="s">
        <v>48</v>
      </c>
      <c r="P2" s="1" t="s">
        <v>49</v>
      </c>
      <c r="Q2" s="1" t="s">
        <v>50</v>
      </c>
      <c r="R2" s="1" t="s">
        <v>51</v>
      </c>
      <c r="S2" s="1" t="s">
        <v>52</v>
      </c>
      <c r="T2" s="1" t="s">
        <v>53</v>
      </c>
      <c r="U2" s="1" t="s">
        <v>54</v>
      </c>
      <c r="W2" s="1" t="s">
        <v>55</v>
      </c>
      <c r="X2" s="1" t="s">
        <v>56</v>
      </c>
      <c r="Y2" s="1" t="s">
        <v>57</v>
      </c>
      <c r="Z2" s="1" t="s">
        <v>58</v>
      </c>
      <c r="AC2" s="1" t="s">
        <v>59</v>
      </c>
      <c r="AD2" s="1">
        <v>4888993.0</v>
      </c>
      <c r="AE2" s="1">
        <v>2062602.0</v>
      </c>
      <c r="AF2" s="1">
        <v>632153.0</v>
      </c>
      <c r="AG2" s="1">
        <v>1175959.0</v>
      </c>
      <c r="AH2" s="1">
        <v>310301.0</v>
      </c>
      <c r="AI2" s="1">
        <v>-109049.0</v>
      </c>
      <c r="AJ2" s="1" t="s">
        <v>60</v>
      </c>
      <c r="AK2" s="1" t="s">
        <v>61</v>
      </c>
      <c r="AL2" s="1">
        <v>7.72150011538E11</v>
      </c>
      <c r="AM2" s="3">
        <v>42941.0</v>
      </c>
      <c r="AN2" s="1">
        <v>1.0</v>
      </c>
    </row>
    <row r="3" ht="15.75" customHeight="1">
      <c r="A3" s="1" t="s">
        <v>62</v>
      </c>
      <c r="B3" s="1" t="s">
        <v>41</v>
      </c>
      <c r="C3" s="1">
        <v>5.078012096E9</v>
      </c>
      <c r="D3" s="1">
        <v>5.07801001E8</v>
      </c>
      <c r="E3" s="1">
        <v>1.02500783252E12</v>
      </c>
      <c r="F3" s="1" t="s">
        <v>42</v>
      </c>
      <c r="G3" s="3">
        <v>36808.0</v>
      </c>
      <c r="H3" s="1">
        <v>25.0</v>
      </c>
      <c r="I3" s="1" t="s">
        <v>43</v>
      </c>
      <c r="J3" s="1" t="s">
        <v>63</v>
      </c>
      <c r="K3" s="1" t="s">
        <v>64</v>
      </c>
      <c r="L3" s="1" t="s">
        <v>46</v>
      </c>
      <c r="M3" s="1">
        <v>141960.0</v>
      </c>
      <c r="N3" s="1" t="s">
        <v>65</v>
      </c>
      <c r="O3" s="1" t="s">
        <v>66</v>
      </c>
      <c r="P3" s="1" t="s">
        <v>67</v>
      </c>
      <c r="Q3" s="1" t="s">
        <v>68</v>
      </c>
      <c r="R3" s="1" t="s">
        <v>69</v>
      </c>
      <c r="S3" s="1" t="s">
        <v>70</v>
      </c>
      <c r="T3" s="1" t="s">
        <v>71</v>
      </c>
      <c r="W3" s="1" t="s">
        <v>72</v>
      </c>
      <c r="X3" s="1" t="s">
        <v>73</v>
      </c>
      <c r="Y3" s="1" t="s">
        <v>74</v>
      </c>
      <c r="Z3" s="1" t="s">
        <v>75</v>
      </c>
      <c r="AC3" s="1" t="s">
        <v>76</v>
      </c>
      <c r="AD3" s="1">
        <v>2565849.0</v>
      </c>
      <c r="AE3" s="1">
        <v>2264694.0</v>
      </c>
      <c r="AF3" s="1">
        <v>1951617.0</v>
      </c>
      <c r="AG3" s="1">
        <v>32054.0</v>
      </c>
      <c r="AH3" s="1">
        <v>120464.0</v>
      </c>
      <c r="AI3" s="1">
        <v>53775.0</v>
      </c>
      <c r="AJ3" s="1" t="s">
        <v>77</v>
      </c>
      <c r="AK3" s="1" t="s">
        <v>78</v>
      </c>
      <c r="AL3" s="1">
        <v>5.07802934918E11</v>
      </c>
      <c r="AM3" s="3">
        <v>43906.0</v>
      </c>
      <c r="AN3" s="1">
        <v>2.0</v>
      </c>
    </row>
    <row r="4" ht="15.75" customHeight="1">
      <c r="A4" s="1" t="s">
        <v>79</v>
      </c>
      <c r="B4" s="1" t="s">
        <v>41</v>
      </c>
      <c r="C4" s="1">
        <v>5.029183892E9</v>
      </c>
      <c r="D4" s="1">
        <v>5.00701001E8</v>
      </c>
      <c r="E4" s="1">
        <v>1.145029003349E12</v>
      </c>
      <c r="F4" s="1" t="s">
        <v>42</v>
      </c>
      <c r="G4" s="3">
        <v>41724.0</v>
      </c>
      <c r="H4" s="1">
        <v>11.0</v>
      </c>
      <c r="I4" s="1" t="s">
        <v>43</v>
      </c>
      <c r="J4" s="1" t="s">
        <v>80</v>
      </c>
      <c r="K4" s="1" t="s">
        <v>81</v>
      </c>
      <c r="L4" s="1" t="s">
        <v>46</v>
      </c>
      <c r="M4" s="1">
        <v>141825.0</v>
      </c>
      <c r="N4" s="1" t="s">
        <v>82</v>
      </c>
      <c r="O4" s="1" t="s">
        <v>83</v>
      </c>
      <c r="P4" s="1" t="s">
        <v>84</v>
      </c>
      <c r="Q4" s="1" t="s">
        <v>85</v>
      </c>
      <c r="R4" s="1" t="s">
        <v>86</v>
      </c>
      <c r="S4" s="1" t="s">
        <v>87</v>
      </c>
      <c r="T4" s="1" t="s">
        <v>88</v>
      </c>
      <c r="U4" s="1" t="s">
        <v>89</v>
      </c>
      <c r="W4" s="1" t="s">
        <v>90</v>
      </c>
      <c r="X4" s="1" t="s">
        <v>91</v>
      </c>
      <c r="Y4" s="1" t="s">
        <v>92</v>
      </c>
      <c r="Z4" s="1" t="s">
        <v>93</v>
      </c>
      <c r="AC4" s="1" t="s">
        <v>94</v>
      </c>
      <c r="AD4" s="1">
        <v>1326730.0</v>
      </c>
      <c r="AE4" s="1">
        <v>1056435.0</v>
      </c>
      <c r="AF4" s="1">
        <v>707619.0</v>
      </c>
      <c r="AG4" s="1">
        <v>163732.0</v>
      </c>
      <c r="AH4" s="1">
        <v>90816.0</v>
      </c>
      <c r="AI4" s="1">
        <v>-8804.0</v>
      </c>
      <c r="AJ4" s="1" t="s">
        <v>95</v>
      </c>
      <c r="AK4" s="1" t="s">
        <v>61</v>
      </c>
      <c r="AL4" s="1">
        <v>7.72817920813E11</v>
      </c>
      <c r="AM4" s="3">
        <v>44228.0</v>
      </c>
      <c r="AN4" s="1">
        <v>1.0</v>
      </c>
    </row>
    <row r="5" ht="15.75" customHeight="1">
      <c r="A5" s="1" t="s">
        <v>96</v>
      </c>
      <c r="B5" s="1" t="s">
        <v>41</v>
      </c>
      <c r="C5" s="1">
        <v>5.040153972E9</v>
      </c>
      <c r="D5" s="1">
        <v>5.04001001E8</v>
      </c>
      <c r="E5" s="1">
        <v>1.185027003479E12</v>
      </c>
      <c r="F5" s="1" t="s">
        <v>42</v>
      </c>
      <c r="G5" s="3">
        <v>43150.0</v>
      </c>
      <c r="H5" s="1">
        <v>8.0</v>
      </c>
      <c r="I5" s="1" t="s">
        <v>43</v>
      </c>
      <c r="J5" s="1" t="s">
        <v>97</v>
      </c>
      <c r="K5" s="1" t="s">
        <v>98</v>
      </c>
      <c r="L5" s="1" t="s">
        <v>46</v>
      </c>
      <c r="M5" s="1">
        <v>140157.0</v>
      </c>
      <c r="N5" s="1" t="s">
        <v>99</v>
      </c>
      <c r="O5" s="1" t="s">
        <v>100</v>
      </c>
      <c r="W5" s="1" t="s">
        <v>101</v>
      </c>
      <c r="X5" s="1" t="s">
        <v>102</v>
      </c>
      <c r="Y5" s="1" t="s">
        <v>103</v>
      </c>
      <c r="AC5" s="1" t="s">
        <v>104</v>
      </c>
      <c r="AD5" s="1">
        <v>1210285.0</v>
      </c>
      <c r="AE5" s="1">
        <v>634700.0</v>
      </c>
      <c r="AF5" s="1">
        <v>463708.0</v>
      </c>
      <c r="AG5" s="1">
        <v>215689.0</v>
      </c>
      <c r="AH5" s="1">
        <v>101092.0</v>
      </c>
      <c r="AI5" s="1">
        <v>74438.0</v>
      </c>
    </row>
    <row r="6" ht="15.75" customHeight="1">
      <c r="A6" s="1" t="s">
        <v>105</v>
      </c>
      <c r="B6" s="1" t="s">
        <v>41</v>
      </c>
      <c r="C6" s="1">
        <v>5.007078598E9</v>
      </c>
      <c r="D6" s="1">
        <v>5.00701001E8</v>
      </c>
      <c r="E6" s="1">
        <v>1.115007001251E12</v>
      </c>
      <c r="F6" s="1" t="s">
        <v>42</v>
      </c>
      <c r="G6" s="3">
        <v>40633.0</v>
      </c>
      <c r="H6" s="1">
        <v>14.0</v>
      </c>
      <c r="I6" s="1" t="s">
        <v>43</v>
      </c>
      <c r="J6" s="1" t="s">
        <v>106</v>
      </c>
      <c r="K6" s="1" t="s">
        <v>107</v>
      </c>
      <c r="L6" s="1" t="s">
        <v>46</v>
      </c>
      <c r="M6" s="1">
        <v>141832.0</v>
      </c>
      <c r="N6" s="1" t="s">
        <v>108</v>
      </c>
      <c r="O6" s="1" t="s">
        <v>109</v>
      </c>
      <c r="P6" s="1" t="s">
        <v>110</v>
      </c>
      <c r="Q6" s="1" t="s">
        <v>111</v>
      </c>
      <c r="R6" s="1" t="s">
        <v>112</v>
      </c>
      <c r="S6" s="1" t="s">
        <v>89</v>
      </c>
      <c r="W6" s="1" t="s">
        <v>113</v>
      </c>
      <c r="X6" s="1" t="s">
        <v>93</v>
      </c>
      <c r="Y6" s="1" t="s">
        <v>114</v>
      </c>
      <c r="Z6" s="1" t="s">
        <v>115</v>
      </c>
      <c r="AC6" s="1" t="s">
        <v>116</v>
      </c>
      <c r="AD6" s="1">
        <v>706101.0</v>
      </c>
      <c r="AE6" s="1">
        <v>368174.0</v>
      </c>
      <c r="AF6" s="1">
        <v>271700.0</v>
      </c>
      <c r="AG6" s="1">
        <v>25804.0</v>
      </c>
      <c r="AH6" s="1">
        <v>7692.0</v>
      </c>
      <c r="AI6" s="1">
        <v>6175.0</v>
      </c>
      <c r="AJ6" s="1" t="s">
        <v>117</v>
      </c>
      <c r="AK6" s="1" t="s">
        <v>61</v>
      </c>
      <c r="AL6" s="1">
        <v>7.72377191003E11</v>
      </c>
      <c r="AM6" s="3">
        <v>44511.0</v>
      </c>
      <c r="AN6" s="1">
        <v>1.0</v>
      </c>
    </row>
    <row r="7" ht="15.75" customHeight="1">
      <c r="A7" s="1" t="s">
        <v>118</v>
      </c>
      <c r="B7" s="1" t="s">
        <v>41</v>
      </c>
      <c r="C7" s="1">
        <v>7.726220721E9</v>
      </c>
      <c r="D7" s="1">
        <v>7.71501001E8</v>
      </c>
      <c r="E7" s="1">
        <v>1.02770026821E12</v>
      </c>
      <c r="F7" s="1" t="s">
        <v>42</v>
      </c>
      <c r="G7" s="3">
        <v>35367.0</v>
      </c>
      <c r="H7" s="1">
        <v>29.0</v>
      </c>
      <c r="I7" s="1" t="s">
        <v>43</v>
      </c>
      <c r="J7" s="1" t="s">
        <v>119</v>
      </c>
      <c r="K7" s="1" t="s">
        <v>120</v>
      </c>
      <c r="L7" s="1" t="s">
        <v>121</v>
      </c>
      <c r="M7" s="1">
        <v>127282.0</v>
      </c>
      <c r="N7" s="1" t="s">
        <v>121</v>
      </c>
      <c r="O7" s="1" t="s">
        <v>122</v>
      </c>
      <c r="P7" s="1" t="s">
        <v>123</v>
      </c>
      <c r="S7" s="1" t="s">
        <v>124</v>
      </c>
      <c r="W7" s="1" t="s">
        <v>125</v>
      </c>
      <c r="AC7" s="1" t="s">
        <v>126</v>
      </c>
      <c r="AD7" s="1">
        <v>605561.0</v>
      </c>
      <c r="AE7" s="1">
        <v>631082.0</v>
      </c>
      <c r="AF7" s="1">
        <v>713926.0</v>
      </c>
      <c r="AG7" s="1">
        <v>-3504.0</v>
      </c>
      <c r="AH7" s="1">
        <v>2112.0</v>
      </c>
      <c r="AI7" s="1">
        <v>30148.0</v>
      </c>
      <c r="AJ7" s="1" t="s">
        <v>127</v>
      </c>
      <c r="AK7" s="1" t="s">
        <v>61</v>
      </c>
      <c r="AL7" s="1">
        <v>7.72861279701E11</v>
      </c>
      <c r="AM7" s="3">
        <v>37531.0</v>
      </c>
      <c r="AN7" s="1">
        <v>1.0</v>
      </c>
    </row>
    <row r="8" ht="15.75" customHeight="1">
      <c r="A8" s="1" t="s">
        <v>128</v>
      </c>
      <c r="B8" s="1" t="s">
        <v>41</v>
      </c>
      <c r="C8" s="1">
        <v>7.718764407E9</v>
      </c>
      <c r="D8" s="1">
        <v>7.71801001E8</v>
      </c>
      <c r="E8" s="1">
        <v>1.097746301861E12</v>
      </c>
      <c r="F8" s="1" t="s">
        <v>42</v>
      </c>
      <c r="G8" s="3">
        <v>39953.0</v>
      </c>
      <c r="H8" s="1">
        <v>16.0</v>
      </c>
      <c r="I8" s="1" t="s">
        <v>43</v>
      </c>
      <c r="J8" s="1" t="s">
        <v>129</v>
      </c>
      <c r="K8" s="1" t="s">
        <v>130</v>
      </c>
      <c r="L8" s="1" t="s">
        <v>121</v>
      </c>
      <c r="M8" s="1">
        <v>107076.0</v>
      </c>
      <c r="N8" s="1" t="s">
        <v>121</v>
      </c>
      <c r="O8" s="1" t="s">
        <v>131</v>
      </c>
      <c r="P8" s="1" t="s">
        <v>132</v>
      </c>
      <c r="Q8" s="1" t="s">
        <v>133</v>
      </c>
      <c r="R8" s="1" t="s">
        <v>134</v>
      </c>
      <c r="S8" s="1" t="s">
        <v>135</v>
      </c>
      <c r="T8" s="1" t="s">
        <v>136</v>
      </c>
      <c r="U8" s="1" t="s">
        <v>137</v>
      </c>
      <c r="V8" s="1" t="s">
        <v>138</v>
      </c>
      <c r="W8" s="1" t="s">
        <v>139</v>
      </c>
      <c r="X8" s="1" t="s">
        <v>140</v>
      </c>
      <c r="Y8" s="1" t="s">
        <v>141</v>
      </c>
      <c r="Z8" s="1" t="s">
        <v>142</v>
      </c>
      <c r="AC8" s="1" t="s">
        <v>143</v>
      </c>
      <c r="AD8" s="1">
        <v>472170.0</v>
      </c>
      <c r="AE8" s="1">
        <v>531721.0</v>
      </c>
      <c r="AF8" s="1">
        <v>641778.0</v>
      </c>
      <c r="AG8" s="1">
        <v>44623.0</v>
      </c>
      <c r="AH8" s="1">
        <v>54386.0</v>
      </c>
      <c r="AI8" s="1">
        <v>67562.0</v>
      </c>
      <c r="AJ8" s="1" t="s">
        <v>144</v>
      </c>
      <c r="AK8" s="1" t="s">
        <v>61</v>
      </c>
      <c r="AL8" s="1">
        <v>7.72073773218E11</v>
      </c>
      <c r="AM8" s="3">
        <v>39953.0</v>
      </c>
      <c r="AN8" s="1">
        <v>1.0</v>
      </c>
    </row>
    <row r="9" ht="15.75" customHeight="1">
      <c r="A9" s="1" t="s">
        <v>145</v>
      </c>
      <c r="B9" s="1" t="s">
        <v>41</v>
      </c>
      <c r="C9" s="1">
        <v>6.147020504E9</v>
      </c>
      <c r="D9" s="1">
        <v>7.72401001E8</v>
      </c>
      <c r="E9" s="1">
        <v>1.026102110605E12</v>
      </c>
      <c r="F9" s="1" t="s">
        <v>42</v>
      </c>
      <c r="G9" s="3">
        <v>37118.0</v>
      </c>
      <c r="H9" s="1">
        <v>24.0</v>
      </c>
      <c r="I9" s="1" t="s">
        <v>43</v>
      </c>
      <c r="J9" s="1" t="s">
        <v>146</v>
      </c>
      <c r="K9" s="1" t="s">
        <v>147</v>
      </c>
      <c r="L9" s="1" t="s">
        <v>121</v>
      </c>
      <c r="M9" s="1">
        <v>115304.0</v>
      </c>
      <c r="N9" s="1" t="s">
        <v>121</v>
      </c>
      <c r="O9" s="1" t="s">
        <v>148</v>
      </c>
      <c r="P9" s="1" t="s">
        <v>149</v>
      </c>
      <c r="Q9" s="1" t="s">
        <v>150</v>
      </c>
      <c r="R9" s="1" t="s">
        <v>151</v>
      </c>
      <c r="S9" s="1" t="s">
        <v>152</v>
      </c>
      <c r="T9" s="1" t="s">
        <v>153</v>
      </c>
      <c r="W9" s="1" t="s">
        <v>154</v>
      </c>
      <c r="X9" s="1" t="s">
        <v>155</v>
      </c>
      <c r="Y9" s="1" t="s">
        <v>156</v>
      </c>
      <c r="Z9" s="1" t="s">
        <v>157</v>
      </c>
      <c r="AC9" s="1" t="s">
        <v>158</v>
      </c>
      <c r="AD9" s="1">
        <v>467480.0</v>
      </c>
      <c r="AE9" s="1">
        <v>496719.0</v>
      </c>
      <c r="AF9" s="1">
        <v>820323.0</v>
      </c>
      <c r="AG9" s="1">
        <v>527.0</v>
      </c>
      <c r="AH9" s="1">
        <v>636.0</v>
      </c>
      <c r="AI9" s="1">
        <v>1025.0</v>
      </c>
      <c r="AJ9" s="1" t="s">
        <v>159</v>
      </c>
      <c r="AK9" s="1" t="s">
        <v>61</v>
      </c>
      <c r="AL9" s="1">
        <v>6.14200020572E11</v>
      </c>
      <c r="AM9" s="3">
        <v>41478.0</v>
      </c>
      <c r="AN9" s="1">
        <v>1.0</v>
      </c>
    </row>
    <row r="10" ht="15.75" customHeight="1">
      <c r="A10" s="1" t="s">
        <v>160</v>
      </c>
      <c r="B10" s="1" t="s">
        <v>41</v>
      </c>
      <c r="C10" s="1">
        <v>5.042151748E9</v>
      </c>
      <c r="D10" s="1">
        <v>5.04201001E8</v>
      </c>
      <c r="E10" s="1">
        <v>1.195081045598E12</v>
      </c>
      <c r="F10" s="1" t="s">
        <v>42</v>
      </c>
      <c r="G10" s="3">
        <v>43648.0</v>
      </c>
      <c r="H10" s="1">
        <v>6.0</v>
      </c>
      <c r="I10" s="1" t="s">
        <v>43</v>
      </c>
      <c r="J10" s="1" t="s">
        <v>161</v>
      </c>
      <c r="K10" s="1" t="s">
        <v>162</v>
      </c>
      <c r="L10" s="1" t="s">
        <v>46</v>
      </c>
      <c r="M10" s="1">
        <v>141304.0</v>
      </c>
      <c r="N10" s="1" t="s">
        <v>163</v>
      </c>
      <c r="O10" s="1" t="s">
        <v>164</v>
      </c>
      <c r="P10" s="1" t="s">
        <v>165</v>
      </c>
      <c r="Q10" s="1" t="s">
        <v>166</v>
      </c>
      <c r="R10" s="1" t="s">
        <v>167</v>
      </c>
      <c r="S10" s="1" t="s">
        <v>168</v>
      </c>
      <c r="T10" s="1" t="s">
        <v>169</v>
      </c>
      <c r="W10" s="1" t="s">
        <v>170</v>
      </c>
      <c r="X10" s="1" t="s">
        <v>171</v>
      </c>
      <c r="Y10" s="1" t="s">
        <v>172</v>
      </c>
      <c r="Z10" s="1" t="s">
        <v>173</v>
      </c>
      <c r="AC10" s="1" t="s">
        <v>174</v>
      </c>
      <c r="AD10" s="1">
        <v>389773.0</v>
      </c>
      <c r="AE10" s="1">
        <v>384376.0</v>
      </c>
      <c r="AF10" s="1">
        <v>278096.0</v>
      </c>
      <c r="AG10" s="1">
        <v>28668.0</v>
      </c>
      <c r="AH10" s="1">
        <v>53313.0</v>
      </c>
      <c r="AI10" s="1">
        <v>36335.0</v>
      </c>
      <c r="AJ10" s="1" t="s">
        <v>175</v>
      </c>
      <c r="AK10" s="1" t="s">
        <v>61</v>
      </c>
      <c r="AL10" s="1">
        <v>1.50601029979E11</v>
      </c>
      <c r="AM10" s="3">
        <v>44181.0</v>
      </c>
      <c r="AN10" s="1">
        <v>1.0</v>
      </c>
    </row>
    <row r="11" ht="15.75" customHeight="1">
      <c r="A11" s="1" t="s">
        <v>176</v>
      </c>
      <c r="B11" s="1" t="s">
        <v>41</v>
      </c>
      <c r="C11" s="1">
        <v>9.718124376E9</v>
      </c>
      <c r="D11" s="1">
        <v>7.71801001E8</v>
      </c>
      <c r="E11" s="1">
        <v>1.197746011385E12</v>
      </c>
      <c r="F11" s="1" t="s">
        <v>42</v>
      </c>
      <c r="G11" s="3">
        <v>43481.0</v>
      </c>
      <c r="H11" s="1">
        <v>7.0</v>
      </c>
      <c r="I11" s="1" t="s">
        <v>43</v>
      </c>
      <c r="J11" s="1" t="s">
        <v>177</v>
      </c>
      <c r="K11" s="1" t="s">
        <v>178</v>
      </c>
      <c r="L11" s="1" t="s">
        <v>121</v>
      </c>
      <c r="M11" s="1">
        <v>107023.0</v>
      </c>
      <c r="N11" s="1" t="s">
        <v>121</v>
      </c>
      <c r="O11" s="1" t="s">
        <v>179</v>
      </c>
      <c r="P11" s="1" t="s">
        <v>180</v>
      </c>
      <c r="Q11" s="1" t="s">
        <v>181</v>
      </c>
      <c r="R11" s="1" t="s">
        <v>182</v>
      </c>
      <c r="S11" s="1" t="s">
        <v>183</v>
      </c>
      <c r="W11" s="1" t="s">
        <v>184</v>
      </c>
      <c r="AC11" s="1" t="s">
        <v>185</v>
      </c>
      <c r="AD11" s="1">
        <v>365799.0</v>
      </c>
      <c r="AE11" s="1">
        <v>289376.0</v>
      </c>
      <c r="AF11" s="1">
        <v>224139.0</v>
      </c>
      <c r="AG11" s="1">
        <v>16763.0</v>
      </c>
      <c r="AH11" s="1">
        <v>15575.0</v>
      </c>
      <c r="AI11" s="1">
        <v>10740.0</v>
      </c>
      <c r="AJ11" s="1" t="s">
        <v>186</v>
      </c>
      <c r="AK11" s="1" t="s">
        <v>61</v>
      </c>
      <c r="AL11" s="1">
        <v>7.7188579055E11</v>
      </c>
      <c r="AM11" s="3">
        <v>43481.0</v>
      </c>
      <c r="AN11" s="1">
        <v>1.0</v>
      </c>
    </row>
    <row r="12" ht="15.75" customHeight="1">
      <c r="A12" s="1" t="s">
        <v>187</v>
      </c>
      <c r="B12" s="1" t="s">
        <v>41</v>
      </c>
      <c r="C12" s="1">
        <v>5.0091151E9</v>
      </c>
      <c r="D12" s="1">
        <v>5.00901001E8</v>
      </c>
      <c r="E12" s="1">
        <v>1.185027011531E12</v>
      </c>
      <c r="F12" s="1" t="s">
        <v>42</v>
      </c>
      <c r="G12" s="3">
        <v>43252.0</v>
      </c>
      <c r="H12" s="1">
        <v>7.0</v>
      </c>
      <c r="I12" s="1" t="s">
        <v>43</v>
      </c>
      <c r="J12" s="1" t="s">
        <v>188</v>
      </c>
      <c r="K12" s="1" t="s">
        <v>189</v>
      </c>
      <c r="L12" s="1" t="s">
        <v>46</v>
      </c>
      <c r="M12" s="1">
        <v>142000.0</v>
      </c>
      <c r="N12" s="1" t="s">
        <v>190</v>
      </c>
      <c r="O12" s="1" t="s">
        <v>191</v>
      </c>
      <c r="P12" s="1" t="s">
        <v>192</v>
      </c>
      <c r="Q12" s="1" t="s">
        <v>193</v>
      </c>
      <c r="R12" s="1" t="s">
        <v>194</v>
      </c>
      <c r="S12" s="1" t="s">
        <v>195</v>
      </c>
      <c r="T12" s="1" t="s">
        <v>196</v>
      </c>
      <c r="U12" s="1" t="s">
        <v>197</v>
      </c>
      <c r="V12" s="1" t="s">
        <v>198</v>
      </c>
      <c r="W12" s="1" t="s">
        <v>199</v>
      </c>
      <c r="X12" s="1" t="s">
        <v>200</v>
      </c>
      <c r="Y12" s="1" t="s">
        <v>201</v>
      </c>
      <c r="Z12" s="1" t="s">
        <v>202</v>
      </c>
      <c r="AC12" s="1" t="s">
        <v>203</v>
      </c>
      <c r="AD12" s="1">
        <v>270647.0</v>
      </c>
      <c r="AE12" s="1">
        <v>76165.0</v>
      </c>
      <c r="AF12" s="1">
        <v>1599.0</v>
      </c>
      <c r="AG12" s="1">
        <v>-21331.0</v>
      </c>
      <c r="AH12" s="1">
        <v>7231.0</v>
      </c>
      <c r="AI12" s="1">
        <v>42.0</v>
      </c>
      <c r="AJ12" s="1" t="s">
        <v>204</v>
      </c>
      <c r="AK12" s="1" t="s">
        <v>61</v>
      </c>
      <c r="AL12" s="1">
        <v>5.00915413416E11</v>
      </c>
      <c r="AM12" s="3">
        <v>43252.0</v>
      </c>
      <c r="AN12" s="1">
        <v>1.0</v>
      </c>
    </row>
    <row r="13" ht="15.75" customHeight="1">
      <c r="A13" s="1" t="s">
        <v>205</v>
      </c>
      <c r="B13" s="1" t="s">
        <v>41</v>
      </c>
      <c r="C13" s="1">
        <v>7.7046692E9</v>
      </c>
      <c r="D13" s="1">
        <v>7.72001001E8</v>
      </c>
      <c r="E13" s="1">
        <v>1.07776314535E12</v>
      </c>
      <c r="F13" s="1" t="s">
        <v>42</v>
      </c>
      <c r="G13" s="3">
        <v>39414.0</v>
      </c>
      <c r="H13" s="1">
        <v>18.0</v>
      </c>
      <c r="I13" s="1" t="s">
        <v>43</v>
      </c>
      <c r="J13" s="1" t="s">
        <v>206</v>
      </c>
      <c r="K13" s="1" t="s">
        <v>207</v>
      </c>
      <c r="L13" s="1" t="s">
        <v>121</v>
      </c>
      <c r="M13" s="1">
        <v>105118.0</v>
      </c>
      <c r="N13" s="1" t="s">
        <v>121</v>
      </c>
      <c r="O13" s="1" t="s">
        <v>208</v>
      </c>
      <c r="P13" s="1" t="s">
        <v>209</v>
      </c>
      <c r="W13" s="1" t="s">
        <v>210</v>
      </c>
      <c r="X13" s="1" t="s">
        <v>211</v>
      </c>
      <c r="AC13" s="1" t="s">
        <v>212</v>
      </c>
      <c r="AD13" s="1">
        <v>213476.0</v>
      </c>
      <c r="AE13" s="1">
        <v>207027.0</v>
      </c>
      <c r="AF13" s="1">
        <v>76638.0</v>
      </c>
      <c r="AG13" s="1">
        <v>3443.0</v>
      </c>
      <c r="AH13" s="1">
        <v>40921.0</v>
      </c>
      <c r="AI13" s="1">
        <v>25980.0</v>
      </c>
      <c r="AJ13" s="1" t="s">
        <v>213</v>
      </c>
      <c r="AK13" s="1" t="s">
        <v>61</v>
      </c>
      <c r="AL13" s="1">
        <v>7.72075135429E11</v>
      </c>
      <c r="AM13" s="3">
        <v>45734.0</v>
      </c>
      <c r="AN13" s="1">
        <v>1.0</v>
      </c>
    </row>
    <row r="14" ht="15.75" customHeight="1">
      <c r="A14" s="1" t="s">
        <v>214</v>
      </c>
      <c r="B14" s="1" t="s">
        <v>215</v>
      </c>
      <c r="C14" s="1">
        <v>7.720127405E9</v>
      </c>
      <c r="D14" s="1">
        <v>7.72001001E8</v>
      </c>
      <c r="E14" s="1">
        <v>1.027739159568E12</v>
      </c>
      <c r="F14" s="1" t="s">
        <v>42</v>
      </c>
      <c r="G14" s="3">
        <v>34774.0</v>
      </c>
      <c r="H14" s="1">
        <v>30.0</v>
      </c>
      <c r="I14" s="1" t="s">
        <v>43</v>
      </c>
      <c r="J14" s="1" t="s">
        <v>216</v>
      </c>
      <c r="K14" s="1" t="s">
        <v>217</v>
      </c>
      <c r="L14" s="1" t="s">
        <v>121</v>
      </c>
      <c r="M14" s="1">
        <v>111123.0</v>
      </c>
      <c r="N14" s="1" t="s">
        <v>121</v>
      </c>
      <c r="O14" s="1" t="s">
        <v>218</v>
      </c>
      <c r="P14" s="1" t="s">
        <v>219</v>
      </c>
      <c r="Q14" s="1" t="s">
        <v>220</v>
      </c>
      <c r="R14" s="1" t="s">
        <v>221</v>
      </c>
      <c r="S14" s="1" t="s">
        <v>222</v>
      </c>
      <c r="T14" s="1" t="s">
        <v>223</v>
      </c>
      <c r="U14" s="1" t="s">
        <v>224</v>
      </c>
      <c r="W14" s="1" t="s">
        <v>225</v>
      </c>
      <c r="X14" s="1" t="s">
        <v>226</v>
      </c>
      <c r="Y14" s="1" t="s">
        <v>227</v>
      </c>
      <c r="Z14" s="1" t="s">
        <v>228</v>
      </c>
      <c r="AC14" s="1" t="s">
        <v>229</v>
      </c>
      <c r="AD14" s="1">
        <v>199284.0</v>
      </c>
      <c r="AE14" s="1">
        <v>82070.0</v>
      </c>
      <c r="AF14" s="1">
        <v>75143.0</v>
      </c>
      <c r="AG14" s="1">
        <v>1404.0</v>
      </c>
      <c r="AH14" s="1">
        <v>-4674.0</v>
      </c>
      <c r="AI14" s="1">
        <v>-4983.0</v>
      </c>
      <c r="AJ14" s="1" t="s">
        <v>230</v>
      </c>
      <c r="AK14" s="1" t="s">
        <v>61</v>
      </c>
      <c r="AL14" s="1">
        <v>7.82064976289E11</v>
      </c>
      <c r="AM14" s="3">
        <v>44322.0</v>
      </c>
      <c r="AN14" s="1">
        <v>1.0</v>
      </c>
    </row>
    <row r="15" ht="15.75" customHeight="1">
      <c r="A15" s="1" t="s">
        <v>231</v>
      </c>
      <c r="B15" s="1" t="s">
        <v>41</v>
      </c>
      <c r="C15" s="1">
        <v>5.034019859E9</v>
      </c>
      <c r="D15" s="1">
        <v>5.03401001E8</v>
      </c>
      <c r="E15" s="1">
        <v>1.045007011565E12</v>
      </c>
      <c r="F15" s="1" t="s">
        <v>42</v>
      </c>
      <c r="G15" s="3">
        <v>38309.0</v>
      </c>
      <c r="H15" s="1">
        <v>21.0</v>
      </c>
      <c r="I15" s="1" t="s">
        <v>43</v>
      </c>
      <c r="J15" s="1" t="s">
        <v>232</v>
      </c>
      <c r="K15" s="1" t="s">
        <v>233</v>
      </c>
      <c r="L15" s="1" t="s">
        <v>46</v>
      </c>
      <c r="M15" s="1">
        <v>142631.0</v>
      </c>
      <c r="N15" s="1" t="s">
        <v>234</v>
      </c>
      <c r="O15" s="1" t="s">
        <v>235</v>
      </c>
      <c r="P15" s="1" t="s">
        <v>236</v>
      </c>
      <c r="Q15" s="1" t="s">
        <v>237</v>
      </c>
      <c r="S15" s="1" t="s">
        <v>238</v>
      </c>
      <c r="W15" s="1" t="s">
        <v>239</v>
      </c>
      <c r="X15" s="1" t="s">
        <v>240</v>
      </c>
      <c r="Y15" s="1" t="s">
        <v>241</v>
      </c>
      <c r="Z15" s="1" t="s">
        <v>242</v>
      </c>
      <c r="AC15" s="1" t="s">
        <v>243</v>
      </c>
      <c r="AD15" s="1">
        <v>186008.0</v>
      </c>
      <c r="AE15" s="1">
        <v>180799.0</v>
      </c>
      <c r="AF15" s="1">
        <v>157083.0</v>
      </c>
      <c r="AG15" s="1">
        <v>1254.0</v>
      </c>
      <c r="AH15" s="1">
        <v>2924.0</v>
      </c>
      <c r="AI15" s="1">
        <v>2122.0</v>
      </c>
      <c r="AJ15" s="1" t="s">
        <v>244</v>
      </c>
      <c r="AK15" s="1" t="s">
        <v>245</v>
      </c>
      <c r="AL15" s="1">
        <v>7.72274417442E11</v>
      </c>
      <c r="AM15" s="3">
        <v>43244.0</v>
      </c>
      <c r="AN15" s="1">
        <v>1.0</v>
      </c>
    </row>
    <row r="16" ht="15.75" customHeight="1">
      <c r="A16" s="1" t="s">
        <v>246</v>
      </c>
      <c r="B16" s="1" t="s">
        <v>41</v>
      </c>
      <c r="C16" s="1">
        <v>5.044107494E9</v>
      </c>
      <c r="D16" s="1">
        <v>5.00701001E8</v>
      </c>
      <c r="E16" s="1">
        <v>1.175007001454E12</v>
      </c>
      <c r="F16" s="1" t="s">
        <v>42</v>
      </c>
      <c r="G16" s="3">
        <v>42765.0</v>
      </c>
      <c r="H16" s="1">
        <v>9.0</v>
      </c>
      <c r="I16" s="1" t="s">
        <v>43</v>
      </c>
      <c r="J16" s="1" t="s">
        <v>247</v>
      </c>
      <c r="K16" s="1" t="s">
        <v>248</v>
      </c>
      <c r="L16" s="1" t="s">
        <v>46</v>
      </c>
      <c r="M16" s="1">
        <v>141850.0</v>
      </c>
      <c r="N16" s="1" t="s">
        <v>249</v>
      </c>
      <c r="O16" s="1" t="s">
        <v>250</v>
      </c>
      <c r="S16" s="1" t="s">
        <v>251</v>
      </c>
      <c r="W16" s="1" t="s">
        <v>252</v>
      </c>
      <c r="X16" s="1" t="s">
        <v>253</v>
      </c>
      <c r="AC16" s="1" t="s">
        <v>254</v>
      </c>
      <c r="AD16" s="1">
        <v>164196.0</v>
      </c>
      <c r="AE16" s="1">
        <v>131886.0</v>
      </c>
      <c r="AF16" s="1">
        <v>102698.0</v>
      </c>
      <c r="AG16" s="1">
        <v>16919.0</v>
      </c>
      <c r="AH16" s="1">
        <v>16317.0</v>
      </c>
      <c r="AI16" s="1">
        <v>14384.0</v>
      </c>
      <c r="AJ16" s="1" t="s">
        <v>255</v>
      </c>
      <c r="AK16" s="1" t="s">
        <v>61</v>
      </c>
      <c r="AL16" s="1">
        <v>3.0180865803E11</v>
      </c>
      <c r="AM16" s="3">
        <v>45588.0</v>
      </c>
      <c r="AN16" s="1">
        <v>2.0</v>
      </c>
    </row>
    <row r="17" ht="15.75" customHeight="1">
      <c r="A17" s="1" t="s">
        <v>256</v>
      </c>
      <c r="B17" s="1" t="s">
        <v>41</v>
      </c>
      <c r="C17" s="1">
        <v>9.725063822E9</v>
      </c>
      <c r="D17" s="1">
        <v>7.72501001E8</v>
      </c>
      <c r="E17" s="1">
        <v>1.21770050918E12</v>
      </c>
      <c r="F17" s="1" t="s">
        <v>42</v>
      </c>
      <c r="G17" s="3">
        <v>44491.0</v>
      </c>
      <c r="H17" s="1">
        <v>4.0</v>
      </c>
      <c r="I17" s="1" t="s">
        <v>43</v>
      </c>
      <c r="J17" s="1" t="s">
        <v>257</v>
      </c>
      <c r="K17" s="1" t="s">
        <v>258</v>
      </c>
      <c r="L17" s="1" t="s">
        <v>121</v>
      </c>
      <c r="M17" s="1">
        <v>115114.0</v>
      </c>
      <c r="N17" s="1" t="s">
        <v>121</v>
      </c>
      <c r="O17" s="1" t="s">
        <v>259</v>
      </c>
      <c r="P17" s="1" t="s">
        <v>260</v>
      </c>
      <c r="Q17" s="1" t="s">
        <v>261</v>
      </c>
      <c r="W17" s="1" t="s">
        <v>262</v>
      </c>
      <c r="X17" s="1" t="s">
        <v>263</v>
      </c>
      <c r="AC17" s="1" t="s">
        <v>264</v>
      </c>
      <c r="AD17" s="1">
        <v>149223.0</v>
      </c>
      <c r="AE17" s="1">
        <v>90641.0</v>
      </c>
      <c r="AF17" s="1">
        <v>12227.0</v>
      </c>
      <c r="AG17" s="1">
        <v>27081.0</v>
      </c>
      <c r="AH17" s="1">
        <v>4493.0</v>
      </c>
      <c r="AI17" s="1">
        <v>4858.0</v>
      </c>
      <c r="AJ17" s="1" t="s">
        <v>265</v>
      </c>
      <c r="AK17" s="1" t="s">
        <v>61</v>
      </c>
      <c r="AL17" s="1">
        <v>7.61204956403E11</v>
      </c>
      <c r="AM17" s="3">
        <v>44491.0</v>
      </c>
      <c r="AN17" s="1">
        <v>1.0</v>
      </c>
    </row>
    <row r="18" ht="15.75" customHeight="1">
      <c r="A18" s="1" t="s">
        <v>266</v>
      </c>
      <c r="B18" s="1" t="s">
        <v>41</v>
      </c>
      <c r="C18" s="1">
        <v>7.730277801E9</v>
      </c>
      <c r="D18" s="1">
        <v>7.73001001E8</v>
      </c>
      <c r="E18" s="1">
        <v>1.227700236675E12</v>
      </c>
      <c r="F18" s="1" t="s">
        <v>42</v>
      </c>
      <c r="G18" s="3">
        <v>44672.0</v>
      </c>
      <c r="H18" s="1">
        <v>3.0</v>
      </c>
      <c r="I18" s="1" t="s">
        <v>43</v>
      </c>
      <c r="J18" s="1" t="s">
        <v>267</v>
      </c>
      <c r="K18" s="1" t="s">
        <v>268</v>
      </c>
      <c r="L18" s="1" t="s">
        <v>121</v>
      </c>
      <c r="M18" s="1">
        <v>121170.0</v>
      </c>
      <c r="N18" s="1" t="s">
        <v>121</v>
      </c>
      <c r="O18" s="1" t="s">
        <v>269</v>
      </c>
      <c r="P18" s="1" t="s">
        <v>270</v>
      </c>
      <c r="Q18" s="1" t="s">
        <v>271</v>
      </c>
      <c r="R18" s="1" t="s">
        <v>272</v>
      </c>
      <c r="S18" s="1" t="s">
        <v>273</v>
      </c>
      <c r="T18" s="1" t="s">
        <v>274</v>
      </c>
      <c r="W18" s="1" t="s">
        <v>275</v>
      </c>
      <c r="X18" s="1" t="s">
        <v>276</v>
      </c>
      <c r="Y18" s="1" t="s">
        <v>277</v>
      </c>
      <c r="AC18" s="1" t="s">
        <v>278</v>
      </c>
      <c r="AD18" s="1">
        <v>120916.0</v>
      </c>
      <c r="AE18" s="1">
        <v>101059.0</v>
      </c>
      <c r="AF18" s="1">
        <v>36170.0</v>
      </c>
      <c r="AG18" s="1">
        <v>-477.0</v>
      </c>
      <c r="AH18" s="1">
        <v>7221.0</v>
      </c>
      <c r="AI18" s="1">
        <v>2970.0</v>
      </c>
      <c r="AJ18" s="1" t="s">
        <v>279</v>
      </c>
      <c r="AK18" s="1" t="s">
        <v>61</v>
      </c>
      <c r="AL18" s="1">
        <v>7.7278396521E11</v>
      </c>
      <c r="AM18" s="3">
        <v>45409.0</v>
      </c>
      <c r="AN18" s="1">
        <v>2.0</v>
      </c>
    </row>
    <row r="19" ht="15.75" customHeight="1">
      <c r="A19" s="1" t="s">
        <v>280</v>
      </c>
      <c r="B19" s="1" t="s">
        <v>41</v>
      </c>
      <c r="C19" s="1">
        <v>7.7208977E9</v>
      </c>
      <c r="D19" s="1">
        <v>7.72001001E8</v>
      </c>
      <c r="E19" s="1">
        <v>1.23770034464E12</v>
      </c>
      <c r="F19" s="1" t="s">
        <v>42</v>
      </c>
      <c r="G19" s="3">
        <v>45061.0</v>
      </c>
      <c r="H19" s="1">
        <v>2.0</v>
      </c>
      <c r="I19" s="1" t="s">
        <v>43</v>
      </c>
      <c r="J19" s="1" t="s">
        <v>281</v>
      </c>
      <c r="K19" s="1" t="s">
        <v>282</v>
      </c>
      <c r="L19" s="1" t="s">
        <v>121</v>
      </c>
      <c r="M19" s="1">
        <v>111395.0</v>
      </c>
      <c r="N19" s="1" t="s">
        <v>121</v>
      </c>
      <c r="O19" s="1" t="s">
        <v>283</v>
      </c>
      <c r="AC19" s="1" t="s">
        <v>284</v>
      </c>
      <c r="AD19" s="1">
        <v>114486.0</v>
      </c>
      <c r="AE19" s="1">
        <v>44534.0</v>
      </c>
      <c r="AF19" s="1">
        <v>0.0</v>
      </c>
      <c r="AG19" s="1">
        <v>6632.0</v>
      </c>
      <c r="AH19" s="1">
        <v>7422.0</v>
      </c>
      <c r="AI19" s="1">
        <v>0.0</v>
      </c>
      <c r="AJ19" s="1" t="s">
        <v>285</v>
      </c>
      <c r="AK19" s="1" t="s">
        <v>61</v>
      </c>
      <c r="AL19" s="1">
        <v>7.72908629873E11</v>
      </c>
      <c r="AM19" s="3">
        <v>45061.0</v>
      </c>
      <c r="AN19" s="1">
        <v>2.0</v>
      </c>
    </row>
    <row r="20" ht="15.75" customHeight="1">
      <c r="A20" s="1" t="s">
        <v>286</v>
      </c>
      <c r="B20" s="1" t="s">
        <v>41</v>
      </c>
      <c r="C20" s="1">
        <v>7.719857252E9</v>
      </c>
      <c r="D20" s="1">
        <v>7.71801001E8</v>
      </c>
      <c r="E20" s="1">
        <v>1.137746909508E12</v>
      </c>
      <c r="F20" s="1" t="s">
        <v>42</v>
      </c>
      <c r="G20" s="3">
        <v>41550.0</v>
      </c>
      <c r="H20" s="1">
        <v>12.0</v>
      </c>
      <c r="I20" s="1" t="s">
        <v>43</v>
      </c>
      <c r="J20" s="1" t="s">
        <v>287</v>
      </c>
      <c r="K20" s="1" t="s">
        <v>288</v>
      </c>
      <c r="L20" s="1" t="s">
        <v>121</v>
      </c>
      <c r="M20" s="1">
        <v>107564.0</v>
      </c>
      <c r="N20" s="1" t="s">
        <v>121</v>
      </c>
      <c r="O20" s="1" t="s">
        <v>289</v>
      </c>
      <c r="W20" s="1" t="s">
        <v>290</v>
      </c>
      <c r="AC20" s="1" t="s">
        <v>291</v>
      </c>
      <c r="AD20" s="1">
        <v>105853.0</v>
      </c>
      <c r="AE20" s="1">
        <v>112339.0</v>
      </c>
      <c r="AF20" s="1">
        <v>59128.0</v>
      </c>
      <c r="AG20" s="1">
        <v>2987.0</v>
      </c>
      <c r="AH20" s="1">
        <v>6328.0</v>
      </c>
      <c r="AI20" s="1">
        <v>4517.0</v>
      </c>
      <c r="AJ20" s="1" t="s">
        <v>292</v>
      </c>
      <c r="AK20" s="1" t="s">
        <v>61</v>
      </c>
      <c r="AL20" s="1">
        <v>8.90303574211E11</v>
      </c>
      <c r="AM20" s="3">
        <v>46010.0</v>
      </c>
      <c r="AN20" s="1">
        <v>1.0</v>
      </c>
    </row>
    <row r="21" ht="15.75" customHeight="1">
      <c r="A21" s="1" t="s">
        <v>293</v>
      </c>
      <c r="B21" s="1" t="s">
        <v>41</v>
      </c>
      <c r="C21" s="1">
        <v>5.042080705E9</v>
      </c>
      <c r="D21" s="1">
        <v>7.71501001E8</v>
      </c>
      <c r="E21" s="1">
        <v>1.055008007471E12</v>
      </c>
      <c r="F21" s="1" t="s">
        <v>42</v>
      </c>
      <c r="G21" s="3">
        <v>38457.0</v>
      </c>
      <c r="H21" s="1">
        <v>20.0</v>
      </c>
      <c r="I21" s="1" t="s">
        <v>43</v>
      </c>
      <c r="J21" s="1" t="s">
        <v>294</v>
      </c>
      <c r="K21" s="1" t="s">
        <v>295</v>
      </c>
      <c r="L21" s="1" t="s">
        <v>121</v>
      </c>
      <c r="M21" s="1">
        <v>127282.0</v>
      </c>
      <c r="N21" s="1" t="s">
        <v>121</v>
      </c>
      <c r="O21" s="1" t="s">
        <v>296</v>
      </c>
      <c r="P21" s="1" t="s">
        <v>297</v>
      </c>
      <c r="Q21" s="1" t="s">
        <v>298</v>
      </c>
      <c r="R21" s="1" t="s">
        <v>299</v>
      </c>
      <c r="S21" s="1" t="s">
        <v>300</v>
      </c>
      <c r="W21" s="1" t="s">
        <v>301</v>
      </c>
      <c r="X21" s="1" t="s">
        <v>302</v>
      </c>
      <c r="AC21" s="1" t="s">
        <v>303</v>
      </c>
      <c r="AD21" s="1">
        <v>83772.0</v>
      </c>
      <c r="AE21" s="1">
        <v>38579.0</v>
      </c>
      <c r="AF21" s="1">
        <v>0.0</v>
      </c>
      <c r="AG21" s="1">
        <v>637.0</v>
      </c>
      <c r="AH21" s="1">
        <v>1149.0</v>
      </c>
      <c r="AI21" s="1">
        <v>-2083.0</v>
      </c>
      <c r="AJ21" s="1" t="s">
        <v>304</v>
      </c>
      <c r="AK21" s="1" t="s">
        <v>61</v>
      </c>
      <c r="AL21" s="1">
        <v>5.042177571E11</v>
      </c>
      <c r="AM21" s="3">
        <v>40700.0</v>
      </c>
      <c r="AN21" s="1">
        <v>1.0</v>
      </c>
    </row>
    <row r="22" ht="15.75" customHeight="1">
      <c r="A22" s="1" t="s">
        <v>305</v>
      </c>
      <c r="B22" s="1" t="s">
        <v>41</v>
      </c>
      <c r="C22" s="1">
        <v>5.038153083E9</v>
      </c>
      <c r="D22" s="1">
        <v>5.03801001E8</v>
      </c>
      <c r="E22" s="1">
        <v>1.205000028628E12</v>
      </c>
      <c r="F22" s="1" t="s">
        <v>42</v>
      </c>
      <c r="G22" s="3">
        <v>43910.0</v>
      </c>
      <c r="H22" s="1">
        <v>5.0</v>
      </c>
      <c r="I22" s="1" t="s">
        <v>43</v>
      </c>
      <c r="J22" s="1" t="s">
        <v>306</v>
      </c>
      <c r="K22" s="1" t="s">
        <v>307</v>
      </c>
      <c r="L22" s="1" t="s">
        <v>46</v>
      </c>
      <c r="M22" s="1">
        <v>141290.0</v>
      </c>
      <c r="N22" s="1" t="s">
        <v>308</v>
      </c>
      <c r="O22" s="1" t="s">
        <v>309</v>
      </c>
      <c r="P22" s="1" t="s">
        <v>310</v>
      </c>
      <c r="S22" s="1" t="s">
        <v>311</v>
      </c>
      <c r="T22" s="1" t="s">
        <v>312</v>
      </c>
      <c r="U22" s="1" t="s">
        <v>313</v>
      </c>
      <c r="W22" s="1" t="s">
        <v>314</v>
      </c>
      <c r="X22" s="1" t="s">
        <v>315</v>
      </c>
      <c r="Y22" s="1" t="s">
        <v>316</v>
      </c>
      <c r="AC22" s="1" t="s">
        <v>317</v>
      </c>
      <c r="AD22" s="1">
        <v>71803.0</v>
      </c>
      <c r="AE22" s="1">
        <v>91391.0</v>
      </c>
      <c r="AF22" s="1">
        <v>74146.0</v>
      </c>
      <c r="AG22" s="1">
        <v>-23711.0</v>
      </c>
      <c r="AH22" s="1">
        <v>17.0</v>
      </c>
      <c r="AI22" s="1">
        <v>2985.0</v>
      </c>
      <c r="AJ22" s="1" t="s">
        <v>318</v>
      </c>
      <c r="AK22" s="1" t="s">
        <v>61</v>
      </c>
      <c r="AL22" s="1">
        <v>7.71605086256E11</v>
      </c>
      <c r="AM22" s="3">
        <v>45317.0</v>
      </c>
      <c r="AN22" s="1">
        <v>1.0</v>
      </c>
    </row>
    <row r="23" ht="15.75" customHeight="1">
      <c r="A23" s="1" t="s">
        <v>319</v>
      </c>
      <c r="B23" s="1" t="s">
        <v>41</v>
      </c>
      <c r="C23" s="1">
        <v>9.725001336E9</v>
      </c>
      <c r="D23" s="1">
        <v>7.72501001E8</v>
      </c>
      <c r="E23" s="1">
        <v>1.197746009361E12</v>
      </c>
      <c r="F23" s="1" t="s">
        <v>42</v>
      </c>
      <c r="G23" s="3">
        <v>43480.0</v>
      </c>
      <c r="H23" s="1">
        <v>7.0</v>
      </c>
      <c r="I23" s="1" t="s">
        <v>43</v>
      </c>
      <c r="J23" s="1" t="s">
        <v>320</v>
      </c>
      <c r="K23" s="1" t="s">
        <v>321</v>
      </c>
      <c r="L23" s="1" t="s">
        <v>121</v>
      </c>
      <c r="M23" s="1">
        <v>115280.0</v>
      </c>
      <c r="N23" s="1" t="s">
        <v>121</v>
      </c>
      <c r="O23" s="1" t="s">
        <v>322</v>
      </c>
      <c r="P23" s="1" t="s">
        <v>323</v>
      </c>
      <c r="Q23" s="1" t="s">
        <v>324</v>
      </c>
      <c r="R23" s="1" t="s">
        <v>325</v>
      </c>
      <c r="S23" s="1" t="s">
        <v>326</v>
      </c>
      <c r="W23" s="1" t="s">
        <v>327</v>
      </c>
      <c r="X23" s="1" t="s">
        <v>328</v>
      </c>
      <c r="Y23" s="1" t="s">
        <v>329</v>
      </c>
      <c r="Z23" s="1" t="s">
        <v>330</v>
      </c>
      <c r="AC23" s="1" t="s">
        <v>331</v>
      </c>
      <c r="AD23" s="1">
        <v>47970.0</v>
      </c>
      <c r="AE23" s="1">
        <v>49634.0</v>
      </c>
      <c r="AF23" s="1">
        <v>58630.0</v>
      </c>
      <c r="AG23" s="1">
        <v>-10319.0</v>
      </c>
      <c r="AH23" s="1">
        <v>1323.0</v>
      </c>
      <c r="AI23" s="1">
        <v>4321.0</v>
      </c>
      <c r="AJ23" s="1" t="s">
        <v>332</v>
      </c>
      <c r="AK23" s="1" t="s">
        <v>61</v>
      </c>
      <c r="AL23" s="1">
        <v>7.72863417273E11</v>
      </c>
      <c r="AM23" s="3">
        <v>46055.0</v>
      </c>
      <c r="AN23" s="1">
        <v>1.0</v>
      </c>
    </row>
    <row r="24" ht="15.75" customHeight="1">
      <c r="A24" s="1" t="s">
        <v>333</v>
      </c>
      <c r="B24" s="1" t="s">
        <v>41</v>
      </c>
      <c r="C24" s="1">
        <v>9.731075784E9</v>
      </c>
      <c r="D24" s="1">
        <v>7.73101001E8</v>
      </c>
      <c r="E24" s="1">
        <v>1.217700076098E12</v>
      </c>
      <c r="F24" s="1" t="s">
        <v>42</v>
      </c>
      <c r="G24" s="3">
        <v>44247.0</v>
      </c>
      <c r="H24" s="1">
        <v>5.0</v>
      </c>
      <c r="I24" s="1" t="s">
        <v>43</v>
      </c>
      <c r="J24" s="1" t="s">
        <v>334</v>
      </c>
      <c r="K24" s="1" t="s">
        <v>335</v>
      </c>
      <c r="L24" s="1" t="s">
        <v>121</v>
      </c>
      <c r="M24" s="1">
        <v>121596.0</v>
      </c>
      <c r="N24" s="1" t="s">
        <v>121</v>
      </c>
      <c r="O24" s="1" t="s">
        <v>336</v>
      </c>
      <c r="P24" s="1" t="s">
        <v>337</v>
      </c>
      <c r="S24" s="1" t="s">
        <v>338</v>
      </c>
      <c r="T24" s="1" t="s">
        <v>339</v>
      </c>
      <c r="U24" s="1" t="s">
        <v>340</v>
      </c>
      <c r="W24" s="1" t="s">
        <v>341</v>
      </c>
      <c r="X24" s="1" t="s">
        <v>342</v>
      </c>
      <c r="AC24" s="1" t="s">
        <v>343</v>
      </c>
      <c r="AD24" s="1">
        <v>40395.0</v>
      </c>
      <c r="AE24" s="1">
        <v>17988.0</v>
      </c>
      <c r="AF24" s="1">
        <v>2181.0</v>
      </c>
      <c r="AG24" s="1">
        <v>7289.0</v>
      </c>
      <c r="AH24" s="1">
        <v>3518.0</v>
      </c>
      <c r="AI24" s="1">
        <v>372.0</v>
      </c>
      <c r="AJ24" s="1" t="s">
        <v>344</v>
      </c>
      <c r="AK24" s="1" t="s">
        <v>61</v>
      </c>
      <c r="AL24" s="1">
        <v>5.03215058874E11</v>
      </c>
      <c r="AM24" s="3">
        <v>44573.0</v>
      </c>
      <c r="AN24" s="1">
        <v>1.0</v>
      </c>
    </row>
    <row r="25" ht="15.75" customHeight="1">
      <c r="A25" s="1" t="s">
        <v>345</v>
      </c>
      <c r="B25" s="1" t="s">
        <v>41</v>
      </c>
      <c r="C25" s="1">
        <v>9.718206903E9</v>
      </c>
      <c r="D25" s="1">
        <v>7.71801001E8</v>
      </c>
      <c r="E25" s="1">
        <v>1.227700696134E12</v>
      </c>
      <c r="F25" s="1" t="s">
        <v>42</v>
      </c>
      <c r="G25" s="3">
        <v>44861.0</v>
      </c>
      <c r="H25" s="1">
        <v>3.0</v>
      </c>
      <c r="I25" s="1" t="s">
        <v>43</v>
      </c>
      <c r="J25" s="1" t="s">
        <v>346</v>
      </c>
      <c r="K25" s="1" t="s">
        <v>347</v>
      </c>
      <c r="L25" s="1" t="s">
        <v>121</v>
      </c>
      <c r="M25" s="1">
        <v>107564.0</v>
      </c>
      <c r="N25" s="1" t="s">
        <v>121</v>
      </c>
      <c r="O25" s="1" t="s">
        <v>348</v>
      </c>
      <c r="P25" s="1" t="s">
        <v>349</v>
      </c>
      <c r="W25" s="1" t="s">
        <v>350</v>
      </c>
      <c r="AC25" s="1" t="s">
        <v>351</v>
      </c>
      <c r="AD25" s="1">
        <v>37392.0</v>
      </c>
      <c r="AE25" s="1">
        <v>0.0</v>
      </c>
      <c r="AF25" s="1">
        <v>0.0</v>
      </c>
      <c r="AG25" s="1">
        <v>-120024.0</v>
      </c>
      <c r="AH25" s="1">
        <v>-1476.0</v>
      </c>
      <c r="AI25" s="1">
        <v>0.0</v>
      </c>
      <c r="AJ25" s="1" t="s">
        <v>352</v>
      </c>
      <c r="AK25" s="1" t="s">
        <v>61</v>
      </c>
      <c r="AL25" s="1">
        <v>5.03210349598E11</v>
      </c>
      <c r="AM25" s="3">
        <v>45971.0</v>
      </c>
      <c r="AN25" s="1">
        <v>1.0</v>
      </c>
    </row>
    <row r="26" ht="15.75" customHeight="1">
      <c r="A26" s="1" t="s">
        <v>353</v>
      </c>
      <c r="B26" s="1" t="s">
        <v>41</v>
      </c>
      <c r="C26" s="1">
        <v>9.72504209E9</v>
      </c>
      <c r="D26" s="1">
        <v>7.73001001E8</v>
      </c>
      <c r="E26" s="1">
        <v>1.207700499324E12</v>
      </c>
      <c r="F26" s="1" t="s">
        <v>42</v>
      </c>
      <c r="G26" s="3">
        <v>44193.0</v>
      </c>
      <c r="H26" s="1">
        <v>5.0</v>
      </c>
      <c r="I26" s="1" t="s">
        <v>43</v>
      </c>
      <c r="J26" s="1" t="s">
        <v>354</v>
      </c>
      <c r="K26" s="1" t="s">
        <v>355</v>
      </c>
      <c r="L26" s="1" t="s">
        <v>121</v>
      </c>
      <c r="M26" s="1">
        <v>121087.0</v>
      </c>
      <c r="N26" s="1" t="s">
        <v>121</v>
      </c>
      <c r="O26" s="1" t="s">
        <v>356</v>
      </c>
      <c r="P26" s="1" t="s">
        <v>357</v>
      </c>
      <c r="S26" s="1" t="s">
        <v>358</v>
      </c>
      <c r="W26" s="1" t="s">
        <v>359</v>
      </c>
      <c r="AC26" s="1" t="s">
        <v>360</v>
      </c>
      <c r="AD26" s="1">
        <v>32775.0</v>
      </c>
      <c r="AE26" s="1">
        <v>13487.0</v>
      </c>
      <c r="AF26" s="1">
        <v>1970.0</v>
      </c>
      <c r="AG26" s="1">
        <v>2585.0</v>
      </c>
      <c r="AH26" s="1">
        <v>1505.0</v>
      </c>
      <c r="AI26" s="1">
        <v>6.0</v>
      </c>
      <c r="AJ26" s="1" t="s">
        <v>361</v>
      </c>
      <c r="AK26" s="1" t="s">
        <v>61</v>
      </c>
      <c r="AL26" s="1">
        <v>7.7159518795E11</v>
      </c>
      <c r="AM26" s="3">
        <v>44193.0</v>
      </c>
      <c r="AN26" s="1">
        <v>2.0</v>
      </c>
    </row>
    <row r="27" ht="15.75" customHeight="1">
      <c r="A27" s="1" t="s">
        <v>362</v>
      </c>
      <c r="B27" s="1" t="s">
        <v>41</v>
      </c>
      <c r="C27" s="1">
        <v>7.713490431E9</v>
      </c>
      <c r="D27" s="1">
        <v>7.71301001E8</v>
      </c>
      <c r="E27" s="1">
        <v>1.227700385208E12</v>
      </c>
      <c r="F27" s="1" t="s">
        <v>42</v>
      </c>
      <c r="G27" s="3">
        <v>44742.0</v>
      </c>
      <c r="H27" s="1">
        <v>3.0</v>
      </c>
      <c r="I27" s="1" t="s">
        <v>43</v>
      </c>
      <c r="J27" s="1" t="s">
        <v>363</v>
      </c>
      <c r="K27" s="1" t="s">
        <v>364</v>
      </c>
      <c r="L27" s="1" t="s">
        <v>121</v>
      </c>
      <c r="M27" s="1">
        <v>127591.0</v>
      </c>
      <c r="N27" s="1" t="s">
        <v>121</v>
      </c>
      <c r="O27" s="1" t="s">
        <v>365</v>
      </c>
      <c r="W27" s="1" t="s">
        <v>366</v>
      </c>
      <c r="AC27" s="1" t="s">
        <v>367</v>
      </c>
      <c r="AD27" s="1">
        <v>29295.0</v>
      </c>
      <c r="AE27" s="1">
        <v>25266.0</v>
      </c>
      <c r="AF27" s="1">
        <v>0.0</v>
      </c>
      <c r="AG27" s="1">
        <v>-1592.0</v>
      </c>
      <c r="AH27" s="1">
        <v>-1506.0</v>
      </c>
      <c r="AI27" s="1">
        <v>-774.0</v>
      </c>
      <c r="AJ27" s="1" t="s">
        <v>368</v>
      </c>
      <c r="AK27" s="1" t="s">
        <v>61</v>
      </c>
      <c r="AL27" s="1">
        <v>7.7137464426E11</v>
      </c>
      <c r="AM27" s="3">
        <v>44742.0</v>
      </c>
      <c r="AN27" s="1">
        <v>2.0</v>
      </c>
    </row>
    <row r="28" ht="15.75" customHeight="1">
      <c r="A28" s="1" t="s">
        <v>369</v>
      </c>
      <c r="B28" s="1" t="s">
        <v>41</v>
      </c>
      <c r="C28" s="1">
        <v>7.707474706E9</v>
      </c>
      <c r="D28" s="1">
        <v>7.70701001E8</v>
      </c>
      <c r="E28" s="1">
        <v>1.227700628946E12</v>
      </c>
      <c r="F28" s="1" t="s">
        <v>42</v>
      </c>
      <c r="G28" s="3">
        <v>44837.0</v>
      </c>
      <c r="H28" s="1">
        <v>3.0</v>
      </c>
      <c r="I28" s="1" t="s">
        <v>43</v>
      </c>
      <c r="J28" s="1" t="s">
        <v>370</v>
      </c>
      <c r="K28" s="1" t="s">
        <v>371</v>
      </c>
      <c r="L28" s="1" t="s">
        <v>121</v>
      </c>
      <c r="M28" s="1">
        <v>127030.0</v>
      </c>
      <c r="N28" s="1" t="s">
        <v>121</v>
      </c>
      <c r="O28" s="1" t="s">
        <v>372</v>
      </c>
      <c r="P28" s="1" t="s">
        <v>373</v>
      </c>
      <c r="Q28" s="1" t="s">
        <v>374</v>
      </c>
      <c r="R28" s="1" t="s">
        <v>375</v>
      </c>
      <c r="S28" s="1" t="s">
        <v>376</v>
      </c>
      <c r="W28" s="1" t="s">
        <v>377</v>
      </c>
      <c r="X28" s="1" t="s">
        <v>378</v>
      </c>
      <c r="Y28" s="1" t="s">
        <v>379</v>
      </c>
      <c r="Z28" s="1" t="s">
        <v>380</v>
      </c>
      <c r="AC28" s="1" t="s">
        <v>381</v>
      </c>
      <c r="AD28" s="1">
        <v>28699.0</v>
      </c>
      <c r="AE28" s="1">
        <v>1831.0</v>
      </c>
      <c r="AG28" s="1">
        <v>104.0</v>
      </c>
      <c r="AH28" s="1">
        <v>20.0</v>
      </c>
      <c r="AJ28" s="1" t="s">
        <v>382</v>
      </c>
      <c r="AK28" s="1" t="s">
        <v>61</v>
      </c>
      <c r="AL28" s="1">
        <v>2.6130288464E11</v>
      </c>
      <c r="AM28" s="3">
        <v>45838.0</v>
      </c>
      <c r="AN28" s="1">
        <v>1.0</v>
      </c>
    </row>
    <row r="29" ht="15.75" customHeight="1">
      <c r="A29" s="1" t="s">
        <v>383</v>
      </c>
      <c r="B29" s="1" t="s">
        <v>41</v>
      </c>
      <c r="C29" s="1">
        <v>9.725144704E9</v>
      </c>
      <c r="D29" s="1">
        <v>7.72501001E8</v>
      </c>
      <c r="E29" s="1">
        <v>1.237700917321E12</v>
      </c>
      <c r="F29" s="1" t="s">
        <v>42</v>
      </c>
      <c r="G29" s="3">
        <v>45280.0</v>
      </c>
      <c r="H29" s="1">
        <v>2.0</v>
      </c>
      <c r="I29" s="1" t="s">
        <v>43</v>
      </c>
      <c r="J29" s="1" t="s">
        <v>384</v>
      </c>
      <c r="K29" s="1" t="s">
        <v>385</v>
      </c>
      <c r="L29" s="1" t="s">
        <v>121</v>
      </c>
      <c r="M29" s="1">
        <v>115280.0</v>
      </c>
      <c r="N29" s="1" t="s">
        <v>121</v>
      </c>
      <c r="O29" s="1" t="s">
        <v>386</v>
      </c>
      <c r="S29" s="1" t="s">
        <v>387</v>
      </c>
      <c r="T29" s="1" t="s">
        <v>388</v>
      </c>
      <c r="W29" s="1" t="s">
        <v>389</v>
      </c>
      <c r="AC29" s="1" t="s">
        <v>390</v>
      </c>
      <c r="AD29" s="1">
        <v>25157.0</v>
      </c>
      <c r="AE29" s="1">
        <v>0.0</v>
      </c>
      <c r="AG29" s="1">
        <v>684.0</v>
      </c>
      <c r="AH29" s="1">
        <v>0.0</v>
      </c>
      <c r="AJ29" s="1" t="s">
        <v>391</v>
      </c>
      <c r="AK29" s="1" t="s">
        <v>61</v>
      </c>
      <c r="AL29" s="1">
        <v>5.40437654902E11</v>
      </c>
      <c r="AM29" s="3">
        <v>45280.0</v>
      </c>
      <c r="AN29" s="1">
        <v>2.0</v>
      </c>
    </row>
    <row r="30" ht="15.75" customHeight="1">
      <c r="A30" s="1" t="s">
        <v>392</v>
      </c>
      <c r="B30" s="1" t="s">
        <v>41</v>
      </c>
      <c r="C30" s="1">
        <v>7.726365205E9</v>
      </c>
      <c r="D30" s="1">
        <v>7.72701001E8</v>
      </c>
      <c r="E30" s="1">
        <v>5.157746208747E12</v>
      </c>
      <c r="F30" s="1" t="s">
        <v>42</v>
      </c>
      <c r="G30" s="3">
        <v>42362.0</v>
      </c>
      <c r="H30" s="1">
        <v>10.0</v>
      </c>
      <c r="I30" s="1" t="s">
        <v>43</v>
      </c>
      <c r="J30" s="1" t="s">
        <v>393</v>
      </c>
      <c r="K30" s="1" t="s">
        <v>394</v>
      </c>
      <c r="L30" s="1" t="s">
        <v>121</v>
      </c>
      <c r="M30" s="1">
        <v>117216.0</v>
      </c>
      <c r="N30" s="1" t="s">
        <v>121</v>
      </c>
      <c r="O30" s="1" t="s">
        <v>395</v>
      </c>
      <c r="P30" s="1" t="s">
        <v>396</v>
      </c>
      <c r="Q30" s="1" t="s">
        <v>397</v>
      </c>
      <c r="W30" s="1" t="s">
        <v>398</v>
      </c>
      <c r="X30" s="1" t="s">
        <v>399</v>
      </c>
      <c r="Y30" s="1" t="s">
        <v>400</v>
      </c>
      <c r="Z30" s="1" t="s">
        <v>401</v>
      </c>
      <c r="AC30" s="1" t="s">
        <v>402</v>
      </c>
      <c r="AD30" s="1">
        <v>20170.0</v>
      </c>
      <c r="AE30" s="1">
        <v>22656.0</v>
      </c>
      <c r="AF30" s="1">
        <v>30045.0</v>
      </c>
      <c r="AG30" s="1">
        <v>169.0</v>
      </c>
      <c r="AH30" s="1">
        <v>359.0</v>
      </c>
      <c r="AI30" s="1">
        <v>2642.0</v>
      </c>
      <c r="AJ30" s="1" t="s">
        <v>403</v>
      </c>
      <c r="AK30" s="1" t="s">
        <v>61</v>
      </c>
      <c r="AL30" s="1">
        <v>4.70407694326E11</v>
      </c>
      <c r="AM30" s="3">
        <v>42362.0</v>
      </c>
      <c r="AN30" s="1">
        <v>2.0</v>
      </c>
    </row>
    <row r="31" ht="15.75" customHeight="1">
      <c r="A31" s="1" t="s">
        <v>404</v>
      </c>
      <c r="B31" s="1" t="s">
        <v>41</v>
      </c>
      <c r="C31" s="1">
        <v>5.027160226E9</v>
      </c>
      <c r="D31" s="1">
        <v>5.02701001E8</v>
      </c>
      <c r="E31" s="1">
        <v>1.10502700406E12</v>
      </c>
      <c r="F31" s="1" t="s">
        <v>42</v>
      </c>
      <c r="G31" s="3">
        <v>40269.0</v>
      </c>
      <c r="H31" s="1">
        <v>15.0</v>
      </c>
      <c r="I31" s="1" t="s">
        <v>43</v>
      </c>
      <c r="J31" s="1" t="s">
        <v>405</v>
      </c>
      <c r="K31" s="1" t="s">
        <v>406</v>
      </c>
      <c r="L31" s="1" t="s">
        <v>46</v>
      </c>
      <c r="M31" s="1">
        <v>140000.0</v>
      </c>
      <c r="N31" s="1" t="s">
        <v>407</v>
      </c>
      <c r="O31" s="1" t="s">
        <v>408</v>
      </c>
      <c r="AC31" s="1" t="s">
        <v>409</v>
      </c>
      <c r="AD31" s="1">
        <v>14512.0</v>
      </c>
      <c r="AE31" s="1">
        <v>18358.0</v>
      </c>
      <c r="AF31" s="1">
        <v>20083.0</v>
      </c>
      <c r="AG31" s="1">
        <v>-6476.0</v>
      </c>
      <c r="AH31" s="1">
        <v>874.0</v>
      </c>
      <c r="AI31" s="1">
        <v>2866.0</v>
      </c>
      <c r="AJ31" s="1" t="s">
        <v>410</v>
      </c>
      <c r="AK31" s="1" t="s">
        <v>61</v>
      </c>
      <c r="AL31" s="1">
        <v>6.14206736404E11</v>
      </c>
      <c r="AM31" s="3">
        <v>42478.0</v>
      </c>
      <c r="AN31" s="1">
        <v>1.0</v>
      </c>
    </row>
    <row r="32" ht="15.75" customHeight="1">
      <c r="A32" s="1" t="s">
        <v>411</v>
      </c>
      <c r="B32" s="1" t="s">
        <v>41</v>
      </c>
      <c r="C32" s="1">
        <v>7.734453342E9</v>
      </c>
      <c r="D32" s="1">
        <v>5.01001001E8</v>
      </c>
      <c r="E32" s="1">
        <v>1.22770020724E12</v>
      </c>
      <c r="F32" s="1" t="s">
        <v>42</v>
      </c>
      <c r="G32" s="3">
        <v>44662.0</v>
      </c>
      <c r="H32" s="1">
        <v>3.0</v>
      </c>
      <c r="I32" s="1" t="s">
        <v>43</v>
      </c>
      <c r="J32" s="1" t="s">
        <v>412</v>
      </c>
      <c r="K32" s="1" t="s">
        <v>413</v>
      </c>
      <c r="L32" s="1" t="s">
        <v>46</v>
      </c>
      <c r="M32" s="1">
        <v>141980.0</v>
      </c>
      <c r="N32" s="1" t="s">
        <v>414</v>
      </c>
      <c r="O32" s="1" t="s">
        <v>415</v>
      </c>
      <c r="P32" s="1" t="s">
        <v>416</v>
      </c>
      <c r="Q32" s="1" t="s">
        <v>417</v>
      </c>
      <c r="S32" s="1" t="s">
        <v>418</v>
      </c>
      <c r="W32" s="1" t="s">
        <v>419</v>
      </c>
      <c r="X32" s="1" t="s">
        <v>420</v>
      </c>
      <c r="Y32" s="1" t="s">
        <v>421</v>
      </c>
      <c r="Z32" s="1" t="s">
        <v>422</v>
      </c>
      <c r="AC32" s="1" t="s">
        <v>423</v>
      </c>
      <c r="AD32" s="1">
        <v>14319.0</v>
      </c>
      <c r="AE32" s="1">
        <v>11886.0</v>
      </c>
      <c r="AF32" s="1">
        <v>233.0</v>
      </c>
      <c r="AG32" s="1">
        <v>-5018.0</v>
      </c>
      <c r="AH32" s="1">
        <v>-5281.0</v>
      </c>
      <c r="AI32" s="1">
        <v>-1089.0</v>
      </c>
      <c r="AJ32" s="1" t="s">
        <v>424</v>
      </c>
      <c r="AK32" s="1" t="s">
        <v>61</v>
      </c>
      <c r="AL32" s="1">
        <v>3.52803265618E11</v>
      </c>
      <c r="AM32" s="3">
        <v>44662.0</v>
      </c>
      <c r="AN32" s="1">
        <v>1.0</v>
      </c>
    </row>
    <row r="33" ht="15.75" customHeight="1">
      <c r="A33" s="1" t="s">
        <v>425</v>
      </c>
      <c r="B33" s="1" t="s">
        <v>41</v>
      </c>
      <c r="C33" s="1">
        <v>5.018214838E9</v>
      </c>
      <c r="D33" s="1">
        <v>5.01801001E8</v>
      </c>
      <c r="E33" s="1">
        <v>1.235000062274E12</v>
      </c>
      <c r="F33" s="1" t="s">
        <v>42</v>
      </c>
      <c r="G33" s="3">
        <v>45063.0</v>
      </c>
      <c r="H33" s="1">
        <v>2.0</v>
      </c>
      <c r="I33" s="1" t="s">
        <v>43</v>
      </c>
      <c r="J33" s="1" t="s">
        <v>426</v>
      </c>
      <c r="K33" s="1" t="s">
        <v>427</v>
      </c>
      <c r="L33" s="1" t="s">
        <v>46</v>
      </c>
      <c r="M33" s="1">
        <v>141070.0</v>
      </c>
      <c r="N33" s="1" t="s">
        <v>428</v>
      </c>
      <c r="O33" s="1" t="s">
        <v>429</v>
      </c>
      <c r="P33" s="1" t="s">
        <v>430</v>
      </c>
      <c r="Q33" s="1" t="s">
        <v>431</v>
      </c>
      <c r="W33" s="1" t="s">
        <v>432</v>
      </c>
      <c r="X33" s="1" t="s">
        <v>433</v>
      </c>
      <c r="AC33" s="1" t="s">
        <v>434</v>
      </c>
      <c r="AD33" s="1">
        <v>13785.0</v>
      </c>
      <c r="AE33" s="1">
        <v>0.0</v>
      </c>
      <c r="AF33" s="1">
        <v>0.0</v>
      </c>
      <c r="AG33" s="1">
        <v>-10620.0</v>
      </c>
      <c r="AH33" s="1">
        <v>-1274.0</v>
      </c>
      <c r="AI33" s="1">
        <v>0.0</v>
      </c>
      <c r="AJ33" s="1" t="s">
        <v>435</v>
      </c>
      <c r="AK33" s="1" t="s">
        <v>61</v>
      </c>
      <c r="AL33" s="1">
        <v>7.72807295529E11</v>
      </c>
      <c r="AM33" s="3">
        <v>45772.0</v>
      </c>
      <c r="AN33" s="1">
        <v>1.0</v>
      </c>
    </row>
    <row r="34" ht="15.75" customHeight="1">
      <c r="A34" s="1" t="s">
        <v>436</v>
      </c>
      <c r="B34" s="1" t="s">
        <v>41</v>
      </c>
      <c r="C34" s="1">
        <v>7.7513186E9</v>
      </c>
      <c r="D34" s="1">
        <v>7.72901001E8</v>
      </c>
      <c r="E34" s="1">
        <v>1.247700457223E12</v>
      </c>
      <c r="F34" s="1" t="s">
        <v>42</v>
      </c>
      <c r="G34" s="3">
        <v>45469.0</v>
      </c>
      <c r="H34" s="1">
        <v>1.0</v>
      </c>
      <c r="I34" s="1" t="s">
        <v>43</v>
      </c>
      <c r="J34" s="1" t="s">
        <v>437</v>
      </c>
      <c r="K34" s="1" t="s">
        <v>438</v>
      </c>
      <c r="L34" s="1" t="s">
        <v>121</v>
      </c>
      <c r="M34" s="1">
        <v>119633.0</v>
      </c>
      <c r="N34" s="1" t="s">
        <v>121</v>
      </c>
      <c r="O34" s="1" t="s">
        <v>439</v>
      </c>
      <c r="W34" s="1" t="s">
        <v>440</v>
      </c>
      <c r="AC34" s="1" t="s">
        <v>441</v>
      </c>
      <c r="AD34" s="1">
        <v>11521.0</v>
      </c>
      <c r="AE34" s="1">
        <v>0.0</v>
      </c>
      <c r="AG34" s="1">
        <v>3589.0</v>
      </c>
      <c r="AH34" s="1">
        <v>0.0</v>
      </c>
      <c r="AJ34" s="1" t="s">
        <v>442</v>
      </c>
      <c r="AK34" s="1" t="s">
        <v>61</v>
      </c>
      <c r="AL34" s="1">
        <v>5.049038121E11</v>
      </c>
      <c r="AM34" s="3">
        <v>45469.0</v>
      </c>
      <c r="AN34" s="1">
        <v>1.0</v>
      </c>
    </row>
    <row r="35" ht="15.75" customHeight="1">
      <c r="A35" s="1" t="s">
        <v>443</v>
      </c>
      <c r="B35" s="1" t="s">
        <v>41</v>
      </c>
      <c r="C35" s="1">
        <v>5.027297943E9</v>
      </c>
      <c r="D35" s="1">
        <v>5.00301001E8</v>
      </c>
      <c r="E35" s="1">
        <v>1.215000072572E12</v>
      </c>
      <c r="F35" s="1" t="s">
        <v>42</v>
      </c>
      <c r="G35" s="3">
        <v>44392.0</v>
      </c>
      <c r="H35" s="1">
        <v>4.0</v>
      </c>
      <c r="I35" s="1" t="s">
        <v>43</v>
      </c>
      <c r="J35" s="1" t="s">
        <v>444</v>
      </c>
      <c r="K35" s="1" t="s">
        <v>445</v>
      </c>
      <c r="L35" s="1" t="s">
        <v>46</v>
      </c>
      <c r="M35" s="1">
        <v>142715.0</v>
      </c>
      <c r="N35" s="1" t="s">
        <v>446</v>
      </c>
      <c r="O35" s="1" t="s">
        <v>447</v>
      </c>
      <c r="P35" s="1" t="s">
        <v>448</v>
      </c>
      <c r="S35" s="1" t="s">
        <v>449</v>
      </c>
      <c r="W35" s="1" t="s">
        <v>450</v>
      </c>
      <c r="X35" s="1" t="s">
        <v>451</v>
      </c>
      <c r="Y35" s="1" t="s">
        <v>452</v>
      </c>
      <c r="AC35" s="1" t="s">
        <v>453</v>
      </c>
      <c r="AD35" s="1">
        <v>11128.0</v>
      </c>
      <c r="AE35" s="1">
        <v>3073.0</v>
      </c>
      <c r="AF35" s="1">
        <v>0.0</v>
      </c>
      <c r="AG35" s="1">
        <v>1970.0</v>
      </c>
      <c r="AH35" s="1">
        <v>-2823.0</v>
      </c>
      <c r="AI35" s="1">
        <v>-4268.0</v>
      </c>
      <c r="AJ35" s="1" t="s">
        <v>454</v>
      </c>
      <c r="AK35" s="1" t="s">
        <v>61</v>
      </c>
      <c r="AL35" s="1">
        <v>7.72803928604E11</v>
      </c>
      <c r="AM35" s="3">
        <v>44897.0</v>
      </c>
      <c r="AN35" s="1">
        <v>1.0</v>
      </c>
    </row>
    <row r="36" ht="15.75" customHeight="1">
      <c r="A36" s="1" t="s">
        <v>455</v>
      </c>
      <c r="B36" s="1" t="s">
        <v>41</v>
      </c>
      <c r="C36" s="1">
        <v>5.01713583E9</v>
      </c>
      <c r="D36" s="1">
        <v>5.01701001E8</v>
      </c>
      <c r="E36" s="1">
        <v>1.245000030197E12</v>
      </c>
      <c r="F36" s="1" t="s">
        <v>42</v>
      </c>
      <c r="G36" s="3">
        <v>45355.0</v>
      </c>
      <c r="H36" s="1">
        <v>1.0</v>
      </c>
      <c r="I36" s="1" t="s">
        <v>43</v>
      </c>
      <c r="J36" s="1" t="s">
        <v>456</v>
      </c>
      <c r="K36" s="1" t="s">
        <v>457</v>
      </c>
      <c r="L36" s="1" t="s">
        <v>46</v>
      </c>
      <c r="M36" s="1">
        <v>143532.0</v>
      </c>
      <c r="N36" s="1" t="s">
        <v>458</v>
      </c>
      <c r="O36" s="1" t="s">
        <v>459</v>
      </c>
      <c r="P36" s="1" t="s">
        <v>460</v>
      </c>
      <c r="Q36" s="1" t="s">
        <v>461</v>
      </c>
      <c r="S36" s="1" t="s">
        <v>462</v>
      </c>
      <c r="W36" s="1" t="s">
        <v>463</v>
      </c>
      <c r="X36" s="1" t="s">
        <v>464</v>
      </c>
      <c r="Y36" s="1" t="s">
        <v>465</v>
      </c>
      <c r="Z36" s="1" t="s">
        <v>466</v>
      </c>
      <c r="AC36" s="1" t="s">
        <v>467</v>
      </c>
      <c r="AD36" s="1">
        <v>10553.0</v>
      </c>
      <c r="AE36" s="1">
        <v>0.0</v>
      </c>
      <c r="AG36" s="1">
        <v>1222.0</v>
      </c>
      <c r="AH36" s="1">
        <v>0.0</v>
      </c>
      <c r="AJ36" s="1" t="s">
        <v>468</v>
      </c>
      <c r="AK36" s="1" t="s">
        <v>61</v>
      </c>
      <c r="AL36" s="1">
        <v>2.1288506499E11</v>
      </c>
      <c r="AM36" s="3">
        <v>45355.0</v>
      </c>
      <c r="AN36" s="1">
        <v>2.0</v>
      </c>
    </row>
    <row r="37" ht="15.75" customHeight="1">
      <c r="A37" s="1" t="s">
        <v>469</v>
      </c>
      <c r="B37" s="1" t="s">
        <v>41</v>
      </c>
      <c r="C37" s="1">
        <v>5.032325441E9</v>
      </c>
      <c r="D37" s="1">
        <v>7.73101001E8</v>
      </c>
      <c r="E37" s="1">
        <v>1.215000011368E12</v>
      </c>
      <c r="F37" s="1" t="s">
        <v>42</v>
      </c>
      <c r="G37" s="3">
        <v>44236.0</v>
      </c>
      <c r="H37" s="1">
        <v>5.0</v>
      </c>
      <c r="I37" s="1" t="s">
        <v>43</v>
      </c>
      <c r="J37" s="1" t="s">
        <v>470</v>
      </c>
      <c r="K37" s="1" t="s">
        <v>471</v>
      </c>
      <c r="L37" s="1" t="s">
        <v>121</v>
      </c>
      <c r="M37" s="1">
        <v>121357.0</v>
      </c>
      <c r="N37" s="1" t="s">
        <v>121</v>
      </c>
      <c r="O37" s="1" t="s">
        <v>472</v>
      </c>
      <c r="P37" s="1" t="s">
        <v>473</v>
      </c>
      <c r="Q37" s="1" t="s">
        <v>474</v>
      </c>
      <c r="S37" s="1" t="s">
        <v>475</v>
      </c>
      <c r="T37" s="1" t="s">
        <v>476</v>
      </c>
      <c r="W37" s="1" t="s">
        <v>477</v>
      </c>
      <c r="X37" s="1" t="s">
        <v>478</v>
      </c>
      <c r="AC37" s="1" t="s">
        <v>479</v>
      </c>
      <c r="AD37" s="1">
        <v>10232.0</v>
      </c>
      <c r="AE37" s="1">
        <v>4311.0</v>
      </c>
      <c r="AF37" s="1">
        <v>698.0</v>
      </c>
      <c r="AG37" s="1">
        <v>18.0</v>
      </c>
      <c r="AH37" s="1">
        <v>29.0</v>
      </c>
      <c r="AI37" s="1">
        <v>-486.0</v>
      </c>
      <c r="AJ37" s="1" t="s">
        <v>480</v>
      </c>
      <c r="AK37" s="1" t="s">
        <v>61</v>
      </c>
      <c r="AL37" s="1">
        <v>3.435163246E11</v>
      </c>
      <c r="AM37" s="3">
        <v>44236.0</v>
      </c>
      <c r="AN37" s="1">
        <v>2.0</v>
      </c>
    </row>
    <row r="38" ht="15.75" customHeight="1">
      <c r="A38" s="1" t="s">
        <v>481</v>
      </c>
      <c r="B38" s="1" t="s">
        <v>41</v>
      </c>
      <c r="C38" s="1">
        <v>7.727425986E9</v>
      </c>
      <c r="D38" s="1">
        <v>7.72701001E8</v>
      </c>
      <c r="E38" s="1">
        <v>1.197746512688E12</v>
      </c>
      <c r="F38" s="1" t="s">
        <v>42</v>
      </c>
      <c r="G38" s="3">
        <v>43693.0</v>
      </c>
      <c r="H38" s="1">
        <v>6.0</v>
      </c>
      <c r="I38" s="1" t="s">
        <v>43</v>
      </c>
      <c r="J38" s="1" t="s">
        <v>482</v>
      </c>
      <c r="K38" s="1" t="s">
        <v>483</v>
      </c>
      <c r="L38" s="1" t="s">
        <v>121</v>
      </c>
      <c r="M38" s="1">
        <v>117418.0</v>
      </c>
      <c r="N38" s="1" t="s">
        <v>121</v>
      </c>
      <c r="O38" s="1" t="s">
        <v>484</v>
      </c>
      <c r="P38" s="1" t="s">
        <v>485</v>
      </c>
      <c r="S38" s="1" t="s">
        <v>486</v>
      </c>
      <c r="W38" s="1" t="s">
        <v>487</v>
      </c>
      <c r="X38" s="1" t="s">
        <v>488</v>
      </c>
      <c r="AC38" s="1" t="s">
        <v>489</v>
      </c>
      <c r="AD38" s="1">
        <v>10009.0</v>
      </c>
      <c r="AE38" s="1">
        <v>9416.0</v>
      </c>
      <c r="AF38" s="1">
        <v>17498.0</v>
      </c>
      <c r="AG38" s="1">
        <v>-1097.0</v>
      </c>
      <c r="AH38" s="1">
        <v>-3162.0</v>
      </c>
      <c r="AI38" s="1">
        <v>496.0</v>
      </c>
      <c r="AJ38" s="1" t="s">
        <v>490</v>
      </c>
      <c r="AK38" s="1" t="s">
        <v>61</v>
      </c>
      <c r="AL38" s="1">
        <v>6.32149025143E11</v>
      </c>
      <c r="AM38" s="3">
        <v>45884.0</v>
      </c>
      <c r="AN38" s="1">
        <v>1.0</v>
      </c>
    </row>
    <row r="39" ht="15.75" customHeight="1">
      <c r="A39" s="1" t="s">
        <v>491</v>
      </c>
      <c r="B39" s="1" t="s">
        <v>41</v>
      </c>
      <c r="C39" s="1">
        <v>5.018202945E9</v>
      </c>
      <c r="D39" s="1">
        <v>5.01801001E8</v>
      </c>
      <c r="E39" s="1">
        <v>1.205000006837E12</v>
      </c>
      <c r="F39" s="1" t="s">
        <v>42</v>
      </c>
      <c r="G39" s="3">
        <v>43858.0</v>
      </c>
      <c r="H39" s="1">
        <v>6.0</v>
      </c>
      <c r="I39" s="1" t="s">
        <v>43</v>
      </c>
      <c r="J39" s="1" t="s">
        <v>492</v>
      </c>
      <c r="K39" s="1" t="s">
        <v>493</v>
      </c>
      <c r="L39" s="1" t="s">
        <v>46</v>
      </c>
      <c r="M39" s="1">
        <v>141069.0</v>
      </c>
      <c r="N39" s="1" t="s">
        <v>428</v>
      </c>
      <c r="O39" s="1" t="s">
        <v>494</v>
      </c>
      <c r="AC39" s="1" t="s">
        <v>495</v>
      </c>
      <c r="AD39" s="1">
        <v>9726.0</v>
      </c>
      <c r="AE39" s="1">
        <v>0.0</v>
      </c>
      <c r="AF39" s="1">
        <v>1564.0</v>
      </c>
      <c r="AG39" s="1">
        <v>6505.0</v>
      </c>
      <c r="AH39" s="1">
        <v>3868.0</v>
      </c>
      <c r="AI39" s="1">
        <v>-3955.0</v>
      </c>
      <c r="AJ39" s="1" t="s">
        <v>496</v>
      </c>
      <c r="AK39" s="1" t="s">
        <v>61</v>
      </c>
      <c r="AL39" s="1">
        <v>7.71411824881E11</v>
      </c>
      <c r="AM39" s="3">
        <v>45687.0</v>
      </c>
      <c r="AN39" s="1">
        <v>1.0</v>
      </c>
    </row>
    <row r="40" ht="15.75" customHeight="1">
      <c r="A40" s="1" t="s">
        <v>497</v>
      </c>
      <c r="B40" s="1" t="s">
        <v>41</v>
      </c>
      <c r="C40" s="1">
        <v>7.703708537E9</v>
      </c>
      <c r="D40" s="1">
        <v>7.71001001E8</v>
      </c>
      <c r="E40" s="1">
        <v>1.097746630607E12</v>
      </c>
      <c r="F40" s="1" t="s">
        <v>42</v>
      </c>
      <c r="G40" s="3">
        <v>40102.0</v>
      </c>
      <c r="H40" s="1">
        <v>16.0</v>
      </c>
      <c r="I40" s="1" t="s">
        <v>43</v>
      </c>
      <c r="J40" s="1" t="s">
        <v>498</v>
      </c>
      <c r="K40" s="1" t="s">
        <v>499</v>
      </c>
      <c r="L40" s="1" t="s">
        <v>121</v>
      </c>
      <c r="M40" s="1">
        <v>125047.0</v>
      </c>
      <c r="N40" s="1" t="s">
        <v>121</v>
      </c>
      <c r="O40" s="1" t="s">
        <v>500</v>
      </c>
      <c r="W40" s="1" t="s">
        <v>501</v>
      </c>
      <c r="AC40" s="1" t="s">
        <v>502</v>
      </c>
      <c r="AD40" s="1">
        <v>9576.0</v>
      </c>
      <c r="AE40" s="1">
        <v>424.0</v>
      </c>
      <c r="AF40" s="1">
        <v>0.0</v>
      </c>
      <c r="AG40" s="1">
        <v>-199.0</v>
      </c>
      <c r="AH40" s="1">
        <v>-3473.0</v>
      </c>
      <c r="AI40" s="1">
        <v>-3532.0</v>
      </c>
      <c r="AJ40" s="1" t="s">
        <v>503</v>
      </c>
      <c r="AK40" s="1" t="s">
        <v>61</v>
      </c>
      <c r="AL40" s="1">
        <v>7.7317913409E11</v>
      </c>
      <c r="AM40" s="3">
        <v>40102.0</v>
      </c>
      <c r="AN40" s="1">
        <v>1.0</v>
      </c>
    </row>
    <row r="41" ht="15.75" customHeight="1">
      <c r="A41" s="1" t="s">
        <v>504</v>
      </c>
      <c r="B41" s="1" t="s">
        <v>41</v>
      </c>
      <c r="C41" s="1">
        <v>7.726420819E9</v>
      </c>
      <c r="D41" s="1">
        <v>7.72601001E8</v>
      </c>
      <c r="E41" s="1">
        <v>1.187746061491E12</v>
      </c>
      <c r="F41" s="1" t="s">
        <v>42</v>
      </c>
      <c r="G41" s="3">
        <v>43125.0</v>
      </c>
      <c r="H41" s="1">
        <v>8.0</v>
      </c>
      <c r="I41" s="1" t="s">
        <v>43</v>
      </c>
      <c r="J41" s="1" t="s">
        <v>505</v>
      </c>
      <c r="K41" s="1" t="s">
        <v>506</v>
      </c>
      <c r="L41" s="1" t="s">
        <v>121</v>
      </c>
      <c r="M41" s="1">
        <v>117556.0</v>
      </c>
      <c r="N41" s="1" t="s">
        <v>121</v>
      </c>
      <c r="O41" s="1" t="s">
        <v>507</v>
      </c>
      <c r="P41" s="1" t="s">
        <v>508</v>
      </c>
      <c r="Q41" s="1" t="s">
        <v>194</v>
      </c>
      <c r="R41" s="1" t="s">
        <v>509</v>
      </c>
      <c r="S41" s="1" t="s">
        <v>510</v>
      </c>
      <c r="T41" s="1" t="s">
        <v>511</v>
      </c>
      <c r="U41" s="1" t="s">
        <v>512</v>
      </c>
      <c r="V41" s="1" t="s">
        <v>513</v>
      </c>
      <c r="W41" s="1" t="s">
        <v>514</v>
      </c>
      <c r="X41" s="1" t="s">
        <v>515</v>
      </c>
      <c r="Y41" s="1" t="s">
        <v>516</v>
      </c>
      <c r="Z41" s="1" t="s">
        <v>517</v>
      </c>
      <c r="AC41" s="1" t="s">
        <v>518</v>
      </c>
      <c r="AD41" s="1">
        <v>9382.0</v>
      </c>
      <c r="AE41" s="1">
        <v>6705.0</v>
      </c>
      <c r="AF41" s="1">
        <v>5638.0</v>
      </c>
      <c r="AG41" s="1">
        <v>-148.0</v>
      </c>
      <c r="AH41" s="1">
        <v>277.0</v>
      </c>
      <c r="AI41" s="1">
        <v>23.0</v>
      </c>
      <c r="AJ41" s="1" t="s">
        <v>519</v>
      </c>
      <c r="AK41" s="1" t="s">
        <v>61</v>
      </c>
      <c r="AL41" s="1">
        <v>7.70300780404E11</v>
      </c>
      <c r="AM41" s="3">
        <v>43238.0</v>
      </c>
      <c r="AN41" s="1">
        <v>2.0</v>
      </c>
    </row>
    <row r="42" ht="15.75" customHeight="1">
      <c r="A42" s="1" t="s">
        <v>520</v>
      </c>
      <c r="B42" s="1" t="s">
        <v>41</v>
      </c>
      <c r="C42" s="1">
        <v>5.03405815E9</v>
      </c>
      <c r="D42" s="1">
        <v>5.03401001E8</v>
      </c>
      <c r="E42" s="1">
        <v>1.19508107201E12</v>
      </c>
      <c r="F42" s="1" t="s">
        <v>42</v>
      </c>
      <c r="G42" s="3">
        <v>43734.0</v>
      </c>
      <c r="H42" s="1">
        <v>6.0</v>
      </c>
      <c r="I42" s="1" t="s">
        <v>43</v>
      </c>
      <c r="J42" s="1" t="s">
        <v>521</v>
      </c>
      <c r="K42" s="1" t="s">
        <v>522</v>
      </c>
      <c r="L42" s="1" t="s">
        <v>46</v>
      </c>
      <c r="M42" s="1">
        <v>142600.0</v>
      </c>
      <c r="N42" s="1" t="s">
        <v>523</v>
      </c>
      <c r="O42" s="1" t="s">
        <v>524</v>
      </c>
      <c r="P42" s="1" t="s">
        <v>525</v>
      </c>
      <c r="Q42" s="1" t="s">
        <v>526</v>
      </c>
      <c r="R42" s="1" t="s">
        <v>527</v>
      </c>
      <c r="W42" s="1" t="s">
        <v>528</v>
      </c>
      <c r="X42" s="1" t="s">
        <v>529</v>
      </c>
      <c r="Y42" s="1" t="s">
        <v>530</v>
      </c>
      <c r="Z42" s="1" t="s">
        <v>531</v>
      </c>
      <c r="AC42" s="1" t="s">
        <v>532</v>
      </c>
      <c r="AD42" s="1">
        <v>8187.0</v>
      </c>
      <c r="AE42" s="1">
        <v>79174.0</v>
      </c>
      <c r="AF42" s="1">
        <v>63953.0</v>
      </c>
      <c r="AG42" s="1">
        <v>-13189.0</v>
      </c>
      <c r="AH42" s="1">
        <v>413.0</v>
      </c>
      <c r="AI42" s="1">
        <v>165.0</v>
      </c>
      <c r="AJ42" s="1" t="s">
        <v>533</v>
      </c>
      <c r="AK42" s="1" t="s">
        <v>61</v>
      </c>
      <c r="AL42" s="1">
        <v>5.03416194806E11</v>
      </c>
      <c r="AM42" s="3">
        <v>43734.0</v>
      </c>
      <c r="AN42" s="1">
        <v>2.0</v>
      </c>
    </row>
    <row r="43" ht="15.75" customHeight="1">
      <c r="A43" s="1" t="s">
        <v>534</v>
      </c>
      <c r="B43" s="1" t="s">
        <v>41</v>
      </c>
      <c r="C43" s="1">
        <v>7.713496803E9</v>
      </c>
      <c r="D43" s="1">
        <v>7.71301001E8</v>
      </c>
      <c r="E43" s="1">
        <v>1.237700121933E12</v>
      </c>
      <c r="F43" s="1" t="s">
        <v>42</v>
      </c>
      <c r="G43" s="3">
        <v>44971.0</v>
      </c>
      <c r="H43" s="1">
        <v>3.0</v>
      </c>
      <c r="I43" s="1" t="s">
        <v>43</v>
      </c>
      <c r="J43" s="1" t="s">
        <v>535</v>
      </c>
      <c r="K43" s="1" t="s">
        <v>536</v>
      </c>
      <c r="L43" s="1" t="s">
        <v>121</v>
      </c>
      <c r="M43" s="1">
        <v>127299.0</v>
      </c>
      <c r="N43" s="1" t="s">
        <v>121</v>
      </c>
      <c r="O43" s="1" t="s">
        <v>537</v>
      </c>
      <c r="P43" s="1" t="s">
        <v>538</v>
      </c>
      <c r="S43" s="1" t="s">
        <v>539</v>
      </c>
      <c r="W43" s="1" t="s">
        <v>540</v>
      </c>
      <c r="X43" s="1" t="s">
        <v>541</v>
      </c>
      <c r="Y43" s="1" t="s">
        <v>542</v>
      </c>
      <c r="AC43" s="1" t="s">
        <v>543</v>
      </c>
      <c r="AD43" s="1">
        <v>8101.0</v>
      </c>
      <c r="AE43" s="1">
        <v>2894.0</v>
      </c>
      <c r="AF43" s="1">
        <v>0.0</v>
      </c>
      <c r="AG43" s="1">
        <v>42.0</v>
      </c>
      <c r="AH43" s="1">
        <v>584.0</v>
      </c>
      <c r="AI43" s="1">
        <v>0.0</v>
      </c>
      <c r="AJ43" s="1" t="s">
        <v>544</v>
      </c>
      <c r="AK43" s="1" t="s">
        <v>61</v>
      </c>
      <c r="AL43" s="1">
        <v>7.71378668167E11</v>
      </c>
      <c r="AM43" s="3">
        <v>44971.0</v>
      </c>
      <c r="AN43" s="1">
        <v>1.0</v>
      </c>
    </row>
    <row r="44" ht="15.75" customHeight="1">
      <c r="A44" s="1" t="s">
        <v>545</v>
      </c>
      <c r="B44" s="1" t="s">
        <v>41</v>
      </c>
      <c r="C44" s="1">
        <v>5.017136866E9</v>
      </c>
      <c r="D44" s="1">
        <v>5.01701001E8</v>
      </c>
      <c r="E44" s="1">
        <v>1.245000066409E12</v>
      </c>
      <c r="F44" s="1" t="s">
        <v>42</v>
      </c>
      <c r="G44" s="3">
        <v>45449.0</v>
      </c>
      <c r="H44" s="1">
        <v>1.0</v>
      </c>
      <c r="I44" s="1" t="s">
        <v>43</v>
      </c>
      <c r="J44" s="1" t="s">
        <v>546</v>
      </c>
      <c r="K44" s="1" t="s">
        <v>547</v>
      </c>
      <c r="L44" s="1" t="s">
        <v>46</v>
      </c>
      <c r="M44" s="1">
        <v>143712.0</v>
      </c>
      <c r="N44" s="1" t="s">
        <v>548</v>
      </c>
      <c r="O44" s="1" t="s">
        <v>549</v>
      </c>
      <c r="S44" s="1" t="s">
        <v>550</v>
      </c>
      <c r="W44" s="1" t="s">
        <v>551</v>
      </c>
      <c r="X44" s="1" t="s">
        <v>552</v>
      </c>
      <c r="Y44" s="1" t="s">
        <v>553</v>
      </c>
      <c r="AC44" s="1" t="s">
        <v>554</v>
      </c>
      <c r="AD44" s="1">
        <v>6903.0</v>
      </c>
      <c r="AE44" s="1">
        <v>0.0</v>
      </c>
      <c r="AG44" s="1">
        <v>-15445.0</v>
      </c>
      <c r="AH44" s="1">
        <v>0.0</v>
      </c>
      <c r="AJ44" s="1" t="s">
        <v>555</v>
      </c>
      <c r="AK44" s="1" t="s">
        <v>61</v>
      </c>
      <c r="AL44" s="1">
        <v>5.0040875265E11</v>
      </c>
      <c r="AM44" s="3">
        <v>45539.0</v>
      </c>
      <c r="AN44" s="1">
        <v>2.0</v>
      </c>
    </row>
    <row r="45" ht="15.75" customHeight="1">
      <c r="A45" s="1" t="s">
        <v>556</v>
      </c>
      <c r="B45" s="1" t="s">
        <v>41</v>
      </c>
      <c r="C45" s="1">
        <v>5.038181764E9</v>
      </c>
      <c r="D45" s="1">
        <v>5.03801001E8</v>
      </c>
      <c r="E45" s="1">
        <v>1.235000101896E12</v>
      </c>
      <c r="F45" s="1" t="s">
        <v>42</v>
      </c>
      <c r="G45" s="3">
        <v>45154.0</v>
      </c>
      <c r="H45" s="1">
        <v>2.0</v>
      </c>
      <c r="I45" s="1" t="s">
        <v>43</v>
      </c>
      <c r="J45" s="1" t="s">
        <v>557</v>
      </c>
      <c r="K45" s="1" t="s">
        <v>558</v>
      </c>
      <c r="L45" s="1" t="s">
        <v>46</v>
      </c>
      <c r="M45" s="1">
        <v>141292.0</v>
      </c>
      <c r="N45" s="1" t="s">
        <v>308</v>
      </c>
      <c r="O45" s="1" t="s">
        <v>559</v>
      </c>
      <c r="W45" s="1" t="s">
        <v>315</v>
      </c>
      <c r="X45" s="1" t="s">
        <v>560</v>
      </c>
      <c r="AC45" s="1" t="s">
        <v>561</v>
      </c>
      <c r="AD45" s="1">
        <v>6869.0</v>
      </c>
      <c r="AE45" s="1">
        <v>1784.0</v>
      </c>
      <c r="AF45" s="1">
        <v>0.0</v>
      </c>
      <c r="AG45" s="1">
        <v>-183.0</v>
      </c>
      <c r="AH45" s="1">
        <v>200.0</v>
      </c>
      <c r="AI45" s="1">
        <v>0.0</v>
      </c>
      <c r="AJ45" s="1" t="s">
        <v>562</v>
      </c>
      <c r="AK45" s="1" t="s">
        <v>61</v>
      </c>
      <c r="AL45" s="1">
        <v>5.02300879076E11</v>
      </c>
      <c r="AM45" s="3">
        <v>45154.0</v>
      </c>
      <c r="AN45" s="1">
        <v>1.0</v>
      </c>
    </row>
    <row r="46" ht="15.75" customHeight="1">
      <c r="A46" s="1" t="s">
        <v>563</v>
      </c>
      <c r="B46" s="1" t="s">
        <v>41</v>
      </c>
      <c r="C46" s="1">
        <v>7.714926343E9</v>
      </c>
      <c r="D46" s="1">
        <v>7.71501001E8</v>
      </c>
      <c r="E46" s="1">
        <v>1.147746078314E12</v>
      </c>
      <c r="F46" s="1" t="s">
        <v>42</v>
      </c>
      <c r="G46" s="3">
        <v>41673.0</v>
      </c>
      <c r="H46" s="1">
        <v>12.0</v>
      </c>
      <c r="I46" s="1" t="s">
        <v>43</v>
      </c>
      <c r="J46" s="1" t="s">
        <v>564</v>
      </c>
      <c r="K46" s="1" t="s">
        <v>565</v>
      </c>
      <c r="L46" s="1" t="s">
        <v>121</v>
      </c>
      <c r="M46" s="1">
        <v>127566.0</v>
      </c>
      <c r="N46" s="1" t="s">
        <v>121</v>
      </c>
      <c r="O46" s="1" t="s">
        <v>566</v>
      </c>
      <c r="P46" s="1" t="s">
        <v>567</v>
      </c>
      <c r="Q46" s="1" t="s">
        <v>568</v>
      </c>
      <c r="S46" s="1" t="s">
        <v>569</v>
      </c>
      <c r="W46" s="1" t="s">
        <v>570</v>
      </c>
      <c r="X46" s="1" t="s">
        <v>571</v>
      </c>
      <c r="AC46" s="1" t="s">
        <v>572</v>
      </c>
      <c r="AD46" s="1">
        <v>6626.0</v>
      </c>
      <c r="AE46" s="1">
        <v>4577.0</v>
      </c>
      <c r="AF46" s="1">
        <v>2705.0</v>
      </c>
      <c r="AG46" s="1">
        <v>1805.0</v>
      </c>
      <c r="AH46" s="1">
        <v>1892.0</v>
      </c>
      <c r="AI46" s="1">
        <v>955.0</v>
      </c>
      <c r="AJ46" s="1" t="s">
        <v>573</v>
      </c>
      <c r="AK46" s="1" t="s">
        <v>61</v>
      </c>
      <c r="AL46" s="1">
        <v>7.7154869334E11</v>
      </c>
      <c r="AM46" s="3">
        <v>44538.0</v>
      </c>
      <c r="AN46" s="1">
        <v>1.0</v>
      </c>
    </row>
    <row r="47" ht="15.75" customHeight="1">
      <c r="A47" s="1" t="s">
        <v>574</v>
      </c>
      <c r="B47" s="1" t="s">
        <v>41</v>
      </c>
      <c r="C47" s="1">
        <v>7.743368083E9</v>
      </c>
      <c r="D47" s="1">
        <v>7.74301001E8</v>
      </c>
      <c r="E47" s="1">
        <v>1.217700489049E12</v>
      </c>
      <c r="F47" s="1" t="s">
        <v>42</v>
      </c>
      <c r="G47" s="3">
        <v>44483.0</v>
      </c>
      <c r="H47" s="1">
        <v>4.0</v>
      </c>
      <c r="I47" s="1" t="s">
        <v>43</v>
      </c>
      <c r="J47" s="1" t="s">
        <v>575</v>
      </c>
      <c r="K47" s="1" t="s">
        <v>576</v>
      </c>
      <c r="L47" s="1" t="s">
        <v>121</v>
      </c>
      <c r="M47" s="1">
        <v>125212.0</v>
      </c>
      <c r="N47" s="1" t="s">
        <v>121</v>
      </c>
      <c r="O47" s="1" t="s">
        <v>577</v>
      </c>
      <c r="P47" s="1" t="s">
        <v>578</v>
      </c>
      <c r="Q47" s="1" t="s">
        <v>579</v>
      </c>
      <c r="W47" s="1" t="s">
        <v>580</v>
      </c>
      <c r="X47" s="1" t="s">
        <v>581</v>
      </c>
      <c r="Y47" s="1" t="s">
        <v>582</v>
      </c>
      <c r="AC47" s="1" t="s">
        <v>583</v>
      </c>
      <c r="AD47" s="1">
        <v>6250.0</v>
      </c>
      <c r="AE47" s="1">
        <v>1394.0</v>
      </c>
      <c r="AF47" s="1">
        <v>0.0</v>
      </c>
      <c r="AG47" s="1">
        <v>-2132.0</v>
      </c>
      <c r="AH47" s="1">
        <v>-2735.0</v>
      </c>
      <c r="AI47" s="1">
        <v>-2125.0</v>
      </c>
      <c r="AJ47" s="1" t="s">
        <v>584</v>
      </c>
      <c r="AK47" s="1" t="s">
        <v>61</v>
      </c>
      <c r="AL47" s="1">
        <v>7.74300290164E11</v>
      </c>
      <c r="AM47" s="3">
        <v>44719.0</v>
      </c>
      <c r="AN47" s="1">
        <v>2.0</v>
      </c>
    </row>
    <row r="48" ht="15.75" customHeight="1">
      <c r="A48" s="1" t="s">
        <v>585</v>
      </c>
      <c r="B48" s="1" t="s">
        <v>215</v>
      </c>
      <c r="C48" s="1">
        <v>9.722036637E9</v>
      </c>
      <c r="D48" s="1">
        <v>7.72201001E8</v>
      </c>
      <c r="E48" s="1">
        <v>1.227700891846E12</v>
      </c>
      <c r="F48" s="1" t="s">
        <v>42</v>
      </c>
      <c r="G48" s="3">
        <v>44916.0</v>
      </c>
      <c r="H48" s="1">
        <v>3.0</v>
      </c>
      <c r="I48" s="1" t="s">
        <v>43</v>
      </c>
      <c r="J48" s="1" t="s">
        <v>586</v>
      </c>
      <c r="K48" s="1" t="s">
        <v>587</v>
      </c>
      <c r="L48" s="1" t="s">
        <v>121</v>
      </c>
      <c r="M48" s="1">
        <v>111024.0</v>
      </c>
      <c r="N48" s="1" t="s">
        <v>121</v>
      </c>
      <c r="O48" s="1" t="s">
        <v>588</v>
      </c>
      <c r="P48" s="1" t="s">
        <v>589</v>
      </c>
      <c r="Q48" s="1" t="s">
        <v>590</v>
      </c>
      <c r="S48" s="1" t="s">
        <v>591</v>
      </c>
      <c r="W48" s="1" t="s">
        <v>592</v>
      </c>
      <c r="X48" s="1" t="s">
        <v>593</v>
      </c>
      <c r="Y48" s="1" t="s">
        <v>594</v>
      </c>
      <c r="Z48" s="1" t="s">
        <v>595</v>
      </c>
      <c r="AC48" s="1" t="s">
        <v>596</v>
      </c>
      <c r="AD48" s="1">
        <v>5420.0</v>
      </c>
      <c r="AE48" s="1">
        <v>247.0</v>
      </c>
      <c r="AF48" s="1">
        <v>0.0</v>
      </c>
      <c r="AG48" s="1">
        <v>169.0</v>
      </c>
      <c r="AH48" s="1">
        <v>4.0</v>
      </c>
      <c r="AI48" s="1">
        <v>0.0</v>
      </c>
      <c r="AJ48" s="1" t="s">
        <v>597</v>
      </c>
      <c r="AK48" s="1" t="s">
        <v>61</v>
      </c>
      <c r="AL48" s="1">
        <v>5.00707857636E11</v>
      </c>
      <c r="AM48" s="3">
        <v>44916.0</v>
      </c>
      <c r="AN48" s="1">
        <v>1.0</v>
      </c>
    </row>
    <row r="49" ht="15.75" customHeight="1">
      <c r="A49" s="1" t="s">
        <v>598</v>
      </c>
      <c r="B49" s="1" t="s">
        <v>41</v>
      </c>
      <c r="C49" s="1">
        <v>5.030098722E9</v>
      </c>
      <c r="D49" s="1">
        <v>5.03001001E8</v>
      </c>
      <c r="E49" s="1">
        <v>1.205000063949E12</v>
      </c>
      <c r="F49" s="1" t="s">
        <v>42</v>
      </c>
      <c r="G49" s="3">
        <v>44042.0</v>
      </c>
      <c r="H49" s="1">
        <v>5.0</v>
      </c>
      <c r="I49" s="1" t="s">
        <v>43</v>
      </c>
      <c r="J49" s="1" t="s">
        <v>599</v>
      </c>
      <c r="K49" s="1" t="s">
        <v>600</v>
      </c>
      <c r="L49" s="1" t="s">
        <v>46</v>
      </c>
      <c r="M49" s="1">
        <v>143316.0</v>
      </c>
      <c r="N49" s="1" t="s">
        <v>601</v>
      </c>
      <c r="O49" s="1" t="s">
        <v>602</v>
      </c>
      <c r="P49" s="1" t="s">
        <v>603</v>
      </c>
      <c r="W49" s="1" t="s">
        <v>604</v>
      </c>
      <c r="X49" s="1" t="s">
        <v>605</v>
      </c>
      <c r="Y49" s="1" t="s">
        <v>606</v>
      </c>
      <c r="Z49" s="1" t="s">
        <v>607</v>
      </c>
      <c r="AC49" s="1" t="s">
        <v>608</v>
      </c>
      <c r="AD49" s="1">
        <v>5215.0</v>
      </c>
      <c r="AE49" s="1">
        <v>6291.0</v>
      </c>
      <c r="AF49" s="1">
        <v>8320.0</v>
      </c>
      <c r="AG49" s="1">
        <v>-490.0</v>
      </c>
      <c r="AH49" s="1">
        <v>21.0</v>
      </c>
      <c r="AI49" s="1">
        <v>1074.0</v>
      </c>
      <c r="AJ49" s="1" t="s">
        <v>609</v>
      </c>
      <c r="AK49" s="1" t="s">
        <v>61</v>
      </c>
      <c r="AL49" s="1">
        <v>9.10221335969E11</v>
      </c>
      <c r="AM49" s="3">
        <v>44992.0</v>
      </c>
      <c r="AN49" s="1">
        <v>1.0</v>
      </c>
    </row>
    <row r="50" ht="15.75" customHeight="1">
      <c r="A50" s="1" t="s">
        <v>610</v>
      </c>
      <c r="B50" s="1" t="s">
        <v>41</v>
      </c>
      <c r="C50" s="1">
        <v>5.038164286E9</v>
      </c>
      <c r="D50" s="1">
        <v>5.03801001E8</v>
      </c>
      <c r="E50" s="1">
        <v>1.225000048624E12</v>
      </c>
      <c r="F50" s="1" t="s">
        <v>42</v>
      </c>
      <c r="G50" s="3">
        <v>44699.0</v>
      </c>
      <c r="H50" s="1">
        <v>3.0</v>
      </c>
      <c r="I50" s="1" t="s">
        <v>43</v>
      </c>
      <c r="J50" s="1" t="s">
        <v>611</v>
      </c>
      <c r="K50" s="1" t="s">
        <v>612</v>
      </c>
      <c r="L50" s="1" t="s">
        <v>46</v>
      </c>
      <c r="M50" s="1">
        <v>141207.0</v>
      </c>
      <c r="N50" s="1" t="s">
        <v>613</v>
      </c>
      <c r="O50" s="1" t="s">
        <v>614</v>
      </c>
      <c r="P50" s="1" t="s">
        <v>615</v>
      </c>
      <c r="S50" s="1" t="s">
        <v>616</v>
      </c>
      <c r="W50" s="1" t="s">
        <v>617</v>
      </c>
      <c r="AC50" s="1" t="s">
        <v>618</v>
      </c>
      <c r="AD50" s="1">
        <v>5041.0</v>
      </c>
      <c r="AE50" s="1">
        <v>2675.0</v>
      </c>
      <c r="AF50" s="1">
        <v>0.0</v>
      </c>
      <c r="AG50" s="1">
        <v>-12677.0</v>
      </c>
      <c r="AH50" s="1">
        <v>-3687.0</v>
      </c>
      <c r="AI50" s="1">
        <v>-20.0</v>
      </c>
      <c r="AJ50" s="1" t="s">
        <v>619</v>
      </c>
      <c r="AK50" s="1" t="s">
        <v>61</v>
      </c>
      <c r="AL50" s="1">
        <v>7.70304165181E11</v>
      </c>
      <c r="AM50" s="3">
        <v>44699.0</v>
      </c>
      <c r="AN50" s="1">
        <v>1.0</v>
      </c>
    </row>
    <row r="51" ht="15.75" customHeight="1">
      <c r="A51" s="1" t="s">
        <v>620</v>
      </c>
      <c r="B51" s="1" t="s">
        <v>41</v>
      </c>
      <c r="C51" s="1">
        <v>5.032345688E9</v>
      </c>
      <c r="D51" s="1">
        <v>5.02901001E8</v>
      </c>
      <c r="E51" s="1">
        <v>1.225000104713E12</v>
      </c>
      <c r="F51" s="1" t="s">
        <v>42</v>
      </c>
      <c r="G51" s="3">
        <v>44823.0</v>
      </c>
      <c r="H51" s="1">
        <v>3.0</v>
      </c>
      <c r="I51" s="1" t="s">
        <v>43</v>
      </c>
      <c r="J51" s="1" t="s">
        <v>621</v>
      </c>
      <c r="K51" s="1" t="s">
        <v>622</v>
      </c>
      <c r="L51" s="1" t="s">
        <v>46</v>
      </c>
      <c r="M51" s="1">
        <v>141031.0</v>
      </c>
      <c r="N51" s="1" t="s">
        <v>623</v>
      </c>
      <c r="O51" s="1" t="s">
        <v>624</v>
      </c>
      <c r="P51" s="1" t="s">
        <v>625</v>
      </c>
      <c r="Q51" s="1" t="s">
        <v>626</v>
      </c>
      <c r="S51" s="1" t="s">
        <v>627</v>
      </c>
      <c r="W51" s="1" t="s">
        <v>628</v>
      </c>
      <c r="X51" s="1" t="s">
        <v>629</v>
      </c>
      <c r="AC51" s="1" t="s">
        <v>630</v>
      </c>
      <c r="AD51" s="1">
        <v>4159.0</v>
      </c>
      <c r="AE51" s="1">
        <v>18279.0</v>
      </c>
      <c r="AF51" s="1">
        <v>0.0</v>
      </c>
      <c r="AG51" s="1">
        <v>-2218.0</v>
      </c>
      <c r="AH51" s="1">
        <v>-1826.0</v>
      </c>
      <c r="AI51" s="1">
        <v>-17.0</v>
      </c>
      <c r="AJ51" s="1" t="s">
        <v>631</v>
      </c>
      <c r="AK51" s="1" t="s">
        <v>61</v>
      </c>
      <c r="AL51" s="1">
        <v>5.4040162568E11</v>
      </c>
      <c r="AM51" s="3">
        <v>44922.0</v>
      </c>
      <c r="AN51" s="1">
        <v>1.0</v>
      </c>
    </row>
    <row r="52" ht="15.75" customHeight="1">
      <c r="A52" s="1" t="s">
        <v>632</v>
      </c>
      <c r="B52" s="1" t="s">
        <v>41</v>
      </c>
      <c r="C52" s="1">
        <v>7.707467392E9</v>
      </c>
      <c r="D52" s="1">
        <v>5.04201001E8</v>
      </c>
      <c r="E52" s="1">
        <v>1.22770030306E12</v>
      </c>
      <c r="F52" s="1" t="s">
        <v>42</v>
      </c>
      <c r="G52" s="3">
        <v>44707.0</v>
      </c>
      <c r="H52" s="1">
        <v>3.0</v>
      </c>
      <c r="I52" s="1" t="s">
        <v>43</v>
      </c>
      <c r="J52" s="1" t="s">
        <v>633</v>
      </c>
      <c r="K52" s="1" t="s">
        <v>634</v>
      </c>
      <c r="L52" s="1" t="s">
        <v>46</v>
      </c>
      <c r="M52" s="1">
        <v>141345.0</v>
      </c>
      <c r="N52" s="1" t="s">
        <v>635</v>
      </c>
      <c r="O52" s="1" t="s">
        <v>636</v>
      </c>
      <c r="W52" s="1" t="s">
        <v>637</v>
      </c>
      <c r="AC52" s="1" t="s">
        <v>638</v>
      </c>
      <c r="AD52" s="1">
        <v>4057.0</v>
      </c>
      <c r="AE52" s="1">
        <v>3056.0</v>
      </c>
      <c r="AF52" s="1">
        <v>0.0</v>
      </c>
      <c r="AG52" s="1">
        <v>-192.0</v>
      </c>
      <c r="AH52" s="1">
        <v>-9391.0</v>
      </c>
      <c r="AI52" s="1">
        <v>-2012.0</v>
      </c>
      <c r="AJ52" s="1" t="s">
        <v>639</v>
      </c>
      <c r="AK52" s="1" t="s">
        <v>61</v>
      </c>
      <c r="AL52" s="1">
        <v>5.03809658089E11</v>
      </c>
      <c r="AM52" s="3">
        <v>44707.0</v>
      </c>
      <c r="AN52" s="1">
        <v>1.0</v>
      </c>
    </row>
    <row r="53" ht="15.75" customHeight="1">
      <c r="A53" s="1" t="s">
        <v>640</v>
      </c>
      <c r="B53" s="1" t="s">
        <v>41</v>
      </c>
      <c r="C53" s="1">
        <v>5.017128551E9</v>
      </c>
      <c r="D53" s="1">
        <v>5.01701001E8</v>
      </c>
      <c r="E53" s="1">
        <v>1.225000051616E12</v>
      </c>
      <c r="F53" s="1" t="s">
        <v>42</v>
      </c>
      <c r="G53" s="3">
        <v>44706.0</v>
      </c>
      <c r="H53" s="1">
        <v>3.0</v>
      </c>
      <c r="I53" s="1" t="s">
        <v>43</v>
      </c>
      <c r="J53" s="1" t="s">
        <v>641</v>
      </c>
      <c r="K53" s="1" t="s">
        <v>642</v>
      </c>
      <c r="L53" s="1" t="s">
        <v>46</v>
      </c>
      <c r="M53" s="1">
        <v>143502.0</v>
      </c>
      <c r="N53" s="1" t="s">
        <v>643</v>
      </c>
      <c r="O53" s="1" t="s">
        <v>644</v>
      </c>
      <c r="W53" s="1" t="s">
        <v>645</v>
      </c>
      <c r="AC53" s="1" t="s">
        <v>646</v>
      </c>
      <c r="AD53" s="1">
        <v>3938.0</v>
      </c>
      <c r="AE53" s="1">
        <v>1007.0</v>
      </c>
      <c r="AF53" s="1">
        <v>0.0</v>
      </c>
      <c r="AG53" s="1">
        <v>-1438.0</v>
      </c>
      <c r="AH53" s="1">
        <v>-2076.0</v>
      </c>
      <c r="AI53" s="1">
        <v>0.0</v>
      </c>
      <c r="AJ53" s="1" t="s">
        <v>647</v>
      </c>
      <c r="AK53" s="1" t="s">
        <v>61</v>
      </c>
      <c r="AL53" s="1">
        <v>3.50700083228E11</v>
      </c>
      <c r="AM53" s="3">
        <v>44706.0</v>
      </c>
      <c r="AN53" s="1">
        <v>2.0</v>
      </c>
    </row>
    <row r="54" ht="15.75" customHeight="1">
      <c r="A54" s="1" t="s">
        <v>648</v>
      </c>
      <c r="B54" s="1" t="s">
        <v>41</v>
      </c>
      <c r="C54" s="1">
        <v>5.034057533E9</v>
      </c>
      <c r="D54" s="1">
        <v>5.03401001E8</v>
      </c>
      <c r="E54" s="1">
        <v>1.195081024742E12</v>
      </c>
      <c r="F54" s="1" t="s">
        <v>42</v>
      </c>
      <c r="G54" s="3">
        <v>43564.0</v>
      </c>
      <c r="H54" s="1">
        <v>6.0</v>
      </c>
      <c r="I54" s="1" t="s">
        <v>43</v>
      </c>
      <c r="J54" s="1" t="s">
        <v>649</v>
      </c>
      <c r="K54" s="1" t="s">
        <v>650</v>
      </c>
      <c r="L54" s="1" t="s">
        <v>46</v>
      </c>
      <c r="M54" s="1">
        <v>142600.0</v>
      </c>
      <c r="N54" s="1" t="s">
        <v>523</v>
      </c>
      <c r="O54" s="1" t="s">
        <v>651</v>
      </c>
      <c r="AC54" s="1" t="s">
        <v>652</v>
      </c>
      <c r="AD54" s="1">
        <v>3564.0</v>
      </c>
      <c r="AE54" s="1">
        <v>1787.0</v>
      </c>
      <c r="AF54" s="1">
        <v>0.0</v>
      </c>
      <c r="AG54" s="1">
        <v>74.0</v>
      </c>
      <c r="AH54" s="1">
        <v>83.0</v>
      </c>
      <c r="AI54" s="1">
        <v>-36.0</v>
      </c>
      <c r="AJ54" s="1" t="s">
        <v>653</v>
      </c>
      <c r="AK54" s="1" t="s">
        <v>61</v>
      </c>
      <c r="AL54" s="1">
        <v>5.03410290197E11</v>
      </c>
      <c r="AM54" s="3">
        <v>44816.0</v>
      </c>
      <c r="AN54" s="1">
        <v>1.0</v>
      </c>
    </row>
    <row r="55" ht="15.75" customHeight="1">
      <c r="A55" s="1" t="s">
        <v>654</v>
      </c>
      <c r="B55" s="1" t="s">
        <v>41</v>
      </c>
      <c r="C55" s="1">
        <v>5.024235949E9</v>
      </c>
      <c r="D55" s="1">
        <v>5.02401001E8</v>
      </c>
      <c r="E55" s="1">
        <v>1.235000105724E12</v>
      </c>
      <c r="F55" s="1" t="s">
        <v>42</v>
      </c>
      <c r="G55" s="3">
        <v>45163.0</v>
      </c>
      <c r="H55" s="1">
        <v>2.0</v>
      </c>
      <c r="I55" s="1" t="s">
        <v>43</v>
      </c>
      <c r="J55" s="1" t="s">
        <v>655</v>
      </c>
      <c r="K55" s="1" t="s">
        <v>656</v>
      </c>
      <c r="L55" s="1" t="s">
        <v>46</v>
      </c>
      <c r="M55" s="1">
        <v>143403.0</v>
      </c>
      <c r="N55" s="1" t="s">
        <v>657</v>
      </c>
      <c r="O55" s="1" t="s">
        <v>658</v>
      </c>
      <c r="P55" s="1" t="s">
        <v>659</v>
      </c>
      <c r="S55" s="1" t="s">
        <v>660</v>
      </c>
      <c r="W55" s="1" t="s">
        <v>661</v>
      </c>
      <c r="X55" s="1" t="s">
        <v>662</v>
      </c>
      <c r="AC55" s="1" t="s">
        <v>663</v>
      </c>
      <c r="AD55" s="1">
        <v>3561.0</v>
      </c>
      <c r="AE55" s="1">
        <v>112.0</v>
      </c>
      <c r="AG55" s="1">
        <v>167.0</v>
      </c>
      <c r="AH55" s="1">
        <v>-452.0</v>
      </c>
      <c r="AJ55" s="1" t="s">
        <v>664</v>
      </c>
      <c r="AK55" s="1" t="s">
        <v>61</v>
      </c>
      <c r="AL55" s="1">
        <v>7.017356512E11</v>
      </c>
      <c r="AM55" s="3">
        <v>45163.0</v>
      </c>
      <c r="AN55" s="1">
        <v>1.0</v>
      </c>
    </row>
    <row r="56" ht="15.75" customHeight="1">
      <c r="A56" s="1" t="s">
        <v>665</v>
      </c>
      <c r="B56" s="1" t="s">
        <v>41</v>
      </c>
      <c r="C56" s="1">
        <v>5.027304943E9</v>
      </c>
      <c r="D56" s="1">
        <v>5.02701001E8</v>
      </c>
      <c r="E56" s="1">
        <v>1.225000033994E12</v>
      </c>
      <c r="F56" s="1" t="s">
        <v>42</v>
      </c>
      <c r="G56" s="3">
        <v>44662.0</v>
      </c>
      <c r="H56" s="1">
        <v>3.0</v>
      </c>
      <c r="I56" s="1" t="s">
        <v>43</v>
      </c>
      <c r="J56" s="1" t="s">
        <v>666</v>
      </c>
      <c r="K56" s="1" t="s">
        <v>667</v>
      </c>
      <c r="L56" s="1" t="s">
        <v>46</v>
      </c>
      <c r="M56" s="1">
        <v>140060.0</v>
      </c>
      <c r="N56" s="1" t="s">
        <v>668</v>
      </c>
      <c r="O56" s="1" t="s">
        <v>669</v>
      </c>
      <c r="P56" s="1" t="s">
        <v>670</v>
      </c>
      <c r="Q56" s="1" t="s">
        <v>671</v>
      </c>
      <c r="W56" s="1" t="s">
        <v>672</v>
      </c>
      <c r="X56" s="1" t="s">
        <v>673</v>
      </c>
      <c r="AC56" s="1" t="s">
        <v>674</v>
      </c>
      <c r="AD56" s="1">
        <v>2964.0</v>
      </c>
      <c r="AE56" s="1">
        <v>100.0</v>
      </c>
      <c r="AF56" s="1">
        <v>0.0</v>
      </c>
      <c r="AG56" s="1">
        <v>-17728.0</v>
      </c>
      <c r="AH56" s="1">
        <v>-15392.0</v>
      </c>
      <c r="AI56" s="1">
        <v>-17.0</v>
      </c>
      <c r="AJ56" s="1" t="s">
        <v>675</v>
      </c>
      <c r="AK56" s="1" t="s">
        <v>61</v>
      </c>
      <c r="AL56" s="1">
        <v>5.02726491853E11</v>
      </c>
      <c r="AM56" s="3">
        <v>46065.0</v>
      </c>
      <c r="AN56" s="1">
        <v>1.0</v>
      </c>
    </row>
    <row r="57" ht="15.75" customHeight="1">
      <c r="A57" s="1" t="s">
        <v>676</v>
      </c>
      <c r="B57" s="1" t="s">
        <v>41</v>
      </c>
      <c r="C57" s="1">
        <v>9.704198106E9</v>
      </c>
      <c r="D57" s="1">
        <v>7.70401001E8</v>
      </c>
      <c r="E57" s="1">
        <v>1.237700089241E12</v>
      </c>
      <c r="F57" s="1" t="s">
        <v>42</v>
      </c>
      <c r="G57" s="3">
        <v>44960.0</v>
      </c>
      <c r="H57" s="1">
        <v>3.0</v>
      </c>
      <c r="I57" s="1" t="s">
        <v>43</v>
      </c>
      <c r="J57" s="1" t="s">
        <v>677</v>
      </c>
      <c r="K57" s="1" t="s">
        <v>678</v>
      </c>
      <c r="L57" s="1" t="s">
        <v>121</v>
      </c>
      <c r="M57" s="1">
        <v>119019.0</v>
      </c>
      <c r="N57" s="1" t="s">
        <v>121</v>
      </c>
      <c r="O57" s="1" t="s">
        <v>679</v>
      </c>
      <c r="W57" s="1" t="s">
        <v>680</v>
      </c>
      <c r="AC57" s="1" t="s">
        <v>681</v>
      </c>
      <c r="AD57" s="1">
        <v>1564.0</v>
      </c>
      <c r="AE57" s="1">
        <v>18539.0</v>
      </c>
      <c r="AF57" s="1">
        <v>0.0</v>
      </c>
      <c r="AG57" s="1">
        <v>-90.0</v>
      </c>
      <c r="AH57" s="1">
        <v>303.0</v>
      </c>
      <c r="AI57" s="1">
        <v>0.0</v>
      </c>
      <c r="AJ57" s="1" t="s">
        <v>682</v>
      </c>
      <c r="AK57" s="1" t="s">
        <v>61</v>
      </c>
      <c r="AL57" s="1">
        <v>7.73007942634E11</v>
      </c>
      <c r="AM57" s="3">
        <v>44960.0</v>
      </c>
      <c r="AN57" s="1">
        <v>1.0</v>
      </c>
    </row>
    <row r="58" ht="15.75" customHeight="1">
      <c r="A58" s="1" t="s">
        <v>683</v>
      </c>
      <c r="B58" s="1" t="s">
        <v>41</v>
      </c>
      <c r="C58" s="1">
        <v>5.030102626E9</v>
      </c>
      <c r="D58" s="1">
        <v>5.03001001E8</v>
      </c>
      <c r="E58" s="1">
        <v>1.225000046809E12</v>
      </c>
      <c r="F58" s="1" t="s">
        <v>42</v>
      </c>
      <c r="G58" s="3">
        <v>44697.0</v>
      </c>
      <c r="H58" s="1">
        <v>3.0</v>
      </c>
      <c r="I58" s="1" t="s">
        <v>43</v>
      </c>
      <c r="J58" s="1" t="s">
        <v>684</v>
      </c>
      <c r="K58" s="1" t="s">
        <v>685</v>
      </c>
      <c r="L58" s="1" t="s">
        <v>46</v>
      </c>
      <c r="M58" s="1">
        <v>143395.0</v>
      </c>
      <c r="N58" s="1" t="s">
        <v>686</v>
      </c>
      <c r="O58" s="1" t="s">
        <v>687</v>
      </c>
      <c r="W58" s="1" t="s">
        <v>688</v>
      </c>
      <c r="AC58" s="1" t="s">
        <v>689</v>
      </c>
      <c r="AD58" s="1">
        <v>1300.0</v>
      </c>
      <c r="AE58" s="1">
        <v>1394.0</v>
      </c>
      <c r="AF58" s="1">
        <v>0.0</v>
      </c>
      <c r="AG58" s="1">
        <v>-1078.0</v>
      </c>
      <c r="AH58" s="1">
        <v>-1271.0</v>
      </c>
      <c r="AI58" s="1">
        <v>-588.0</v>
      </c>
      <c r="AJ58" s="1" t="s">
        <v>690</v>
      </c>
      <c r="AK58" s="1" t="s">
        <v>61</v>
      </c>
      <c r="AL58" s="1">
        <v>7.73001274211E11</v>
      </c>
      <c r="AM58" s="3">
        <v>44697.0</v>
      </c>
      <c r="AN58" s="1">
        <v>2.0</v>
      </c>
    </row>
    <row r="59" ht="15.75" customHeight="1">
      <c r="A59" s="1" t="s">
        <v>691</v>
      </c>
      <c r="B59" s="1" t="s">
        <v>41</v>
      </c>
      <c r="C59" s="1">
        <v>5.012109643E9</v>
      </c>
      <c r="D59" s="1">
        <v>5.01201001E8</v>
      </c>
      <c r="E59" s="1">
        <v>1.235000019858E12</v>
      </c>
      <c r="F59" s="1" t="s">
        <v>42</v>
      </c>
      <c r="G59" s="3">
        <v>44977.0</v>
      </c>
      <c r="H59" s="1">
        <v>3.0</v>
      </c>
      <c r="I59" s="1" t="s">
        <v>43</v>
      </c>
      <c r="J59" s="1" t="s">
        <v>692</v>
      </c>
      <c r="K59" s="1" t="s">
        <v>693</v>
      </c>
      <c r="L59" s="1" t="s">
        <v>46</v>
      </c>
      <c r="M59" s="1">
        <v>143981.0</v>
      </c>
      <c r="N59" s="1" t="s">
        <v>694</v>
      </c>
      <c r="O59" s="1" t="s">
        <v>695</v>
      </c>
      <c r="P59" s="1" t="s">
        <v>696</v>
      </c>
      <c r="W59" s="1" t="s">
        <v>697</v>
      </c>
      <c r="AC59" s="1" t="s">
        <v>698</v>
      </c>
      <c r="AD59" s="1">
        <v>1018.0</v>
      </c>
      <c r="AE59" s="1">
        <v>255.0</v>
      </c>
      <c r="AF59" s="1">
        <v>0.0</v>
      </c>
      <c r="AG59" s="1">
        <v>-532.0</v>
      </c>
      <c r="AH59" s="1">
        <v>-93.0</v>
      </c>
      <c r="AI59" s="1">
        <v>0.0</v>
      </c>
      <c r="AJ59" s="1" t="s">
        <v>699</v>
      </c>
      <c r="AK59" s="1" t="s">
        <v>61</v>
      </c>
      <c r="AL59" s="1">
        <v>4.63255413513E11</v>
      </c>
      <c r="AM59" s="3">
        <v>44977.0</v>
      </c>
      <c r="AN59" s="1">
        <v>1.0</v>
      </c>
    </row>
    <row r="60" ht="15.75" customHeight="1">
      <c r="A60" s="1" t="s">
        <v>700</v>
      </c>
      <c r="B60" s="1" t="s">
        <v>41</v>
      </c>
      <c r="C60" s="1">
        <v>5.003130984E9</v>
      </c>
      <c r="D60" s="1">
        <v>7.72701001E8</v>
      </c>
      <c r="E60" s="1">
        <v>1.185027024555E12</v>
      </c>
      <c r="F60" s="1" t="s">
        <v>42</v>
      </c>
      <c r="G60" s="3">
        <v>43416.0</v>
      </c>
      <c r="H60" s="1">
        <v>7.0</v>
      </c>
      <c r="I60" s="1" t="s">
        <v>43</v>
      </c>
      <c r="J60" s="1" t="s">
        <v>701</v>
      </c>
      <c r="K60" s="1" t="s">
        <v>702</v>
      </c>
      <c r="L60" s="1" t="s">
        <v>121</v>
      </c>
      <c r="M60" s="1">
        <v>117042.0</v>
      </c>
      <c r="N60" s="1" t="s">
        <v>121</v>
      </c>
      <c r="O60" s="1" t="s">
        <v>703</v>
      </c>
      <c r="P60" s="1" t="s">
        <v>704</v>
      </c>
      <c r="W60" s="1" t="s">
        <v>705</v>
      </c>
      <c r="X60" s="1" t="s">
        <v>706</v>
      </c>
      <c r="AC60" s="1" t="s">
        <v>707</v>
      </c>
      <c r="AD60" s="1">
        <v>912.0</v>
      </c>
      <c r="AE60" s="1">
        <v>960.0</v>
      </c>
      <c r="AF60" s="1">
        <v>960.0</v>
      </c>
      <c r="AG60" s="1">
        <v>1653.0</v>
      </c>
      <c r="AH60" s="1">
        <v>-1107.0</v>
      </c>
      <c r="AI60" s="1">
        <v>-691.0</v>
      </c>
      <c r="AJ60" s="1" t="s">
        <v>708</v>
      </c>
      <c r="AK60" s="1" t="s">
        <v>61</v>
      </c>
      <c r="AL60" s="1">
        <v>7.7301309223E11</v>
      </c>
      <c r="AM60" s="3">
        <v>45622.0</v>
      </c>
      <c r="AN60" s="1">
        <v>1.0</v>
      </c>
    </row>
    <row r="61" ht="15.75" customHeight="1">
      <c r="A61" s="1" t="s">
        <v>709</v>
      </c>
      <c r="B61" s="1" t="s">
        <v>41</v>
      </c>
      <c r="C61" s="1">
        <v>9.723220131E9</v>
      </c>
      <c r="D61" s="1">
        <v>7.72301001E8</v>
      </c>
      <c r="E61" s="1">
        <v>1.23770095437E12</v>
      </c>
      <c r="F61" s="1" t="s">
        <v>42</v>
      </c>
      <c r="G61" s="3">
        <v>45289.0</v>
      </c>
      <c r="H61" s="1">
        <v>2.0</v>
      </c>
      <c r="I61" s="1" t="s">
        <v>43</v>
      </c>
      <c r="J61" s="1" t="s">
        <v>710</v>
      </c>
      <c r="K61" s="1" t="s">
        <v>711</v>
      </c>
      <c r="L61" s="1" t="s">
        <v>121</v>
      </c>
      <c r="M61" s="1">
        <v>109382.0</v>
      </c>
      <c r="N61" s="1" t="s">
        <v>121</v>
      </c>
      <c r="O61" s="1" t="s">
        <v>712</v>
      </c>
      <c r="W61" s="1" t="s">
        <v>713</v>
      </c>
      <c r="AC61" s="1" t="s">
        <v>714</v>
      </c>
      <c r="AD61" s="1">
        <v>837.0</v>
      </c>
      <c r="AE61" s="1">
        <v>0.0</v>
      </c>
      <c r="AG61" s="1">
        <v>-427.0</v>
      </c>
      <c r="AH61" s="1">
        <v>0.0</v>
      </c>
      <c r="AJ61" s="1" t="s">
        <v>715</v>
      </c>
      <c r="AK61" s="1" t="s">
        <v>61</v>
      </c>
      <c r="AL61" s="1">
        <v>7.72320184788E11</v>
      </c>
      <c r="AM61" s="3">
        <v>45289.0</v>
      </c>
      <c r="AN61" s="1">
        <v>1.0</v>
      </c>
    </row>
    <row r="62" ht="15.75" customHeight="1">
      <c r="A62" s="1" t="s">
        <v>716</v>
      </c>
      <c r="B62" s="1" t="s">
        <v>41</v>
      </c>
      <c r="C62" s="1">
        <v>9.715362252E9</v>
      </c>
      <c r="D62" s="1">
        <v>7.72501001E8</v>
      </c>
      <c r="E62" s="1">
        <v>1.19774656012E12</v>
      </c>
      <c r="F62" s="1" t="s">
        <v>717</v>
      </c>
      <c r="G62" s="3">
        <v>43724.0</v>
      </c>
      <c r="H62" s="1">
        <v>6.0</v>
      </c>
      <c r="I62" s="1" t="s">
        <v>43</v>
      </c>
      <c r="J62" s="1" t="s">
        <v>718</v>
      </c>
      <c r="K62" s="1" t="s">
        <v>719</v>
      </c>
      <c r="L62" s="1" t="s">
        <v>121</v>
      </c>
      <c r="M62" s="1">
        <v>115162.0</v>
      </c>
      <c r="N62" s="1" t="s">
        <v>121</v>
      </c>
      <c r="O62" s="1" t="s">
        <v>720</v>
      </c>
      <c r="P62" s="1" t="s">
        <v>721</v>
      </c>
      <c r="Q62" s="1" t="s">
        <v>722</v>
      </c>
      <c r="W62" s="1" t="s">
        <v>723</v>
      </c>
      <c r="X62" s="1" t="s">
        <v>724</v>
      </c>
      <c r="Y62" s="1" t="s">
        <v>725</v>
      </c>
      <c r="AC62" s="1" t="s">
        <v>726</v>
      </c>
      <c r="AD62" s="1">
        <v>544.0</v>
      </c>
      <c r="AE62" s="1">
        <v>13082.0</v>
      </c>
      <c r="AF62" s="1">
        <v>118600.0</v>
      </c>
      <c r="AG62" s="1">
        <v>-447.0</v>
      </c>
      <c r="AH62" s="1">
        <v>-746.0</v>
      </c>
      <c r="AI62" s="1">
        <v>6905.0</v>
      </c>
      <c r="AJ62" s="1" t="s">
        <v>727</v>
      </c>
      <c r="AK62" s="1" t="s">
        <v>728</v>
      </c>
      <c r="AL62" s="1">
        <v>7.90153047323E11</v>
      </c>
      <c r="AM62" s="3">
        <v>45806.0</v>
      </c>
      <c r="AN62" s="1">
        <v>1.0</v>
      </c>
    </row>
    <row r="63" ht="15.75" customHeight="1">
      <c r="A63" s="1" t="s">
        <v>729</v>
      </c>
      <c r="B63" s="1" t="s">
        <v>41</v>
      </c>
      <c r="C63" s="1">
        <v>9.715416701E9</v>
      </c>
      <c r="D63" s="1">
        <v>5.00901001E8</v>
      </c>
      <c r="E63" s="1">
        <v>1.22770018679E12</v>
      </c>
      <c r="F63" s="1" t="s">
        <v>42</v>
      </c>
      <c r="G63" s="3">
        <v>44652.0</v>
      </c>
      <c r="H63" s="1">
        <v>3.0</v>
      </c>
      <c r="I63" s="1" t="s">
        <v>43</v>
      </c>
      <c r="J63" s="1" t="s">
        <v>730</v>
      </c>
      <c r="K63" s="1" t="s">
        <v>731</v>
      </c>
      <c r="L63" s="1" t="s">
        <v>46</v>
      </c>
      <c r="M63" s="1">
        <v>142050.0</v>
      </c>
      <c r="N63" s="1" t="s">
        <v>190</v>
      </c>
      <c r="O63" s="1" t="s">
        <v>732</v>
      </c>
      <c r="P63" s="1" t="s">
        <v>733</v>
      </c>
      <c r="W63" s="1" t="s">
        <v>734</v>
      </c>
      <c r="X63" s="1" t="s">
        <v>735</v>
      </c>
      <c r="AC63" s="1" t="s">
        <v>736</v>
      </c>
      <c r="AD63" s="1">
        <v>219.0</v>
      </c>
      <c r="AE63" s="1">
        <v>212.0</v>
      </c>
      <c r="AF63" s="1">
        <v>0.0</v>
      </c>
      <c r="AG63" s="1">
        <v>-12280.0</v>
      </c>
      <c r="AH63" s="1">
        <v>-15228.0</v>
      </c>
      <c r="AI63" s="1">
        <v>-6693.0</v>
      </c>
      <c r="AJ63" s="1" t="s">
        <v>737</v>
      </c>
      <c r="AK63" s="1" t="s">
        <v>61</v>
      </c>
      <c r="AL63" s="1">
        <v>7.72034432528E11</v>
      </c>
      <c r="AM63" s="3">
        <v>45940.0</v>
      </c>
      <c r="AN63" s="1">
        <v>1.0</v>
      </c>
    </row>
    <row r="64" ht="15.75" customHeight="1">
      <c r="A64" s="1" t="s">
        <v>738</v>
      </c>
      <c r="B64" s="1" t="s">
        <v>41</v>
      </c>
      <c r="C64" s="1">
        <v>9.731087557E9</v>
      </c>
      <c r="D64" s="1">
        <v>7.73401001E8</v>
      </c>
      <c r="E64" s="1">
        <v>1.227700003299E12</v>
      </c>
      <c r="F64" s="1" t="s">
        <v>42</v>
      </c>
      <c r="G64" s="3">
        <v>44572.0</v>
      </c>
      <c r="H64" s="1">
        <v>4.0</v>
      </c>
      <c r="I64" s="1" t="s">
        <v>43</v>
      </c>
      <c r="J64" s="1" t="s">
        <v>739</v>
      </c>
      <c r="K64" s="1" t="s">
        <v>740</v>
      </c>
      <c r="L64" s="1" t="s">
        <v>121</v>
      </c>
      <c r="M64" s="1">
        <v>123458.0</v>
      </c>
      <c r="N64" s="1" t="s">
        <v>121</v>
      </c>
      <c r="O64" s="1" t="s">
        <v>741</v>
      </c>
      <c r="W64" s="1" t="s">
        <v>742</v>
      </c>
      <c r="X64" s="1" t="s">
        <v>743</v>
      </c>
      <c r="AC64" s="1" t="s">
        <v>744</v>
      </c>
      <c r="AD64" s="1">
        <v>188.0</v>
      </c>
      <c r="AE64" s="1">
        <v>902.0</v>
      </c>
      <c r="AF64" s="1">
        <v>120.0</v>
      </c>
      <c r="AG64" s="1">
        <v>-851.0</v>
      </c>
      <c r="AH64" s="1">
        <v>-848.0</v>
      </c>
      <c r="AI64" s="1">
        <v>-112.0</v>
      </c>
      <c r="AJ64" s="1" t="s">
        <v>745</v>
      </c>
      <c r="AK64" s="1" t="s">
        <v>61</v>
      </c>
      <c r="AL64" s="1">
        <v>7.80622620698E11</v>
      </c>
      <c r="AM64" s="3">
        <v>45847.0</v>
      </c>
      <c r="AN64" s="1">
        <v>2.0</v>
      </c>
    </row>
    <row r="65" ht="15.75" customHeight="1">
      <c r="A65" s="1" t="s">
        <v>746</v>
      </c>
      <c r="B65" s="1" t="s">
        <v>41</v>
      </c>
      <c r="C65" s="1">
        <v>7.720373062E9</v>
      </c>
      <c r="D65" s="1">
        <v>7.72001001E8</v>
      </c>
      <c r="E65" s="1">
        <v>1.177746230045E12</v>
      </c>
      <c r="F65" s="1" t="s">
        <v>747</v>
      </c>
      <c r="G65" s="3">
        <v>42803.0</v>
      </c>
      <c r="H65" s="1">
        <v>8.0</v>
      </c>
      <c r="I65" s="1" t="s">
        <v>43</v>
      </c>
      <c r="J65" s="1" t="s">
        <v>748</v>
      </c>
      <c r="K65" s="1" t="s">
        <v>749</v>
      </c>
      <c r="L65" s="1" t="s">
        <v>121</v>
      </c>
      <c r="M65" s="1">
        <v>111402.0</v>
      </c>
      <c r="N65" s="1" t="s">
        <v>121</v>
      </c>
      <c r="O65" s="1" t="s">
        <v>750</v>
      </c>
      <c r="W65" s="1" t="s">
        <v>751</v>
      </c>
      <c r="X65" s="1" t="s">
        <v>752</v>
      </c>
      <c r="AC65" s="1" t="s">
        <v>753</v>
      </c>
      <c r="AD65" s="1">
        <v>146.0</v>
      </c>
      <c r="AE65" s="1">
        <v>0.0</v>
      </c>
      <c r="AF65" s="1">
        <v>6426.0</v>
      </c>
      <c r="AG65" s="1">
        <v>-3465.0</v>
      </c>
      <c r="AH65" s="1">
        <v>-1027.0</v>
      </c>
      <c r="AI65" s="1">
        <v>-1651.0</v>
      </c>
      <c r="AJ65" s="1" t="s">
        <v>754</v>
      </c>
      <c r="AK65" s="1" t="s">
        <v>755</v>
      </c>
      <c r="AL65" s="1">
        <v>7.70706101597E11</v>
      </c>
      <c r="AM65" s="3">
        <v>45925.0</v>
      </c>
      <c r="AN65" s="1">
        <v>2.0</v>
      </c>
    </row>
    <row r="66" ht="15.75" customHeight="1">
      <c r="A66" s="1" t="s">
        <v>756</v>
      </c>
      <c r="B66" s="1" t="s">
        <v>41</v>
      </c>
      <c r="C66" s="1">
        <v>9.726045223E9</v>
      </c>
      <c r="D66" s="1">
        <v>7.72601001E8</v>
      </c>
      <c r="E66" s="1">
        <v>1.23770035114E12</v>
      </c>
      <c r="F66" s="1" t="s">
        <v>42</v>
      </c>
      <c r="G66" s="3">
        <v>45063.0</v>
      </c>
      <c r="H66" s="1">
        <v>2.0</v>
      </c>
      <c r="I66" s="1" t="s">
        <v>43</v>
      </c>
      <c r="J66" s="1" t="s">
        <v>757</v>
      </c>
      <c r="K66" s="1" t="s">
        <v>758</v>
      </c>
      <c r="L66" s="1" t="s">
        <v>121</v>
      </c>
      <c r="M66" s="1">
        <v>117105.0</v>
      </c>
      <c r="N66" s="1" t="s">
        <v>121</v>
      </c>
      <c r="O66" s="1" t="s">
        <v>759</v>
      </c>
      <c r="P66" s="1" t="s">
        <v>760</v>
      </c>
      <c r="S66" s="1" t="s">
        <v>761</v>
      </c>
      <c r="W66" s="1" t="s">
        <v>762</v>
      </c>
      <c r="AC66" s="1" t="s">
        <v>763</v>
      </c>
      <c r="AD66" s="1">
        <v>10.0</v>
      </c>
      <c r="AE66" s="1">
        <v>3.0</v>
      </c>
      <c r="AF66" s="1">
        <v>0.0</v>
      </c>
      <c r="AG66" s="1">
        <v>-323.0</v>
      </c>
      <c r="AH66" s="1">
        <v>-136.0</v>
      </c>
      <c r="AI66" s="1">
        <v>0.0</v>
      </c>
      <c r="AJ66" s="1" t="s">
        <v>764</v>
      </c>
      <c r="AK66" s="1" t="s">
        <v>61</v>
      </c>
      <c r="AL66" s="1">
        <v>7.72606254427E11</v>
      </c>
      <c r="AM66" s="3">
        <v>45063.0</v>
      </c>
      <c r="AN66" s="1">
        <v>1.0</v>
      </c>
    </row>
    <row r="67" ht="15.75" customHeight="1">
      <c r="A67" s="1" t="s">
        <v>765</v>
      </c>
      <c r="B67" s="1" t="s">
        <v>41</v>
      </c>
      <c r="C67" s="1">
        <v>5.04019135E9</v>
      </c>
      <c r="D67" s="1">
        <v>5.04001001E8</v>
      </c>
      <c r="E67" s="1">
        <v>1.245000070611E12</v>
      </c>
      <c r="F67" s="1" t="s">
        <v>42</v>
      </c>
      <c r="G67" s="3">
        <v>45461.0</v>
      </c>
      <c r="H67" s="1">
        <v>1.0</v>
      </c>
      <c r="I67" s="1" t="s">
        <v>43</v>
      </c>
      <c r="J67" s="1" t="s">
        <v>766</v>
      </c>
      <c r="K67" s="1" t="s">
        <v>767</v>
      </c>
      <c r="L67" s="1" t="s">
        <v>46</v>
      </c>
      <c r="M67" s="1">
        <v>140103.0</v>
      </c>
      <c r="N67" s="1" t="s">
        <v>768</v>
      </c>
      <c r="O67" s="1" t="s">
        <v>769</v>
      </c>
      <c r="S67" s="1" t="s">
        <v>770</v>
      </c>
      <c r="W67" s="1" t="s">
        <v>771</v>
      </c>
      <c r="AC67" s="1" t="s">
        <v>772</v>
      </c>
      <c r="AD67" s="1">
        <v>0.0</v>
      </c>
      <c r="AE67" s="1">
        <v>0.0</v>
      </c>
      <c r="AG67" s="1">
        <v>-2949.0</v>
      </c>
      <c r="AH67" s="1">
        <v>0.0</v>
      </c>
      <c r="AJ67" s="1" t="s">
        <v>773</v>
      </c>
      <c r="AK67" s="1" t="s">
        <v>61</v>
      </c>
      <c r="AL67" s="1">
        <v>5.04003700227E11</v>
      </c>
      <c r="AM67" s="3">
        <v>45854.0</v>
      </c>
      <c r="AN67" s="1">
        <v>1.0</v>
      </c>
    </row>
    <row r="68" ht="15.75" customHeight="1">
      <c r="A68" s="1" t="s">
        <v>774</v>
      </c>
      <c r="B68" s="1" t="s">
        <v>41</v>
      </c>
      <c r="C68" s="1">
        <v>5.034062942E9</v>
      </c>
      <c r="D68" s="1">
        <v>5.03401001E8</v>
      </c>
      <c r="E68" s="1">
        <v>1.225000096584E12</v>
      </c>
      <c r="F68" s="1" t="s">
        <v>42</v>
      </c>
      <c r="G68" s="3">
        <v>44805.0</v>
      </c>
      <c r="H68" s="1">
        <v>3.0</v>
      </c>
      <c r="I68" s="1" t="s">
        <v>43</v>
      </c>
      <c r="J68" s="1" t="s">
        <v>775</v>
      </c>
      <c r="K68" s="1" t="s">
        <v>776</v>
      </c>
      <c r="L68" s="1" t="s">
        <v>46</v>
      </c>
      <c r="M68" s="1">
        <v>142600.0</v>
      </c>
      <c r="N68" s="1" t="s">
        <v>523</v>
      </c>
      <c r="O68" s="1" t="s">
        <v>777</v>
      </c>
      <c r="AC68" s="1" t="s">
        <v>778</v>
      </c>
      <c r="AD68" s="1">
        <v>0.0</v>
      </c>
      <c r="AE68" s="1">
        <v>50.0</v>
      </c>
      <c r="AF68" s="1">
        <v>0.0</v>
      </c>
      <c r="AG68" s="1">
        <v>0.0</v>
      </c>
      <c r="AH68" s="1">
        <v>-13.0</v>
      </c>
      <c r="AI68" s="1">
        <v>-60.0</v>
      </c>
      <c r="AJ68" s="1" t="s">
        <v>779</v>
      </c>
      <c r="AK68" s="1" t="s">
        <v>61</v>
      </c>
      <c r="AL68" s="1">
        <v>5.03127858857E11</v>
      </c>
      <c r="AM68" s="3">
        <v>45918.0</v>
      </c>
      <c r="AN68" s="1">
        <v>2.0</v>
      </c>
    </row>
    <row r="69" ht="15.75" customHeight="1">
      <c r="A69" s="1" t="s">
        <v>780</v>
      </c>
      <c r="B69" s="1" t="s">
        <v>41</v>
      </c>
      <c r="C69" s="1">
        <v>5.018213129E9</v>
      </c>
      <c r="D69" s="1">
        <v>5.01801001E8</v>
      </c>
      <c r="E69" s="1">
        <v>1.225000125129E12</v>
      </c>
      <c r="F69" s="1" t="s">
        <v>42</v>
      </c>
      <c r="G69" s="3">
        <v>44873.0</v>
      </c>
      <c r="H69" s="1">
        <v>3.0</v>
      </c>
      <c r="I69" s="1" t="s">
        <v>43</v>
      </c>
      <c r="J69" s="1" t="s">
        <v>781</v>
      </c>
      <c r="K69" s="1" t="s">
        <v>782</v>
      </c>
      <c r="L69" s="1" t="s">
        <v>46</v>
      </c>
      <c r="M69" s="1">
        <v>141075.0</v>
      </c>
      <c r="N69" s="1" t="s">
        <v>428</v>
      </c>
      <c r="O69" s="1" t="s">
        <v>783</v>
      </c>
      <c r="AC69" s="1" t="s">
        <v>784</v>
      </c>
      <c r="AD69" s="1">
        <v>0.0</v>
      </c>
      <c r="AE69" s="1">
        <v>0.0</v>
      </c>
      <c r="AG69" s="1">
        <v>0.0</v>
      </c>
      <c r="AH69" s="1">
        <v>0.0</v>
      </c>
      <c r="AJ69" s="1" t="s">
        <v>785</v>
      </c>
      <c r="AK69" s="1" t="s">
        <v>78</v>
      </c>
      <c r="AL69" s="1">
        <v>7.71804859694E11</v>
      </c>
      <c r="AM69" s="3">
        <v>44873.0</v>
      </c>
      <c r="AN69" s="1">
        <v>1.0</v>
      </c>
    </row>
    <row r="70" ht="15.75" customHeight="1">
      <c r="A70" s="1" t="s">
        <v>786</v>
      </c>
      <c r="B70" s="1" t="s">
        <v>41</v>
      </c>
      <c r="C70" s="1">
        <v>5.012109996E9</v>
      </c>
      <c r="D70" s="1">
        <v>5.01201001E8</v>
      </c>
      <c r="E70" s="1">
        <v>1.23500004451E12</v>
      </c>
      <c r="F70" s="1" t="s">
        <v>42</v>
      </c>
      <c r="G70" s="3">
        <v>45027.0</v>
      </c>
      <c r="H70" s="1">
        <v>2.0</v>
      </c>
      <c r="I70" s="1" t="s">
        <v>43</v>
      </c>
      <c r="J70" s="1" t="s">
        <v>787</v>
      </c>
      <c r="K70" s="1" t="s">
        <v>788</v>
      </c>
      <c r="L70" s="1" t="s">
        <v>46</v>
      </c>
      <c r="M70" s="1">
        <v>143988.0</v>
      </c>
      <c r="N70" s="1" t="s">
        <v>694</v>
      </c>
      <c r="O70" s="1" t="s">
        <v>789</v>
      </c>
      <c r="AC70" s="1" t="s">
        <v>790</v>
      </c>
      <c r="AD70" s="1">
        <v>0.0</v>
      </c>
      <c r="AE70" s="1">
        <v>0.0</v>
      </c>
      <c r="AF70" s="1">
        <v>0.0</v>
      </c>
      <c r="AG70" s="1">
        <v>0.0</v>
      </c>
      <c r="AH70" s="1">
        <v>-3.0</v>
      </c>
      <c r="AI70" s="1">
        <v>0.0</v>
      </c>
      <c r="AJ70" s="1" t="s">
        <v>791</v>
      </c>
      <c r="AK70" s="1" t="s">
        <v>61</v>
      </c>
      <c r="AL70" s="1">
        <v>2.80123033997E11</v>
      </c>
      <c r="AM70" s="3">
        <v>45027.0</v>
      </c>
      <c r="AN70" s="1">
        <v>1.0</v>
      </c>
    </row>
    <row r="71" ht="15.75" customHeight="1">
      <c r="A71" s="1" t="s">
        <v>792</v>
      </c>
      <c r="B71" s="1" t="s">
        <v>41</v>
      </c>
      <c r="C71" s="1">
        <v>5.043084886E9</v>
      </c>
      <c r="D71" s="1">
        <v>5.04301001E8</v>
      </c>
      <c r="E71" s="1">
        <v>1.245000030076E12</v>
      </c>
      <c r="F71" s="1" t="s">
        <v>42</v>
      </c>
      <c r="G71" s="3">
        <v>45355.0</v>
      </c>
      <c r="H71" s="1">
        <v>1.0</v>
      </c>
      <c r="I71" s="1" t="s">
        <v>43</v>
      </c>
      <c r="J71" s="1" t="s">
        <v>793</v>
      </c>
      <c r="K71" s="1" t="s">
        <v>794</v>
      </c>
      <c r="L71" s="1" t="s">
        <v>46</v>
      </c>
      <c r="M71" s="1">
        <v>142279.0</v>
      </c>
      <c r="N71" s="1" t="s">
        <v>795</v>
      </c>
      <c r="O71" s="1" t="s">
        <v>796</v>
      </c>
      <c r="AC71" s="1" t="s">
        <v>797</v>
      </c>
      <c r="AD71" s="1">
        <v>0.0</v>
      </c>
      <c r="AE71" s="1">
        <v>0.0</v>
      </c>
      <c r="AG71" s="1">
        <v>-363.0</v>
      </c>
      <c r="AH71" s="1">
        <v>0.0</v>
      </c>
      <c r="AJ71" s="1" t="s">
        <v>798</v>
      </c>
      <c r="AK71" s="1" t="s">
        <v>61</v>
      </c>
      <c r="AL71" s="1">
        <v>5.04307985912E11</v>
      </c>
      <c r="AM71" s="3">
        <v>45355.0</v>
      </c>
      <c r="AN71" s="1">
        <v>1.0</v>
      </c>
    </row>
    <row r="72" ht="15.75" customHeight="1">
      <c r="A72" s="1" t="s">
        <v>799</v>
      </c>
      <c r="B72" s="1" t="s">
        <v>41</v>
      </c>
      <c r="C72" s="1">
        <v>7.735195292E9</v>
      </c>
      <c r="D72" s="1">
        <v>7.73501001E8</v>
      </c>
      <c r="E72" s="1">
        <v>1.227700374065E12</v>
      </c>
      <c r="F72" s="1" t="s">
        <v>42</v>
      </c>
      <c r="G72" s="3">
        <v>44739.0</v>
      </c>
      <c r="H72" s="1">
        <v>3.0</v>
      </c>
      <c r="I72" s="1" t="s">
        <v>43</v>
      </c>
      <c r="J72" s="1" t="s">
        <v>800</v>
      </c>
      <c r="K72" s="1" t="s">
        <v>801</v>
      </c>
      <c r="L72" s="1" t="s">
        <v>121</v>
      </c>
      <c r="M72" s="1">
        <v>124482.0</v>
      </c>
      <c r="N72" s="1" t="s">
        <v>802</v>
      </c>
      <c r="O72" s="1" t="s">
        <v>803</v>
      </c>
      <c r="AC72" s="1" t="s">
        <v>804</v>
      </c>
      <c r="AD72" s="1">
        <v>0.0</v>
      </c>
      <c r="AE72" s="1">
        <v>0.0</v>
      </c>
      <c r="AF72" s="1">
        <v>0.0</v>
      </c>
      <c r="AG72" s="1">
        <v>0.0</v>
      </c>
      <c r="AH72" s="1">
        <v>0.0</v>
      </c>
      <c r="AI72" s="1">
        <v>0.0</v>
      </c>
      <c r="AJ72" s="1" t="s">
        <v>805</v>
      </c>
      <c r="AK72" s="1" t="s">
        <v>61</v>
      </c>
      <c r="AL72" s="1">
        <v>5.07303177892E11</v>
      </c>
      <c r="AM72" s="3">
        <v>44739.0</v>
      </c>
      <c r="AN72" s="1">
        <v>2.0</v>
      </c>
    </row>
    <row r="73" ht="15.75" customHeight="1">
      <c r="A73" s="1" t="s">
        <v>806</v>
      </c>
      <c r="B73" s="1" t="s">
        <v>41</v>
      </c>
      <c r="C73" s="1">
        <v>9.719011375E9</v>
      </c>
      <c r="D73" s="1">
        <v>7.71901001E8</v>
      </c>
      <c r="E73" s="1">
        <v>1.217700017072E12</v>
      </c>
      <c r="F73" s="1" t="s">
        <v>42</v>
      </c>
      <c r="G73" s="3">
        <v>44218.0</v>
      </c>
      <c r="H73" s="1">
        <v>5.0</v>
      </c>
      <c r="I73" s="1" t="s">
        <v>43</v>
      </c>
      <c r="J73" s="1" t="s">
        <v>807</v>
      </c>
      <c r="K73" s="1" t="s">
        <v>808</v>
      </c>
      <c r="L73" s="1" t="s">
        <v>121</v>
      </c>
      <c r="M73" s="1">
        <v>105318.0</v>
      </c>
      <c r="N73" s="1" t="s">
        <v>121</v>
      </c>
      <c r="O73" s="1" t="s">
        <v>809</v>
      </c>
      <c r="AC73" s="1" t="s">
        <v>810</v>
      </c>
      <c r="AD73" s="1">
        <v>0.0</v>
      </c>
      <c r="AE73" s="1">
        <v>0.0</v>
      </c>
      <c r="AF73" s="1">
        <v>0.0</v>
      </c>
      <c r="AG73" s="1">
        <v>122.0</v>
      </c>
      <c r="AH73" s="1">
        <v>0.0</v>
      </c>
      <c r="AI73" s="1">
        <v>2.0</v>
      </c>
      <c r="AJ73" s="1" t="s">
        <v>811</v>
      </c>
      <c r="AK73" s="1" t="s">
        <v>61</v>
      </c>
      <c r="AL73" s="1">
        <v>4.52303035263E11</v>
      </c>
      <c r="AM73" s="3">
        <v>45856.0</v>
      </c>
      <c r="AN73" s="1">
        <v>1.0</v>
      </c>
    </row>
    <row r="74" ht="15.75" customHeight="1">
      <c r="A74" s="1" t="s">
        <v>812</v>
      </c>
      <c r="B74" s="1" t="s">
        <v>41</v>
      </c>
      <c r="C74" s="1">
        <v>9.722026903E9</v>
      </c>
      <c r="D74" s="1">
        <v>7.72201001E8</v>
      </c>
      <c r="E74" s="1">
        <v>1.227700478499E12</v>
      </c>
      <c r="F74" s="1" t="s">
        <v>42</v>
      </c>
      <c r="G74" s="3">
        <v>44782.0</v>
      </c>
      <c r="H74" s="1">
        <v>3.0</v>
      </c>
      <c r="I74" s="1" t="s">
        <v>43</v>
      </c>
      <c r="J74" s="1" t="s">
        <v>813</v>
      </c>
      <c r="K74" s="1" t="s">
        <v>814</v>
      </c>
      <c r="L74" s="1" t="s">
        <v>121</v>
      </c>
      <c r="M74" s="1">
        <v>111024.0</v>
      </c>
      <c r="N74" s="1" t="s">
        <v>121</v>
      </c>
      <c r="O74" s="1" t="s">
        <v>815</v>
      </c>
      <c r="AC74" s="1" t="s">
        <v>816</v>
      </c>
      <c r="AD74" s="1">
        <v>0.0</v>
      </c>
      <c r="AE74" s="1">
        <v>0.0</v>
      </c>
      <c r="AF74" s="1">
        <v>0.0</v>
      </c>
      <c r="AG74" s="1">
        <v>0.0</v>
      </c>
      <c r="AH74" s="1">
        <v>0.0</v>
      </c>
      <c r="AI74" s="1">
        <v>0.0</v>
      </c>
      <c r="AJ74" s="1" t="s">
        <v>817</v>
      </c>
      <c r="AK74" s="1" t="s">
        <v>61</v>
      </c>
      <c r="AL74" s="1">
        <v>7.709027107E11</v>
      </c>
      <c r="AM74" s="3">
        <v>44782.0</v>
      </c>
      <c r="AN74" s="1">
        <v>2.0</v>
      </c>
    </row>
    <row r="75" ht="15.75" customHeight="1">
      <c r="A75" s="1" t="s">
        <v>818</v>
      </c>
      <c r="B75" s="1" t="s">
        <v>41</v>
      </c>
      <c r="C75" s="1">
        <v>7.71542964E9</v>
      </c>
      <c r="D75" s="1">
        <v>7.73101001E8</v>
      </c>
      <c r="E75" s="1">
        <v>1.147746446011E12</v>
      </c>
      <c r="F75" s="1" t="s">
        <v>42</v>
      </c>
      <c r="G75" s="3">
        <v>41751.0</v>
      </c>
      <c r="H75" s="1">
        <v>11.0</v>
      </c>
      <c r="I75" s="1" t="s">
        <v>43</v>
      </c>
      <c r="J75" s="1" t="s">
        <v>819</v>
      </c>
      <c r="K75" s="1" t="s">
        <v>820</v>
      </c>
      <c r="L75" s="1" t="s">
        <v>121</v>
      </c>
      <c r="M75" s="1">
        <v>121596.0</v>
      </c>
      <c r="N75" s="1" t="s">
        <v>121</v>
      </c>
      <c r="O75" s="1" t="s">
        <v>821</v>
      </c>
      <c r="W75" s="1" t="s">
        <v>822</v>
      </c>
      <c r="AC75" s="1" t="s">
        <v>823</v>
      </c>
      <c r="AD75" s="1">
        <v>0.0</v>
      </c>
      <c r="AE75" s="1">
        <v>0.0</v>
      </c>
      <c r="AF75" s="1">
        <v>4750.0</v>
      </c>
      <c r="AG75" s="1">
        <v>-927.0</v>
      </c>
      <c r="AH75" s="1">
        <v>-2437.0</v>
      </c>
      <c r="AI75" s="1">
        <v>0.0</v>
      </c>
      <c r="AJ75" s="1" t="s">
        <v>824</v>
      </c>
      <c r="AK75" s="1" t="s">
        <v>61</v>
      </c>
      <c r="AL75" s="1">
        <v>7.72578499969E11</v>
      </c>
      <c r="AM75" s="3">
        <v>43490.0</v>
      </c>
      <c r="AN75" s="1">
        <v>1.0</v>
      </c>
    </row>
    <row r="76" ht="15.75" customHeight="1">
      <c r="A76" s="1" t="s">
        <v>825</v>
      </c>
      <c r="B76" s="1" t="s">
        <v>41</v>
      </c>
      <c r="C76" s="1">
        <v>7.751345724E9</v>
      </c>
      <c r="D76" s="1">
        <v>7.75101001E8</v>
      </c>
      <c r="E76" s="1">
        <v>1.247700827912E12</v>
      </c>
      <c r="F76" s="1" t="s">
        <v>42</v>
      </c>
      <c r="G76" s="3">
        <v>45650.0</v>
      </c>
      <c r="H76" s="1">
        <v>1.0</v>
      </c>
      <c r="I76" s="1" t="s">
        <v>43</v>
      </c>
      <c r="J76" s="1" t="s">
        <v>826</v>
      </c>
      <c r="K76" s="1" t="s">
        <v>827</v>
      </c>
      <c r="L76" s="1" t="s">
        <v>121</v>
      </c>
      <c r="M76" s="1">
        <v>108811.0</v>
      </c>
      <c r="N76" s="1" t="s">
        <v>121</v>
      </c>
      <c r="O76" s="1" t="s">
        <v>828</v>
      </c>
      <c r="P76" s="1" t="s">
        <v>829</v>
      </c>
      <c r="W76" s="1" t="s">
        <v>830</v>
      </c>
      <c r="AC76" s="1" t="s">
        <v>831</v>
      </c>
      <c r="AD76" s="1">
        <v>0.0</v>
      </c>
      <c r="AE76" s="1">
        <v>0.0</v>
      </c>
      <c r="AG76" s="1">
        <v>0.0</v>
      </c>
      <c r="AH76" s="1">
        <v>0.0</v>
      </c>
      <c r="AJ76" s="1" t="s">
        <v>832</v>
      </c>
      <c r="AK76" s="1" t="s">
        <v>61</v>
      </c>
      <c r="AL76" s="1">
        <v>6.50623323311E11</v>
      </c>
      <c r="AM76" s="3">
        <v>45650.0</v>
      </c>
      <c r="AN76" s="1">
        <v>1.0</v>
      </c>
    </row>
    <row r="77" ht="15.75" customHeight="1">
      <c r="A77" s="1" t="s">
        <v>833</v>
      </c>
      <c r="B77" s="1" t="s">
        <v>41</v>
      </c>
      <c r="C77" s="1">
        <v>7.723462546E9</v>
      </c>
      <c r="D77" s="1">
        <v>7.72301001E8</v>
      </c>
      <c r="E77" s="1">
        <v>1.167746717115E12</v>
      </c>
      <c r="F77" s="1" t="s">
        <v>42</v>
      </c>
      <c r="G77" s="3">
        <v>42583.0</v>
      </c>
      <c r="H77" s="1">
        <v>9.0</v>
      </c>
      <c r="I77" s="1" t="s">
        <v>43</v>
      </c>
      <c r="J77" s="1" t="s">
        <v>834</v>
      </c>
      <c r="K77" s="1" t="s">
        <v>835</v>
      </c>
      <c r="L77" s="1" t="s">
        <v>121</v>
      </c>
      <c r="M77" s="1">
        <v>109129.0</v>
      </c>
      <c r="N77" s="1" t="s">
        <v>121</v>
      </c>
      <c r="O77" s="1" t="s">
        <v>836</v>
      </c>
      <c r="W77" s="1" t="s">
        <v>837</v>
      </c>
      <c r="AC77" s="1" t="s">
        <v>838</v>
      </c>
      <c r="AD77" s="1">
        <v>0.0</v>
      </c>
      <c r="AE77" s="1">
        <v>0.0</v>
      </c>
      <c r="AF77" s="1">
        <v>0.0</v>
      </c>
      <c r="AG77" s="1">
        <v>0.0</v>
      </c>
      <c r="AH77" s="1">
        <v>0.0</v>
      </c>
      <c r="AI77" s="1">
        <v>-77.0</v>
      </c>
      <c r="AJ77" s="1" t="s">
        <v>839</v>
      </c>
      <c r="AK77" s="1" t="s">
        <v>61</v>
      </c>
      <c r="AL77" s="1">
        <v>7.72380078505E11</v>
      </c>
      <c r="AM77" s="3">
        <v>42583.0</v>
      </c>
      <c r="AN77" s="1">
        <v>1.0</v>
      </c>
    </row>
    <row r="78" ht="15.75" customHeight="1">
      <c r="A78" s="1" t="s">
        <v>840</v>
      </c>
      <c r="B78" s="1" t="s">
        <v>41</v>
      </c>
      <c r="C78" s="1">
        <v>7.730321835E9</v>
      </c>
      <c r="D78" s="1">
        <v>7.73001001E8</v>
      </c>
      <c r="E78" s="1">
        <v>1.247700309097E12</v>
      </c>
      <c r="F78" s="1" t="s">
        <v>42</v>
      </c>
      <c r="G78" s="3">
        <v>45392.0</v>
      </c>
      <c r="H78" s="1">
        <v>1.0</v>
      </c>
      <c r="I78" s="1" t="s">
        <v>43</v>
      </c>
      <c r="J78" s="1" t="s">
        <v>841</v>
      </c>
      <c r="K78" s="1" t="s">
        <v>842</v>
      </c>
      <c r="L78" s="1" t="s">
        <v>121</v>
      </c>
      <c r="M78" s="1">
        <v>121087.0</v>
      </c>
      <c r="N78" s="1" t="s">
        <v>121</v>
      </c>
      <c r="O78" s="1" t="s">
        <v>843</v>
      </c>
      <c r="W78" s="1" t="s">
        <v>844</v>
      </c>
      <c r="AC78" s="1" t="s">
        <v>845</v>
      </c>
      <c r="AD78" s="1">
        <v>0.0</v>
      </c>
      <c r="AE78" s="1">
        <v>0.0</v>
      </c>
      <c r="AG78" s="1">
        <v>-5995.0</v>
      </c>
      <c r="AH78" s="1">
        <v>0.0</v>
      </c>
      <c r="AJ78" s="1" t="s">
        <v>846</v>
      </c>
      <c r="AK78" s="1" t="s">
        <v>78</v>
      </c>
      <c r="AL78" s="1">
        <v>6.67472181598E11</v>
      </c>
      <c r="AM78" s="3">
        <v>45392.0</v>
      </c>
      <c r="AN78" s="1">
        <v>2.0</v>
      </c>
    </row>
    <row r="79" ht="15.75" customHeight="1">
      <c r="A79" s="1" t="s">
        <v>847</v>
      </c>
      <c r="B79" s="1" t="s">
        <v>215</v>
      </c>
      <c r="C79" s="1">
        <v>7.720919619E9</v>
      </c>
      <c r="D79" s="1">
        <v>7.72001001E8</v>
      </c>
      <c r="E79" s="1">
        <v>1.237700934932E12</v>
      </c>
      <c r="F79" s="1" t="s">
        <v>42</v>
      </c>
      <c r="G79" s="3">
        <v>45285.0</v>
      </c>
      <c r="H79" s="1">
        <v>2.0</v>
      </c>
      <c r="I79" s="1" t="s">
        <v>43</v>
      </c>
      <c r="J79" s="1" t="s">
        <v>848</v>
      </c>
      <c r="K79" s="1" t="s">
        <v>849</v>
      </c>
      <c r="L79" s="1" t="s">
        <v>121</v>
      </c>
      <c r="M79" s="1">
        <v>111141.0</v>
      </c>
      <c r="N79" s="1" t="s">
        <v>121</v>
      </c>
      <c r="O79" s="1" t="s">
        <v>850</v>
      </c>
      <c r="S79" s="1" t="s">
        <v>851</v>
      </c>
      <c r="T79" s="1" t="s">
        <v>852</v>
      </c>
      <c r="U79" s="1" t="s">
        <v>853</v>
      </c>
      <c r="AD79" s="1">
        <v>0.0</v>
      </c>
      <c r="AE79" s="1">
        <v>0.0</v>
      </c>
      <c r="AG79" s="1">
        <v>-8883.0</v>
      </c>
      <c r="AH79" s="1">
        <v>0.0</v>
      </c>
      <c r="AJ79" s="1" t="s">
        <v>854</v>
      </c>
      <c r="AK79" s="1" t="s">
        <v>61</v>
      </c>
      <c r="AL79" s="1">
        <v>5.90609595059E11</v>
      </c>
      <c r="AM79" s="3">
        <v>45285.0</v>
      </c>
      <c r="AN79" s="1">
        <v>1.0</v>
      </c>
    </row>
    <row r="80" ht="15.75" customHeight="1">
      <c r="A80" s="1" t="s">
        <v>855</v>
      </c>
      <c r="B80" s="1" t="s">
        <v>41</v>
      </c>
      <c r="C80" s="1">
        <v>5.003138398E9</v>
      </c>
      <c r="D80" s="1">
        <v>5.00301001E8</v>
      </c>
      <c r="E80" s="1">
        <v>1.205000022314E12</v>
      </c>
      <c r="F80" s="1" t="s">
        <v>42</v>
      </c>
      <c r="G80" s="3">
        <v>43894.0</v>
      </c>
      <c r="H80" s="1">
        <v>5.0</v>
      </c>
      <c r="I80" s="1" t="s">
        <v>43</v>
      </c>
      <c r="J80" s="1" t="s">
        <v>856</v>
      </c>
      <c r="K80" s="1" t="s">
        <v>857</v>
      </c>
      <c r="L80" s="1" t="s">
        <v>46</v>
      </c>
      <c r="M80" s="1">
        <v>142701.0</v>
      </c>
      <c r="N80" s="1" t="s">
        <v>858</v>
      </c>
      <c r="O80" s="1" t="s">
        <v>859</v>
      </c>
      <c r="W80" s="1" t="s">
        <v>860</v>
      </c>
      <c r="AC80" s="1" t="s">
        <v>861</v>
      </c>
      <c r="AF80" s="1">
        <v>32608.0</v>
      </c>
      <c r="AI80" s="1">
        <v>1557.0</v>
      </c>
      <c r="AJ80" s="1" t="s">
        <v>862</v>
      </c>
      <c r="AK80" s="1" t="s">
        <v>61</v>
      </c>
      <c r="AL80" s="1">
        <v>6.14209825684E11</v>
      </c>
      <c r="AM80" s="3">
        <v>43894.0</v>
      </c>
      <c r="AN80" s="1">
        <v>1.0</v>
      </c>
    </row>
    <row r="81" ht="15.75" customHeight="1">
      <c r="A81" s="1" t="s">
        <v>863</v>
      </c>
      <c r="B81" s="1" t="s">
        <v>864</v>
      </c>
      <c r="C81" s="1">
        <v>2.12710679738E11</v>
      </c>
      <c r="E81" s="1">
        <v>3.25508100097398E14</v>
      </c>
      <c r="F81" s="1" t="s">
        <v>42</v>
      </c>
      <c r="G81" s="3">
        <v>45708.0</v>
      </c>
      <c r="H81" s="1">
        <v>1.0</v>
      </c>
      <c r="I81" s="1" t="s">
        <v>43</v>
      </c>
      <c r="J81" s="1" t="s">
        <v>865</v>
      </c>
      <c r="K81" s="1" t="s">
        <v>866</v>
      </c>
      <c r="L81" s="1" t="s">
        <v>46</v>
      </c>
      <c r="N81" s="1" t="s">
        <v>867</v>
      </c>
      <c r="O81" s="1" t="s">
        <v>868</v>
      </c>
      <c r="AJ81" s="1" t="s">
        <v>863</v>
      </c>
      <c r="AL81" s="1">
        <v>2.12710679738E11</v>
      </c>
      <c r="AN81" s="1">
        <v>2.0</v>
      </c>
    </row>
    <row r="82" ht="15.75" customHeight="1">
      <c r="A82" s="1" t="s">
        <v>869</v>
      </c>
      <c r="B82" s="1" t="s">
        <v>864</v>
      </c>
      <c r="C82" s="1">
        <v>5.01808813718E11</v>
      </c>
      <c r="E82" s="1">
        <v>3.17502900042673E14</v>
      </c>
      <c r="F82" s="1" t="s">
        <v>42</v>
      </c>
      <c r="G82" s="3">
        <v>42964.0</v>
      </c>
      <c r="H82" s="1">
        <v>8.0</v>
      </c>
      <c r="I82" s="1" t="s">
        <v>43</v>
      </c>
      <c r="J82" s="1" t="s">
        <v>870</v>
      </c>
      <c r="K82" s="1" t="s">
        <v>871</v>
      </c>
      <c r="L82" s="1" t="s">
        <v>46</v>
      </c>
      <c r="N82" s="1" t="s">
        <v>428</v>
      </c>
      <c r="O82" s="1" t="s">
        <v>872</v>
      </c>
      <c r="AJ82" s="1" t="s">
        <v>869</v>
      </c>
      <c r="AL82" s="1">
        <v>5.01808813718E11</v>
      </c>
      <c r="AN82" s="1">
        <v>1.0</v>
      </c>
    </row>
    <row r="83" ht="15.75" customHeight="1">
      <c r="A83" s="1" t="s">
        <v>873</v>
      </c>
      <c r="B83" s="1" t="s">
        <v>864</v>
      </c>
      <c r="C83" s="1">
        <v>5.0423148232E11</v>
      </c>
      <c r="E83" s="1">
        <v>3.23508100061034E14</v>
      </c>
      <c r="F83" s="1" t="s">
        <v>42</v>
      </c>
      <c r="G83" s="3">
        <v>44963.0</v>
      </c>
      <c r="H83" s="1">
        <v>3.0</v>
      </c>
      <c r="I83" s="1" t="s">
        <v>43</v>
      </c>
      <c r="J83" s="1" t="s">
        <v>874</v>
      </c>
      <c r="K83" s="1" t="s">
        <v>875</v>
      </c>
      <c r="L83" s="1" t="s">
        <v>46</v>
      </c>
      <c r="N83" s="1" t="s">
        <v>876</v>
      </c>
      <c r="O83" s="1" t="s">
        <v>877</v>
      </c>
      <c r="AJ83" s="1" t="s">
        <v>873</v>
      </c>
      <c r="AL83" s="1">
        <v>5.0423148232E11</v>
      </c>
      <c r="AN83" s="1">
        <v>2.0</v>
      </c>
    </row>
    <row r="84" ht="15.75" customHeight="1">
      <c r="A84" s="1" t="s">
        <v>878</v>
      </c>
      <c r="B84" s="1" t="s">
        <v>864</v>
      </c>
      <c r="C84" s="1">
        <v>5.02478260246E11</v>
      </c>
      <c r="E84" s="1">
        <v>3.18505300068042E14</v>
      </c>
      <c r="F84" s="1" t="s">
        <v>42</v>
      </c>
      <c r="G84" s="3">
        <v>43280.0</v>
      </c>
      <c r="H84" s="1">
        <v>7.0</v>
      </c>
      <c r="I84" s="1" t="s">
        <v>43</v>
      </c>
      <c r="J84" s="1" t="s">
        <v>879</v>
      </c>
      <c r="K84" s="1" t="s">
        <v>880</v>
      </c>
      <c r="L84" s="1" t="s">
        <v>46</v>
      </c>
      <c r="N84" s="1" t="s">
        <v>657</v>
      </c>
      <c r="O84" s="1" t="s">
        <v>881</v>
      </c>
      <c r="P84" s="1" t="s">
        <v>882</v>
      </c>
      <c r="W84" s="1" t="s">
        <v>883</v>
      </c>
      <c r="AJ84" s="1" t="s">
        <v>878</v>
      </c>
      <c r="AL84" s="1">
        <v>5.02478260246E11</v>
      </c>
      <c r="AN84" s="1">
        <v>1.0</v>
      </c>
    </row>
    <row r="85" ht="15.75" customHeight="1">
      <c r="A85" s="1" t="s">
        <v>884</v>
      </c>
      <c r="B85" s="1" t="s">
        <v>864</v>
      </c>
      <c r="C85" s="1">
        <v>5.02478272756E11</v>
      </c>
      <c r="E85" s="1">
        <v>3.25508100742848E14</v>
      </c>
      <c r="F85" s="1" t="s">
        <v>42</v>
      </c>
      <c r="G85" s="3">
        <v>46007.0</v>
      </c>
      <c r="H85" s="1">
        <v>0.0</v>
      </c>
      <c r="I85" s="1" t="s">
        <v>43</v>
      </c>
      <c r="J85" s="1" t="s">
        <v>885</v>
      </c>
      <c r="L85" s="1" t="s">
        <v>46</v>
      </c>
      <c r="O85" s="1" t="s">
        <v>886</v>
      </c>
      <c r="AJ85" s="1" t="s">
        <v>884</v>
      </c>
      <c r="AL85" s="1">
        <v>5.02478272756E11</v>
      </c>
      <c r="AN85" s="1">
        <v>1.0</v>
      </c>
    </row>
    <row r="86" ht="15.75" customHeight="1">
      <c r="A86" s="1" t="s">
        <v>887</v>
      </c>
      <c r="B86" s="1" t="s">
        <v>864</v>
      </c>
      <c r="C86" s="1">
        <v>7.7153562685E11</v>
      </c>
      <c r="E86" s="1">
        <v>3.2550810075196E14</v>
      </c>
      <c r="F86" s="1" t="s">
        <v>42</v>
      </c>
      <c r="G86" s="3">
        <v>46009.0</v>
      </c>
      <c r="H86" s="1">
        <v>0.0</v>
      </c>
      <c r="I86" s="1" t="s">
        <v>43</v>
      </c>
      <c r="J86" s="1" t="s">
        <v>888</v>
      </c>
      <c r="L86" s="1" t="s">
        <v>46</v>
      </c>
      <c r="O86" s="1" t="s">
        <v>889</v>
      </c>
      <c r="AJ86" s="1" t="s">
        <v>887</v>
      </c>
      <c r="AL86" s="1">
        <v>7.7153562685E11</v>
      </c>
      <c r="AN86" s="1">
        <v>1.0</v>
      </c>
    </row>
    <row r="87" ht="15.75" customHeight="1">
      <c r="A87" s="1" t="s">
        <v>890</v>
      </c>
      <c r="B87" s="1" t="s">
        <v>864</v>
      </c>
      <c r="C87" s="1">
        <v>5.04805866026E11</v>
      </c>
      <c r="E87" s="1">
        <v>3.255081006984E14</v>
      </c>
      <c r="F87" s="1" t="s">
        <v>42</v>
      </c>
      <c r="G87" s="3">
        <v>45994.0</v>
      </c>
      <c r="H87" s="1">
        <v>0.0</v>
      </c>
      <c r="I87" s="1" t="s">
        <v>43</v>
      </c>
      <c r="J87" s="1" t="s">
        <v>891</v>
      </c>
      <c r="L87" s="1" t="s">
        <v>46</v>
      </c>
      <c r="O87" s="1" t="s">
        <v>892</v>
      </c>
      <c r="AJ87" s="1" t="s">
        <v>890</v>
      </c>
      <c r="AL87" s="1">
        <v>5.04805866026E11</v>
      </c>
      <c r="AN87" s="1">
        <v>1.0</v>
      </c>
    </row>
    <row r="88" ht="15.75" customHeight="1">
      <c r="A88" s="1" t="s">
        <v>893</v>
      </c>
      <c r="B88" s="1" t="s">
        <v>864</v>
      </c>
      <c r="C88" s="1">
        <v>5.04404314589E11</v>
      </c>
      <c r="E88" s="1">
        <v>3.24508100130663E14</v>
      </c>
      <c r="F88" s="1" t="s">
        <v>42</v>
      </c>
      <c r="G88" s="3">
        <v>45356.0</v>
      </c>
      <c r="H88" s="1">
        <v>1.0</v>
      </c>
      <c r="I88" s="1" t="s">
        <v>43</v>
      </c>
      <c r="J88" s="1" t="s">
        <v>894</v>
      </c>
      <c r="K88" s="1" t="s">
        <v>895</v>
      </c>
      <c r="L88" s="1" t="s">
        <v>46</v>
      </c>
      <c r="N88" s="1" t="s">
        <v>896</v>
      </c>
      <c r="O88" s="1" t="s">
        <v>897</v>
      </c>
      <c r="P88" s="1" t="s">
        <v>898</v>
      </c>
      <c r="W88" s="1" t="s">
        <v>899</v>
      </c>
      <c r="AJ88" s="1" t="s">
        <v>893</v>
      </c>
      <c r="AL88" s="1">
        <v>5.04404314589E11</v>
      </c>
      <c r="AN88" s="1">
        <v>2.0</v>
      </c>
    </row>
    <row r="89" ht="15.75" customHeight="1">
      <c r="A89" s="1" t="s">
        <v>900</v>
      </c>
      <c r="B89" s="1" t="s">
        <v>864</v>
      </c>
      <c r="C89" s="1">
        <v>5.00721592325E11</v>
      </c>
      <c r="E89" s="1">
        <v>3.255081003149E14</v>
      </c>
      <c r="F89" s="1" t="s">
        <v>42</v>
      </c>
      <c r="G89" s="3">
        <v>45825.0</v>
      </c>
      <c r="H89" s="1">
        <v>0.0</v>
      </c>
      <c r="I89" s="1" t="s">
        <v>43</v>
      </c>
      <c r="J89" s="1" t="s">
        <v>901</v>
      </c>
      <c r="K89" s="1" t="s">
        <v>902</v>
      </c>
      <c r="L89" s="1" t="s">
        <v>46</v>
      </c>
      <c r="N89" s="1" t="s">
        <v>82</v>
      </c>
      <c r="O89" s="1" t="s">
        <v>903</v>
      </c>
      <c r="AJ89" s="1" t="s">
        <v>900</v>
      </c>
      <c r="AL89" s="1">
        <v>5.00721592325E11</v>
      </c>
      <c r="AN89" s="1">
        <v>1.0</v>
      </c>
    </row>
    <row r="90" ht="15.75" customHeight="1">
      <c r="A90" s="1" t="s">
        <v>904</v>
      </c>
      <c r="B90" s="1" t="s">
        <v>864</v>
      </c>
      <c r="C90" s="1">
        <v>7.72325901887E11</v>
      </c>
      <c r="E90" s="1">
        <v>3.18502700064479E14</v>
      </c>
      <c r="F90" s="1" t="s">
        <v>42</v>
      </c>
      <c r="G90" s="3">
        <v>43334.0</v>
      </c>
      <c r="H90" s="1">
        <v>7.0</v>
      </c>
      <c r="I90" s="1" t="s">
        <v>43</v>
      </c>
      <c r="J90" s="1" t="s">
        <v>905</v>
      </c>
      <c r="K90" s="1" t="s">
        <v>906</v>
      </c>
      <c r="L90" s="1" t="s">
        <v>46</v>
      </c>
      <c r="N90" s="1" t="s">
        <v>768</v>
      </c>
      <c r="O90" s="1" t="s">
        <v>907</v>
      </c>
      <c r="P90" s="1" t="s">
        <v>908</v>
      </c>
      <c r="W90" s="1" t="s">
        <v>909</v>
      </c>
      <c r="X90" s="1" t="s">
        <v>910</v>
      </c>
      <c r="AJ90" s="1" t="s">
        <v>904</v>
      </c>
      <c r="AL90" s="1">
        <v>7.72325901887E11</v>
      </c>
      <c r="AN90" s="1">
        <v>2.0</v>
      </c>
    </row>
    <row r="91" ht="15.75" customHeight="1">
      <c r="A91" s="1" t="s">
        <v>911</v>
      </c>
      <c r="B91" s="1" t="s">
        <v>864</v>
      </c>
      <c r="C91" s="1">
        <v>9.71507391112E11</v>
      </c>
      <c r="E91" s="1">
        <v>3.18505300177383E14</v>
      </c>
      <c r="F91" s="1" t="s">
        <v>42</v>
      </c>
      <c r="G91" s="3">
        <v>43453.0</v>
      </c>
      <c r="H91" s="1">
        <v>7.0</v>
      </c>
      <c r="I91" s="1" t="s">
        <v>43</v>
      </c>
      <c r="J91" s="1" t="s">
        <v>912</v>
      </c>
      <c r="K91" s="1" t="s">
        <v>913</v>
      </c>
      <c r="L91" s="1" t="s">
        <v>46</v>
      </c>
      <c r="N91" s="1" t="s">
        <v>914</v>
      </c>
      <c r="O91" s="1" t="s">
        <v>915</v>
      </c>
      <c r="P91" s="1" t="s">
        <v>916</v>
      </c>
      <c r="Q91" s="1" t="s">
        <v>917</v>
      </c>
      <c r="S91" s="1" t="s">
        <v>918</v>
      </c>
      <c r="W91" s="1" t="s">
        <v>919</v>
      </c>
      <c r="X91" s="1" t="s">
        <v>920</v>
      </c>
      <c r="Y91" s="1" t="s">
        <v>921</v>
      </c>
      <c r="Z91" s="1" t="s">
        <v>922</v>
      </c>
      <c r="AJ91" s="1" t="s">
        <v>911</v>
      </c>
      <c r="AL91" s="1">
        <v>9.71507391112E11</v>
      </c>
      <c r="AN91" s="1">
        <v>1.0</v>
      </c>
    </row>
    <row r="92" ht="15.75" customHeight="1">
      <c r="A92" s="1" t="s">
        <v>923</v>
      </c>
      <c r="B92" s="1" t="s">
        <v>41</v>
      </c>
      <c r="C92" s="1">
        <v>5.047293129E9</v>
      </c>
      <c r="D92" s="1">
        <v>5.04701001E8</v>
      </c>
      <c r="E92" s="1">
        <v>1.245000058951E12</v>
      </c>
      <c r="F92" s="1" t="s">
        <v>42</v>
      </c>
      <c r="G92" s="3">
        <v>45432.0</v>
      </c>
      <c r="H92" s="1">
        <v>1.0</v>
      </c>
      <c r="I92" s="1" t="s">
        <v>43</v>
      </c>
      <c r="J92" s="1" t="s">
        <v>924</v>
      </c>
      <c r="K92" s="1" t="s">
        <v>925</v>
      </c>
      <c r="L92" s="1" t="s">
        <v>46</v>
      </c>
      <c r="M92" s="1">
        <v>141426.0</v>
      </c>
      <c r="N92" s="1" t="s">
        <v>926</v>
      </c>
      <c r="O92" s="1" t="s">
        <v>927</v>
      </c>
      <c r="AC92" s="1" t="s">
        <v>928</v>
      </c>
      <c r="AJ92" s="1" t="s">
        <v>929</v>
      </c>
      <c r="AK92" s="1" t="s">
        <v>61</v>
      </c>
      <c r="AL92" s="1">
        <v>5.02506961359E11</v>
      </c>
      <c r="AM92" s="3">
        <v>45432.0</v>
      </c>
      <c r="AN92" s="1">
        <v>2.0</v>
      </c>
    </row>
    <row r="93" ht="15.75" customHeight="1">
      <c r="A93" s="1" t="s">
        <v>930</v>
      </c>
      <c r="B93" s="1" t="s">
        <v>41</v>
      </c>
      <c r="C93" s="1">
        <v>5.017138542E9</v>
      </c>
      <c r="D93" s="1">
        <v>5.01701001E8</v>
      </c>
      <c r="E93" s="1">
        <v>1.245000120859E12</v>
      </c>
      <c r="F93" s="1" t="s">
        <v>42</v>
      </c>
      <c r="G93" s="3">
        <v>45590.0</v>
      </c>
      <c r="H93" s="1">
        <v>1.0</v>
      </c>
      <c r="I93" s="1" t="s">
        <v>43</v>
      </c>
      <c r="J93" s="1" t="s">
        <v>931</v>
      </c>
      <c r="K93" s="1" t="s">
        <v>932</v>
      </c>
      <c r="L93" s="1" t="s">
        <v>46</v>
      </c>
      <c r="M93" s="1">
        <v>143581.0</v>
      </c>
      <c r="N93" s="1" t="s">
        <v>933</v>
      </c>
      <c r="O93" s="1" t="s">
        <v>934</v>
      </c>
      <c r="P93" s="1" t="s">
        <v>589</v>
      </c>
      <c r="Q93" s="1" t="s">
        <v>590</v>
      </c>
      <c r="S93" s="1" t="s">
        <v>935</v>
      </c>
      <c r="T93" s="1" t="s">
        <v>936</v>
      </c>
      <c r="W93" s="1" t="s">
        <v>937</v>
      </c>
      <c r="X93" s="1" t="s">
        <v>593</v>
      </c>
      <c r="Y93" s="1" t="s">
        <v>594</v>
      </c>
      <c r="Z93" s="1" t="s">
        <v>595</v>
      </c>
      <c r="AC93" s="1" t="s">
        <v>938</v>
      </c>
      <c r="AJ93" s="1" t="s">
        <v>939</v>
      </c>
      <c r="AK93" s="1" t="s">
        <v>61</v>
      </c>
      <c r="AL93" s="1">
        <v>7.70179113698E11</v>
      </c>
      <c r="AM93" s="3">
        <v>45590.0</v>
      </c>
      <c r="AN93" s="1">
        <v>1.0</v>
      </c>
    </row>
    <row r="94" ht="15.75" customHeight="1">
      <c r="A94" s="1" t="s">
        <v>940</v>
      </c>
      <c r="B94" s="1" t="s">
        <v>864</v>
      </c>
      <c r="C94" s="1">
        <v>5.02711688663E11</v>
      </c>
      <c r="E94" s="1">
        <v>3.25508100194605E14</v>
      </c>
      <c r="F94" s="1" t="s">
        <v>42</v>
      </c>
      <c r="G94" s="3">
        <v>45755.0</v>
      </c>
      <c r="H94" s="1">
        <v>0.0</v>
      </c>
      <c r="I94" s="1" t="s">
        <v>43</v>
      </c>
      <c r="J94" s="1" t="s">
        <v>941</v>
      </c>
      <c r="K94" s="1" t="s">
        <v>942</v>
      </c>
      <c r="L94" s="1" t="s">
        <v>46</v>
      </c>
      <c r="N94" s="1" t="s">
        <v>407</v>
      </c>
      <c r="O94" s="1" t="s">
        <v>943</v>
      </c>
      <c r="AJ94" s="1" t="s">
        <v>940</v>
      </c>
      <c r="AL94" s="1">
        <v>5.02711688663E11</v>
      </c>
      <c r="AN94" s="1">
        <v>2.0</v>
      </c>
    </row>
    <row r="95" ht="15.75" customHeight="1">
      <c r="A95" s="1" t="s">
        <v>944</v>
      </c>
      <c r="B95" s="1" t="s">
        <v>864</v>
      </c>
      <c r="C95" s="1">
        <v>5.01209793808E11</v>
      </c>
      <c r="E95" s="1">
        <v>3.25508100115131E14</v>
      </c>
      <c r="F95" s="1" t="s">
        <v>42</v>
      </c>
      <c r="G95" s="3">
        <v>45716.0</v>
      </c>
      <c r="H95" s="1">
        <v>0.0</v>
      </c>
      <c r="I95" s="1" t="s">
        <v>43</v>
      </c>
      <c r="J95" s="1" t="s">
        <v>945</v>
      </c>
      <c r="K95" s="1" t="s">
        <v>946</v>
      </c>
      <c r="L95" s="1" t="s">
        <v>46</v>
      </c>
      <c r="N95" s="1" t="s">
        <v>694</v>
      </c>
      <c r="O95" s="1" t="s">
        <v>947</v>
      </c>
      <c r="AJ95" s="1" t="s">
        <v>944</v>
      </c>
      <c r="AL95" s="1">
        <v>5.01209793808E11</v>
      </c>
      <c r="AN95" s="1">
        <v>2.0</v>
      </c>
    </row>
    <row r="96" ht="15.75" customHeight="1">
      <c r="A96" s="1" t="s">
        <v>948</v>
      </c>
      <c r="B96" s="1" t="s">
        <v>864</v>
      </c>
      <c r="C96" s="1">
        <v>5.03609923389E11</v>
      </c>
      <c r="E96" s="1">
        <v>3.22508100298205E14</v>
      </c>
      <c r="F96" s="1" t="s">
        <v>42</v>
      </c>
      <c r="G96" s="3">
        <v>44722.0</v>
      </c>
      <c r="H96" s="1">
        <v>3.0</v>
      </c>
      <c r="I96" s="1" t="s">
        <v>43</v>
      </c>
      <c r="J96" s="1" t="s">
        <v>949</v>
      </c>
      <c r="K96" s="1" t="s">
        <v>950</v>
      </c>
      <c r="L96" s="1" t="s">
        <v>46</v>
      </c>
      <c r="N96" s="1" t="s">
        <v>951</v>
      </c>
      <c r="O96" s="1" t="s">
        <v>952</v>
      </c>
      <c r="AJ96" s="1" t="s">
        <v>948</v>
      </c>
      <c r="AL96" s="1">
        <v>5.03609923389E11</v>
      </c>
      <c r="AN96" s="1">
        <v>2.0</v>
      </c>
    </row>
    <row r="97" ht="15.75" customHeight="1">
      <c r="A97" s="1" t="s">
        <v>953</v>
      </c>
      <c r="B97" s="1" t="s">
        <v>864</v>
      </c>
      <c r="C97" s="1">
        <v>7.80110118213E11</v>
      </c>
      <c r="E97" s="1">
        <v>3.21508100627212E14</v>
      </c>
      <c r="F97" s="1" t="s">
        <v>42</v>
      </c>
      <c r="G97" s="3">
        <v>44540.0</v>
      </c>
      <c r="H97" s="1">
        <v>4.0</v>
      </c>
      <c r="I97" s="1" t="s">
        <v>43</v>
      </c>
      <c r="J97" s="1" t="s">
        <v>954</v>
      </c>
      <c r="K97" s="1" t="s">
        <v>955</v>
      </c>
      <c r="L97" s="1" t="s">
        <v>46</v>
      </c>
      <c r="N97" s="1" t="s">
        <v>956</v>
      </c>
      <c r="O97" s="1" t="s">
        <v>957</v>
      </c>
      <c r="P97" s="1" t="s">
        <v>958</v>
      </c>
      <c r="S97" s="1" t="s">
        <v>959</v>
      </c>
      <c r="W97" s="1" t="s">
        <v>960</v>
      </c>
      <c r="AJ97" s="1" t="s">
        <v>953</v>
      </c>
      <c r="AL97" s="1">
        <v>7.80110118213E11</v>
      </c>
      <c r="AN97" s="1">
        <v>1.0</v>
      </c>
    </row>
    <row r="98" ht="15.75" customHeight="1">
      <c r="A98" s="1" t="s">
        <v>961</v>
      </c>
      <c r="B98" s="1" t="s">
        <v>864</v>
      </c>
      <c r="C98" s="1">
        <v>6.16604560619E11</v>
      </c>
      <c r="E98" s="1">
        <v>3.21508100040455E14</v>
      </c>
      <c r="F98" s="1" t="s">
        <v>42</v>
      </c>
      <c r="G98" s="3">
        <v>44229.0</v>
      </c>
      <c r="H98" s="1">
        <v>5.0</v>
      </c>
      <c r="I98" s="1" t="s">
        <v>43</v>
      </c>
      <c r="J98" s="1" t="s">
        <v>901</v>
      </c>
      <c r="K98" s="1" t="s">
        <v>946</v>
      </c>
      <c r="L98" s="1" t="s">
        <v>46</v>
      </c>
      <c r="N98" s="1" t="s">
        <v>694</v>
      </c>
      <c r="O98" s="1" t="s">
        <v>962</v>
      </c>
      <c r="AJ98" s="1" t="s">
        <v>961</v>
      </c>
      <c r="AL98" s="1">
        <v>6.16604560619E11</v>
      </c>
      <c r="AN98" s="1">
        <v>1.0</v>
      </c>
    </row>
    <row r="99" ht="15.75" customHeight="1">
      <c r="A99" s="1" t="s">
        <v>963</v>
      </c>
      <c r="B99" s="1" t="s">
        <v>41</v>
      </c>
      <c r="C99" s="1">
        <v>5.030085434E9</v>
      </c>
      <c r="D99" s="1">
        <v>5.03001001E8</v>
      </c>
      <c r="E99" s="1">
        <v>1.15503000117E12</v>
      </c>
      <c r="F99" s="1" t="s">
        <v>42</v>
      </c>
      <c r="G99" s="3">
        <v>42131.0</v>
      </c>
      <c r="H99" s="1">
        <v>10.0</v>
      </c>
      <c r="I99" s="1" t="s">
        <v>43</v>
      </c>
      <c r="J99" s="1" t="s">
        <v>426</v>
      </c>
      <c r="K99" s="1" t="s">
        <v>964</v>
      </c>
      <c r="L99" s="1" t="s">
        <v>46</v>
      </c>
      <c r="M99" s="1">
        <v>143330.0</v>
      </c>
      <c r="N99" s="1" t="s">
        <v>965</v>
      </c>
      <c r="O99" s="1" t="s">
        <v>966</v>
      </c>
      <c r="W99" s="1" t="s">
        <v>967</v>
      </c>
      <c r="X99" s="1" t="s">
        <v>968</v>
      </c>
      <c r="Y99" s="1" t="s">
        <v>969</v>
      </c>
      <c r="AC99" s="1" t="s">
        <v>970</v>
      </c>
      <c r="AJ99" s="1" t="s">
        <v>971</v>
      </c>
      <c r="AK99" s="1" t="s">
        <v>61</v>
      </c>
      <c r="AL99" s="1">
        <v>7.71591952872E11</v>
      </c>
      <c r="AM99" s="3">
        <v>42131.0</v>
      </c>
      <c r="AN99" s="1">
        <v>2.0</v>
      </c>
    </row>
    <row r="100" ht="15.75" customHeight="1">
      <c r="A100" s="1" t="s">
        <v>972</v>
      </c>
      <c r="B100" s="1" t="s">
        <v>41</v>
      </c>
      <c r="C100" s="1">
        <v>5.007099358E9</v>
      </c>
      <c r="D100" s="1">
        <v>5.00701001E8</v>
      </c>
      <c r="E100" s="1">
        <v>1.16500705243E12</v>
      </c>
      <c r="F100" s="1" t="s">
        <v>42</v>
      </c>
      <c r="G100" s="3">
        <v>42660.0</v>
      </c>
      <c r="H100" s="1">
        <v>9.0</v>
      </c>
      <c r="I100" s="1" t="s">
        <v>43</v>
      </c>
      <c r="J100" s="1" t="s">
        <v>973</v>
      </c>
      <c r="K100" s="1" t="s">
        <v>974</v>
      </c>
      <c r="L100" s="1" t="s">
        <v>46</v>
      </c>
      <c r="M100" s="1">
        <v>141840.0</v>
      </c>
      <c r="N100" s="1" t="s">
        <v>975</v>
      </c>
      <c r="O100" s="1" t="s">
        <v>976</v>
      </c>
      <c r="P100" s="1" t="s">
        <v>977</v>
      </c>
      <c r="W100" s="1" t="s">
        <v>978</v>
      </c>
      <c r="AC100" s="1" t="s">
        <v>979</v>
      </c>
      <c r="AE100" s="1">
        <v>41.0</v>
      </c>
      <c r="AF100" s="1">
        <v>145.0</v>
      </c>
      <c r="AH100" s="1">
        <v>-2.0</v>
      </c>
      <c r="AI100" s="1">
        <v>-3.0</v>
      </c>
      <c r="AJ100" s="1" t="s">
        <v>980</v>
      </c>
      <c r="AK100" s="1" t="s">
        <v>61</v>
      </c>
      <c r="AL100" s="1">
        <v>5.0070401015E11</v>
      </c>
      <c r="AM100" s="3">
        <v>42660.0</v>
      </c>
      <c r="AN100" s="1">
        <v>2.0</v>
      </c>
    </row>
    <row r="101" ht="15.75" customHeight="1">
      <c r="A101" s="1" t="s">
        <v>981</v>
      </c>
      <c r="B101" s="1" t="s">
        <v>41</v>
      </c>
      <c r="C101" s="1">
        <v>5.050168625E9</v>
      </c>
      <c r="D101" s="1">
        <v>5.05001001E8</v>
      </c>
      <c r="E101" s="1">
        <v>1.255000058994E12</v>
      </c>
      <c r="F101" s="1" t="s">
        <v>42</v>
      </c>
      <c r="G101" s="3">
        <v>45831.0</v>
      </c>
      <c r="H101" s="1">
        <v>0.0</v>
      </c>
      <c r="I101" s="1" t="s">
        <v>43</v>
      </c>
      <c r="J101" s="1" t="s">
        <v>982</v>
      </c>
      <c r="K101" s="1" t="s">
        <v>983</v>
      </c>
      <c r="L101" s="1" t="s">
        <v>46</v>
      </c>
      <c r="M101" s="1">
        <v>141107.0</v>
      </c>
      <c r="N101" s="1" t="s">
        <v>984</v>
      </c>
      <c r="O101" s="1" t="s">
        <v>985</v>
      </c>
      <c r="AC101" s="1" t="s">
        <v>986</v>
      </c>
      <c r="AJ101" s="1" t="s">
        <v>987</v>
      </c>
      <c r="AK101" s="1" t="s">
        <v>61</v>
      </c>
      <c r="AL101" s="1">
        <v>7.7198876748E11</v>
      </c>
      <c r="AM101" s="3">
        <v>45831.0</v>
      </c>
      <c r="AN101" s="1">
        <v>1.0</v>
      </c>
    </row>
    <row r="102" ht="15.75" customHeight="1">
      <c r="A102" s="1" t="s">
        <v>988</v>
      </c>
      <c r="B102" s="1" t="s">
        <v>864</v>
      </c>
      <c r="C102" s="1">
        <v>7.72074372353E11</v>
      </c>
      <c r="E102" s="1">
        <v>3.2550810039212E14</v>
      </c>
      <c r="F102" s="1" t="s">
        <v>42</v>
      </c>
      <c r="G102" s="3">
        <v>45862.0</v>
      </c>
      <c r="H102" s="1">
        <v>0.0</v>
      </c>
      <c r="I102" s="1" t="s">
        <v>43</v>
      </c>
      <c r="J102" s="1" t="s">
        <v>901</v>
      </c>
      <c r="L102" s="1" t="s">
        <v>46</v>
      </c>
      <c r="O102" s="1" t="s">
        <v>989</v>
      </c>
      <c r="W102" s="1" t="s">
        <v>990</v>
      </c>
      <c r="AJ102" s="1" t="s">
        <v>988</v>
      </c>
      <c r="AL102" s="1">
        <v>7.72074372353E11</v>
      </c>
      <c r="AN102" s="1">
        <v>2.0</v>
      </c>
    </row>
    <row r="103" ht="15.75" customHeight="1">
      <c r="A103" s="1" t="s">
        <v>991</v>
      </c>
      <c r="B103" s="1" t="s">
        <v>864</v>
      </c>
      <c r="C103" s="1">
        <v>5.04016109364E11</v>
      </c>
      <c r="E103" s="1">
        <v>3.25508100421021E14</v>
      </c>
      <c r="F103" s="1" t="s">
        <v>42</v>
      </c>
      <c r="G103" s="3">
        <v>45876.0</v>
      </c>
      <c r="H103" s="1">
        <v>0.0</v>
      </c>
      <c r="I103" s="1" t="s">
        <v>43</v>
      </c>
      <c r="J103" s="1" t="s">
        <v>992</v>
      </c>
      <c r="L103" s="1" t="s">
        <v>46</v>
      </c>
      <c r="O103" s="1" t="s">
        <v>993</v>
      </c>
      <c r="W103" s="1" t="s">
        <v>994</v>
      </c>
      <c r="AJ103" s="1" t="s">
        <v>991</v>
      </c>
      <c r="AL103" s="1">
        <v>5.04016109364E11</v>
      </c>
      <c r="AN103" s="1">
        <v>1.0</v>
      </c>
    </row>
    <row r="104" ht="15.75" customHeight="1">
      <c r="A104" s="1" t="s">
        <v>995</v>
      </c>
      <c r="B104" s="1" t="s">
        <v>864</v>
      </c>
      <c r="C104" s="1">
        <v>5.00509968302E11</v>
      </c>
      <c r="E104" s="1">
        <v>3.22508100357812E14</v>
      </c>
      <c r="F104" s="1" t="s">
        <v>42</v>
      </c>
      <c r="G104" s="3">
        <v>44757.0</v>
      </c>
      <c r="H104" s="1">
        <v>3.0</v>
      </c>
      <c r="I104" s="1" t="s">
        <v>43</v>
      </c>
      <c r="J104" s="1" t="s">
        <v>996</v>
      </c>
      <c r="K104" s="1" t="s">
        <v>997</v>
      </c>
      <c r="L104" s="1" t="s">
        <v>46</v>
      </c>
      <c r="N104" s="1" t="s">
        <v>998</v>
      </c>
      <c r="O104" s="1" t="s">
        <v>999</v>
      </c>
      <c r="AJ104" s="1" t="s">
        <v>995</v>
      </c>
      <c r="AL104" s="1">
        <v>5.00509968302E11</v>
      </c>
      <c r="AN104" s="1">
        <v>1.0</v>
      </c>
    </row>
    <row r="105" ht="15.75" customHeight="1">
      <c r="A105" s="1" t="s">
        <v>1000</v>
      </c>
      <c r="B105" s="1" t="s">
        <v>41</v>
      </c>
      <c r="C105" s="1">
        <v>5.07504385E9</v>
      </c>
      <c r="D105" s="1">
        <v>5.07501001E8</v>
      </c>
      <c r="E105" s="1">
        <v>1.25500001175E12</v>
      </c>
      <c r="F105" s="1" t="s">
        <v>42</v>
      </c>
      <c r="G105" s="3">
        <v>45698.0</v>
      </c>
      <c r="H105" s="1">
        <v>1.0</v>
      </c>
      <c r="I105" s="1" t="s">
        <v>43</v>
      </c>
      <c r="J105" s="1" t="s">
        <v>1001</v>
      </c>
      <c r="K105" s="1" t="s">
        <v>1002</v>
      </c>
      <c r="L105" s="1" t="s">
        <v>46</v>
      </c>
      <c r="M105" s="1">
        <v>143132.0</v>
      </c>
      <c r="N105" s="1" t="s">
        <v>1003</v>
      </c>
      <c r="O105" s="1" t="s">
        <v>1004</v>
      </c>
      <c r="S105" s="1" t="s">
        <v>1005</v>
      </c>
      <c r="AC105" s="1" t="s">
        <v>1006</v>
      </c>
      <c r="AJ105" s="1" t="s">
        <v>1007</v>
      </c>
      <c r="AK105" s="1" t="s">
        <v>61</v>
      </c>
      <c r="AL105" s="1">
        <v>7.72809076145E11</v>
      </c>
      <c r="AM105" s="3">
        <v>45698.0</v>
      </c>
      <c r="AN105" s="1">
        <v>1.0</v>
      </c>
    </row>
    <row r="106" ht="15.75" customHeight="1">
      <c r="A106" s="1" t="s">
        <v>1008</v>
      </c>
      <c r="B106" s="1" t="s">
        <v>864</v>
      </c>
      <c r="C106" s="1">
        <v>2.63604657817E11</v>
      </c>
      <c r="E106" s="1">
        <v>3.20508100188089E14</v>
      </c>
      <c r="F106" s="1" t="s">
        <v>42</v>
      </c>
      <c r="G106" s="3">
        <v>44011.0</v>
      </c>
      <c r="H106" s="1">
        <v>5.0</v>
      </c>
      <c r="I106" s="1" t="s">
        <v>43</v>
      </c>
      <c r="J106" s="1" t="s">
        <v>1009</v>
      </c>
      <c r="K106" s="1" t="s">
        <v>1010</v>
      </c>
      <c r="L106" s="1" t="s">
        <v>46</v>
      </c>
      <c r="N106" s="1" t="s">
        <v>1011</v>
      </c>
      <c r="O106" s="1" t="s">
        <v>1012</v>
      </c>
      <c r="AJ106" s="1" t="s">
        <v>1008</v>
      </c>
      <c r="AL106" s="1">
        <v>2.63604657817E11</v>
      </c>
      <c r="AN106" s="1">
        <v>2.0</v>
      </c>
    </row>
    <row r="107" ht="15.75" customHeight="1">
      <c r="A107" s="1" t="s">
        <v>1013</v>
      </c>
      <c r="B107" s="1" t="s">
        <v>864</v>
      </c>
      <c r="C107" s="1">
        <v>2.3090380585E11</v>
      </c>
      <c r="E107" s="1">
        <v>3.2350810060426E14</v>
      </c>
      <c r="F107" s="1" t="s">
        <v>42</v>
      </c>
      <c r="G107" s="3">
        <v>45238.0</v>
      </c>
      <c r="H107" s="1">
        <v>2.0</v>
      </c>
      <c r="I107" s="1" t="s">
        <v>43</v>
      </c>
      <c r="J107" s="1" t="s">
        <v>1014</v>
      </c>
      <c r="K107" s="1" t="s">
        <v>1015</v>
      </c>
      <c r="L107" s="1" t="s">
        <v>46</v>
      </c>
      <c r="N107" s="1" t="s">
        <v>1016</v>
      </c>
      <c r="O107" s="1" t="s">
        <v>1017</v>
      </c>
      <c r="W107" s="1" t="s">
        <v>1018</v>
      </c>
      <c r="AJ107" s="1" t="s">
        <v>1013</v>
      </c>
      <c r="AL107" s="1">
        <v>2.3090380585E11</v>
      </c>
      <c r="AN107" s="1">
        <v>2.0</v>
      </c>
    </row>
    <row r="108" ht="15.75" customHeight="1">
      <c r="A108" s="1" t="s">
        <v>1019</v>
      </c>
      <c r="B108" s="1" t="s">
        <v>864</v>
      </c>
      <c r="C108" s="1">
        <v>5.03610686333E11</v>
      </c>
      <c r="E108" s="1">
        <v>3.2450810070614E14</v>
      </c>
      <c r="F108" s="1" t="s">
        <v>42</v>
      </c>
      <c r="G108" s="3">
        <v>45638.0</v>
      </c>
      <c r="H108" s="1">
        <v>1.0</v>
      </c>
      <c r="I108" s="1" t="s">
        <v>43</v>
      </c>
      <c r="J108" s="1" t="s">
        <v>1020</v>
      </c>
      <c r="K108" s="1" t="s">
        <v>950</v>
      </c>
      <c r="L108" s="1" t="s">
        <v>46</v>
      </c>
      <c r="N108" s="1" t="s">
        <v>951</v>
      </c>
      <c r="O108" s="1" t="s">
        <v>1021</v>
      </c>
      <c r="AJ108" s="1" t="s">
        <v>1019</v>
      </c>
      <c r="AL108" s="1">
        <v>5.03610686333E11</v>
      </c>
      <c r="AN108" s="1">
        <v>2.0</v>
      </c>
    </row>
    <row r="109" ht="15.75" customHeight="1">
      <c r="A109" s="1" t="s">
        <v>1022</v>
      </c>
      <c r="B109" s="1" t="s">
        <v>864</v>
      </c>
      <c r="C109" s="1">
        <v>5.83406269309E11</v>
      </c>
      <c r="E109" s="1">
        <v>3.24508100705838E14</v>
      </c>
      <c r="F109" s="1" t="s">
        <v>42</v>
      </c>
      <c r="G109" s="3">
        <v>45637.0</v>
      </c>
      <c r="H109" s="1">
        <v>1.0</v>
      </c>
      <c r="I109" s="1" t="s">
        <v>43</v>
      </c>
      <c r="J109" s="1" t="s">
        <v>1023</v>
      </c>
      <c r="K109" s="1" t="s">
        <v>1024</v>
      </c>
      <c r="L109" s="1" t="s">
        <v>46</v>
      </c>
      <c r="N109" s="1" t="s">
        <v>1025</v>
      </c>
      <c r="O109" s="1" t="s">
        <v>1026</v>
      </c>
      <c r="AJ109" s="1" t="s">
        <v>1022</v>
      </c>
      <c r="AL109" s="1">
        <v>5.83406269309E11</v>
      </c>
      <c r="AN109" s="1">
        <v>2.0</v>
      </c>
    </row>
    <row r="110" ht="15.75" customHeight="1">
      <c r="A110" s="1" t="s">
        <v>1027</v>
      </c>
      <c r="B110" s="1" t="s">
        <v>215</v>
      </c>
      <c r="C110" s="1">
        <v>5.007040019E9</v>
      </c>
      <c r="D110" s="1">
        <v>5.00701001E8</v>
      </c>
      <c r="E110" s="1">
        <v>1.025001099133E12</v>
      </c>
      <c r="F110" s="1" t="s">
        <v>42</v>
      </c>
      <c r="G110" s="3">
        <v>37435.0</v>
      </c>
      <c r="H110" s="1">
        <v>23.0</v>
      </c>
      <c r="I110" s="1" t="s">
        <v>43</v>
      </c>
      <c r="J110" s="1" t="s">
        <v>1028</v>
      </c>
      <c r="K110" s="1" t="s">
        <v>1029</v>
      </c>
      <c r="L110" s="1" t="s">
        <v>46</v>
      </c>
      <c r="M110" s="1">
        <v>141870.0</v>
      </c>
      <c r="N110" s="1" t="s">
        <v>1030</v>
      </c>
      <c r="O110" s="1" t="s">
        <v>1031</v>
      </c>
      <c r="P110" s="1" t="s">
        <v>1032</v>
      </c>
      <c r="Q110" s="1" t="s">
        <v>1033</v>
      </c>
      <c r="R110" s="1" t="s">
        <v>1034</v>
      </c>
      <c r="S110" s="1" t="s">
        <v>1035</v>
      </c>
      <c r="T110" s="1" t="s">
        <v>1036</v>
      </c>
      <c r="W110" s="1" t="s">
        <v>1037</v>
      </c>
      <c r="X110" s="1" t="s">
        <v>1038</v>
      </c>
      <c r="Y110" s="1" t="s">
        <v>1039</v>
      </c>
      <c r="Z110" s="1" t="s">
        <v>1040</v>
      </c>
      <c r="AF110" s="1">
        <v>1.7456037E7</v>
      </c>
      <c r="AI110" s="1">
        <v>2445878.0</v>
      </c>
      <c r="AJ110" s="1" t="s">
        <v>1041</v>
      </c>
      <c r="AK110" s="1" t="s">
        <v>61</v>
      </c>
      <c r="AL110" s="1">
        <v>2.46008387182E11</v>
      </c>
      <c r="AM110" s="3">
        <v>44652.0</v>
      </c>
      <c r="AN110" s="1">
        <v>1.0</v>
      </c>
    </row>
    <row r="111" ht="15.75" customHeight="1">
      <c r="A111" s="1" t="s">
        <v>1042</v>
      </c>
      <c r="B111" s="1" t="s">
        <v>864</v>
      </c>
      <c r="C111" s="1">
        <v>5.03233935373E11</v>
      </c>
      <c r="E111" s="1">
        <v>3.24508100418494E14</v>
      </c>
      <c r="F111" s="1" t="s">
        <v>42</v>
      </c>
      <c r="G111" s="3">
        <v>45498.0</v>
      </c>
      <c r="H111" s="1">
        <v>1.0</v>
      </c>
      <c r="I111" s="1" t="s">
        <v>43</v>
      </c>
      <c r="J111" s="1" t="s">
        <v>1043</v>
      </c>
      <c r="K111" s="1" t="s">
        <v>1044</v>
      </c>
      <c r="L111" s="1" t="s">
        <v>46</v>
      </c>
      <c r="N111" s="1" t="s">
        <v>1045</v>
      </c>
      <c r="O111" s="1" t="s">
        <v>1046</v>
      </c>
      <c r="AJ111" s="1" t="s">
        <v>1042</v>
      </c>
      <c r="AL111" s="1">
        <v>5.03233935373E11</v>
      </c>
      <c r="AN111" s="1">
        <v>2.0</v>
      </c>
    </row>
    <row r="112" ht="15.75" customHeight="1">
      <c r="A112" s="1" t="s">
        <v>1047</v>
      </c>
      <c r="B112" s="1" t="s">
        <v>864</v>
      </c>
      <c r="C112" s="1">
        <v>4.02716420466E11</v>
      </c>
      <c r="E112" s="1">
        <v>3.25508100620236E14</v>
      </c>
      <c r="F112" s="1" t="s">
        <v>42</v>
      </c>
      <c r="G112" s="3">
        <v>45961.0</v>
      </c>
      <c r="H112" s="1">
        <v>0.0</v>
      </c>
      <c r="I112" s="1" t="s">
        <v>43</v>
      </c>
      <c r="J112" s="1" t="s">
        <v>1048</v>
      </c>
      <c r="L112" s="1" t="s">
        <v>46</v>
      </c>
      <c r="O112" s="1" t="s">
        <v>1049</v>
      </c>
      <c r="AJ112" s="1" t="s">
        <v>1047</v>
      </c>
      <c r="AL112" s="1">
        <v>4.02716420466E11</v>
      </c>
      <c r="AN112" s="1">
        <v>1.0</v>
      </c>
    </row>
    <row r="113" ht="15.75" customHeight="1">
      <c r="A113" s="1" t="s">
        <v>1050</v>
      </c>
      <c r="B113" s="1" t="s">
        <v>864</v>
      </c>
      <c r="C113" s="1">
        <v>5.00721592572E11</v>
      </c>
      <c r="E113" s="1">
        <v>3.2550810063954E14</v>
      </c>
      <c r="F113" s="1" t="s">
        <v>42</v>
      </c>
      <c r="G113" s="3">
        <v>45972.0</v>
      </c>
      <c r="H113" s="1">
        <v>0.0</v>
      </c>
      <c r="I113" s="1" t="s">
        <v>43</v>
      </c>
      <c r="J113" s="1" t="s">
        <v>901</v>
      </c>
      <c r="L113" s="1" t="s">
        <v>46</v>
      </c>
      <c r="O113" s="1" t="s">
        <v>1051</v>
      </c>
      <c r="AJ113" s="1" t="s">
        <v>1050</v>
      </c>
      <c r="AL113" s="1">
        <v>5.00721592572E11</v>
      </c>
      <c r="AN113" s="1">
        <v>1.0</v>
      </c>
    </row>
    <row r="114" ht="15.75" customHeight="1">
      <c r="A114" s="1" t="s">
        <v>1052</v>
      </c>
      <c r="B114" s="1" t="s">
        <v>41</v>
      </c>
      <c r="C114" s="1">
        <v>5.007123603E9</v>
      </c>
      <c r="D114" s="1">
        <v>5.00701001E8</v>
      </c>
      <c r="E114" s="1">
        <v>1.245000088959E12</v>
      </c>
      <c r="F114" s="1" t="s">
        <v>42</v>
      </c>
      <c r="G114" s="3">
        <v>45510.0</v>
      </c>
      <c r="H114" s="1">
        <v>1.0</v>
      </c>
      <c r="I114" s="1" t="s">
        <v>43</v>
      </c>
      <c r="J114" s="1" t="s">
        <v>1053</v>
      </c>
      <c r="K114" s="1" t="s">
        <v>1054</v>
      </c>
      <c r="L114" s="1" t="s">
        <v>46</v>
      </c>
      <c r="M114" s="1">
        <v>141804.0</v>
      </c>
      <c r="N114" s="1" t="s">
        <v>82</v>
      </c>
      <c r="O114" s="1" t="s">
        <v>1055</v>
      </c>
      <c r="W114" s="1" t="s">
        <v>1056</v>
      </c>
      <c r="AC114" s="1" t="s">
        <v>1057</v>
      </c>
      <c r="AJ114" s="1" t="s">
        <v>1058</v>
      </c>
      <c r="AK114" s="1" t="s">
        <v>61</v>
      </c>
      <c r="AL114" s="1">
        <v>5.02920679327E11</v>
      </c>
      <c r="AM114" s="3">
        <v>45510.0</v>
      </c>
      <c r="AN114" s="1">
        <v>2.0</v>
      </c>
    </row>
    <row r="115" ht="15.75" customHeight="1">
      <c r="A115" s="1" t="s">
        <v>1059</v>
      </c>
      <c r="B115" s="1" t="s">
        <v>864</v>
      </c>
      <c r="C115" s="1">
        <v>5.71502794371E11</v>
      </c>
      <c r="E115" s="1">
        <v>3.2350810036152E14</v>
      </c>
      <c r="F115" s="1" t="s">
        <v>42</v>
      </c>
      <c r="G115" s="3">
        <v>45114.0</v>
      </c>
      <c r="H115" s="1">
        <v>2.0</v>
      </c>
      <c r="I115" s="1" t="s">
        <v>43</v>
      </c>
      <c r="J115" s="1" t="s">
        <v>1060</v>
      </c>
      <c r="K115" s="1" t="s">
        <v>1061</v>
      </c>
      <c r="L115" s="1" t="s">
        <v>46</v>
      </c>
      <c r="N115" s="1" t="s">
        <v>1062</v>
      </c>
      <c r="O115" s="1" t="s">
        <v>1063</v>
      </c>
      <c r="P115" s="1" t="s">
        <v>1064</v>
      </c>
      <c r="W115" s="1" t="s">
        <v>1065</v>
      </c>
      <c r="AJ115" s="1" t="s">
        <v>1059</v>
      </c>
      <c r="AL115" s="1">
        <v>5.71502794371E11</v>
      </c>
      <c r="AN115" s="1">
        <v>2.0</v>
      </c>
    </row>
    <row r="116" ht="15.75" customHeight="1">
      <c r="A116" s="1" t="s">
        <v>1066</v>
      </c>
      <c r="B116" s="1" t="s">
        <v>864</v>
      </c>
      <c r="C116" s="1">
        <v>6.8320976355E11</v>
      </c>
      <c r="E116" s="1">
        <v>3.23508100394094E14</v>
      </c>
      <c r="F116" s="1" t="s">
        <v>42</v>
      </c>
      <c r="G116" s="3">
        <v>45133.0</v>
      </c>
      <c r="H116" s="1">
        <v>2.0</v>
      </c>
      <c r="I116" s="1" t="s">
        <v>43</v>
      </c>
      <c r="J116" s="1" t="s">
        <v>1067</v>
      </c>
      <c r="K116" s="1" t="s">
        <v>1068</v>
      </c>
      <c r="L116" s="1" t="s">
        <v>46</v>
      </c>
      <c r="N116" s="1" t="s">
        <v>1069</v>
      </c>
      <c r="O116" s="1" t="s">
        <v>1070</v>
      </c>
      <c r="AJ116" s="1" t="s">
        <v>1066</v>
      </c>
      <c r="AL116" s="1">
        <v>6.8320976355E11</v>
      </c>
      <c r="AN116" s="1">
        <v>1.0</v>
      </c>
    </row>
    <row r="117" ht="15.75" customHeight="1">
      <c r="A117" s="1" t="s">
        <v>1071</v>
      </c>
      <c r="B117" s="1" t="s">
        <v>864</v>
      </c>
      <c r="C117" s="1">
        <v>5.0070401015E11</v>
      </c>
      <c r="E117" s="1">
        <v>3.22508100611951E14</v>
      </c>
      <c r="F117" s="1" t="s">
        <v>42</v>
      </c>
      <c r="G117" s="3">
        <v>44903.0</v>
      </c>
      <c r="H117" s="1">
        <v>3.0</v>
      </c>
      <c r="I117" s="1" t="s">
        <v>43</v>
      </c>
      <c r="J117" s="1" t="s">
        <v>1072</v>
      </c>
      <c r="K117" s="1" t="s">
        <v>1073</v>
      </c>
      <c r="L117" s="1" t="s">
        <v>46</v>
      </c>
      <c r="N117" s="1" t="s">
        <v>975</v>
      </c>
      <c r="O117" s="1" t="s">
        <v>977</v>
      </c>
      <c r="AJ117" s="1" t="s">
        <v>1071</v>
      </c>
      <c r="AL117" s="1">
        <v>5.0070401015E11</v>
      </c>
      <c r="AN117" s="1">
        <v>2.0</v>
      </c>
    </row>
    <row r="118" ht="15.75" customHeight="1">
      <c r="A118" s="1" t="s">
        <v>1074</v>
      </c>
      <c r="B118" s="1" t="s">
        <v>864</v>
      </c>
      <c r="C118" s="1">
        <v>7.71601523057E11</v>
      </c>
      <c r="E118" s="1">
        <v>3.2050810043977E14</v>
      </c>
      <c r="F118" s="1" t="s">
        <v>42</v>
      </c>
      <c r="G118" s="3">
        <v>44194.0</v>
      </c>
      <c r="H118" s="1">
        <v>5.0</v>
      </c>
      <c r="I118" s="1" t="s">
        <v>43</v>
      </c>
      <c r="J118" s="1" t="s">
        <v>1075</v>
      </c>
      <c r="K118" s="1" t="s">
        <v>902</v>
      </c>
      <c r="L118" s="1" t="s">
        <v>46</v>
      </c>
      <c r="N118" s="1" t="s">
        <v>82</v>
      </c>
      <c r="O118" s="1" t="s">
        <v>1076</v>
      </c>
      <c r="AJ118" s="1" t="s">
        <v>1074</v>
      </c>
      <c r="AL118" s="1">
        <v>7.71601523057E11</v>
      </c>
      <c r="AN118" s="1">
        <v>1.0</v>
      </c>
    </row>
    <row r="119" ht="15.75" customHeight="1">
      <c r="A119" s="1" t="s">
        <v>1077</v>
      </c>
      <c r="B119" s="1" t="s">
        <v>864</v>
      </c>
      <c r="C119" s="1">
        <v>1.32404547933E11</v>
      </c>
      <c r="E119" s="1">
        <v>3.23508100548523E14</v>
      </c>
      <c r="F119" s="1" t="s">
        <v>42</v>
      </c>
      <c r="G119" s="3">
        <v>45210.0</v>
      </c>
      <c r="H119" s="1">
        <v>2.0</v>
      </c>
      <c r="I119" s="1" t="s">
        <v>43</v>
      </c>
      <c r="J119" s="1" t="s">
        <v>1078</v>
      </c>
      <c r="K119" s="1" t="s">
        <v>1079</v>
      </c>
      <c r="L119" s="1" t="s">
        <v>46</v>
      </c>
      <c r="N119" s="1" t="s">
        <v>926</v>
      </c>
      <c r="O119" s="1" t="s">
        <v>1080</v>
      </c>
      <c r="AJ119" s="1" t="s">
        <v>1077</v>
      </c>
      <c r="AL119" s="1">
        <v>1.32404547933E11</v>
      </c>
      <c r="AN119" s="1">
        <v>1.0</v>
      </c>
    </row>
    <row r="120" ht="15.75" customHeight="1">
      <c r="A120" s="1" t="s">
        <v>1081</v>
      </c>
      <c r="B120" s="1" t="s">
        <v>864</v>
      </c>
      <c r="C120" s="1">
        <v>7.72484728885E11</v>
      </c>
      <c r="E120" s="1">
        <v>3.23508100478649E14</v>
      </c>
      <c r="F120" s="1" t="s">
        <v>42</v>
      </c>
      <c r="G120" s="3">
        <v>45177.0</v>
      </c>
      <c r="H120" s="1">
        <v>2.0</v>
      </c>
      <c r="I120" s="1" t="s">
        <v>43</v>
      </c>
      <c r="J120" s="1" t="s">
        <v>1082</v>
      </c>
      <c r="K120" s="1" t="s">
        <v>1083</v>
      </c>
      <c r="L120" s="1" t="s">
        <v>46</v>
      </c>
      <c r="N120" s="1" t="s">
        <v>446</v>
      </c>
      <c r="O120" s="1" t="s">
        <v>1084</v>
      </c>
      <c r="AJ120" s="1" t="s">
        <v>1081</v>
      </c>
      <c r="AL120" s="1">
        <v>7.72484728885E11</v>
      </c>
      <c r="AN120" s="1">
        <v>1.0</v>
      </c>
    </row>
    <row r="121" ht="15.75" customHeight="1">
      <c r="A121" s="1" t="s">
        <v>1085</v>
      </c>
      <c r="B121" s="1" t="s">
        <v>864</v>
      </c>
      <c r="C121" s="1">
        <v>5.03100295237E11</v>
      </c>
      <c r="E121" s="1">
        <v>3.23508100529836E14</v>
      </c>
      <c r="F121" s="1" t="s">
        <v>42</v>
      </c>
      <c r="G121" s="3">
        <v>45202.0</v>
      </c>
      <c r="H121" s="1">
        <v>2.0</v>
      </c>
      <c r="I121" s="1" t="s">
        <v>43</v>
      </c>
      <c r="J121" s="1" t="s">
        <v>1086</v>
      </c>
      <c r="K121" s="1" t="s">
        <v>1087</v>
      </c>
      <c r="L121" s="1" t="s">
        <v>46</v>
      </c>
      <c r="N121" s="1" t="s">
        <v>1088</v>
      </c>
      <c r="O121" s="1" t="s">
        <v>1089</v>
      </c>
      <c r="AJ121" s="1" t="s">
        <v>1085</v>
      </c>
      <c r="AL121" s="1">
        <v>5.03100295237E11</v>
      </c>
      <c r="AN121" s="1">
        <v>2.0</v>
      </c>
    </row>
    <row r="122" ht="15.75" customHeight="1">
      <c r="A122" s="1" t="s">
        <v>1090</v>
      </c>
      <c r="B122" s="1" t="s">
        <v>864</v>
      </c>
      <c r="C122" s="1">
        <v>5.04721008293E11</v>
      </c>
      <c r="E122" s="1">
        <v>3.23508100705184E14</v>
      </c>
      <c r="F122" s="1" t="s">
        <v>42</v>
      </c>
      <c r="G122" s="3">
        <v>45287.0</v>
      </c>
      <c r="H122" s="1">
        <v>2.0</v>
      </c>
      <c r="I122" s="1" t="s">
        <v>43</v>
      </c>
      <c r="J122" s="1" t="s">
        <v>1091</v>
      </c>
      <c r="K122" s="1" t="s">
        <v>1092</v>
      </c>
      <c r="L122" s="1" t="s">
        <v>46</v>
      </c>
      <c r="N122" s="1" t="s">
        <v>1093</v>
      </c>
      <c r="O122" s="1" t="s">
        <v>1094</v>
      </c>
      <c r="P122" s="1" t="s">
        <v>1095</v>
      </c>
      <c r="Q122" s="1" t="s">
        <v>1096</v>
      </c>
      <c r="W122" s="1" t="s">
        <v>1097</v>
      </c>
      <c r="AJ122" s="1" t="s">
        <v>1090</v>
      </c>
      <c r="AL122" s="1">
        <v>5.04721008293E11</v>
      </c>
      <c r="AN122" s="1">
        <v>1.0</v>
      </c>
    </row>
    <row r="123" ht="15.75" customHeight="1">
      <c r="A123" s="1" t="s">
        <v>1098</v>
      </c>
      <c r="B123" s="1" t="s">
        <v>864</v>
      </c>
      <c r="C123" s="1">
        <v>5.02402044333E11</v>
      </c>
      <c r="E123" s="1">
        <v>3.23508100406336E14</v>
      </c>
      <c r="F123" s="1" t="s">
        <v>42</v>
      </c>
      <c r="G123" s="3">
        <v>45140.0</v>
      </c>
      <c r="H123" s="1">
        <v>2.0</v>
      </c>
      <c r="I123" s="1" t="s">
        <v>43</v>
      </c>
      <c r="J123" s="1" t="s">
        <v>1099</v>
      </c>
      <c r="K123" s="1" t="s">
        <v>880</v>
      </c>
      <c r="L123" s="1" t="s">
        <v>46</v>
      </c>
      <c r="N123" s="1" t="s">
        <v>657</v>
      </c>
      <c r="O123" s="1" t="s">
        <v>1100</v>
      </c>
      <c r="P123" s="1" t="s">
        <v>1101</v>
      </c>
      <c r="W123" s="1" t="s">
        <v>1102</v>
      </c>
      <c r="AJ123" s="1" t="s">
        <v>1098</v>
      </c>
      <c r="AL123" s="1">
        <v>5.02402044333E11</v>
      </c>
      <c r="AN123" s="1">
        <v>1.0</v>
      </c>
    </row>
    <row r="124" ht="15.75" customHeight="1">
      <c r="A124" s="1" t="s">
        <v>1103</v>
      </c>
      <c r="B124" s="1" t="s">
        <v>864</v>
      </c>
      <c r="C124" s="1">
        <v>5.0271752775E11</v>
      </c>
      <c r="E124" s="1">
        <v>3.21508100153403E14</v>
      </c>
      <c r="F124" s="1" t="s">
        <v>42</v>
      </c>
      <c r="G124" s="3">
        <v>44286.0</v>
      </c>
      <c r="H124" s="1">
        <v>4.0</v>
      </c>
      <c r="I124" s="1" t="s">
        <v>43</v>
      </c>
      <c r="J124" s="1" t="s">
        <v>1104</v>
      </c>
      <c r="K124" s="1" t="s">
        <v>1105</v>
      </c>
      <c r="L124" s="1" t="s">
        <v>46</v>
      </c>
      <c r="N124" s="1" t="s">
        <v>1106</v>
      </c>
      <c r="O124" s="1" t="s">
        <v>1107</v>
      </c>
      <c r="P124" s="1" t="s">
        <v>1108</v>
      </c>
      <c r="Q124" s="1" t="s">
        <v>1109</v>
      </c>
      <c r="W124" s="1" t="s">
        <v>1110</v>
      </c>
      <c r="AJ124" s="1" t="s">
        <v>1103</v>
      </c>
      <c r="AL124" s="1">
        <v>5.0271752775E11</v>
      </c>
      <c r="AN124" s="1">
        <v>1.0</v>
      </c>
    </row>
    <row r="125" ht="15.75" customHeight="1">
      <c r="A125" s="1" t="s">
        <v>1111</v>
      </c>
      <c r="B125" s="1" t="s">
        <v>864</v>
      </c>
      <c r="C125" s="1">
        <v>5.01305679706E11</v>
      </c>
      <c r="E125" s="1">
        <v>3.24508100089237E14</v>
      </c>
      <c r="F125" s="1" t="s">
        <v>42</v>
      </c>
      <c r="G125" s="3">
        <v>45337.0</v>
      </c>
      <c r="H125" s="1">
        <v>2.0</v>
      </c>
      <c r="I125" s="1" t="s">
        <v>43</v>
      </c>
      <c r="J125" s="1" t="s">
        <v>1112</v>
      </c>
      <c r="K125" s="1" t="s">
        <v>1113</v>
      </c>
      <c r="L125" s="1" t="s">
        <v>46</v>
      </c>
      <c r="N125" s="1" t="s">
        <v>1114</v>
      </c>
      <c r="O125" s="1" t="s">
        <v>1115</v>
      </c>
      <c r="W125" s="1" t="s">
        <v>1116</v>
      </c>
      <c r="AJ125" s="1" t="s">
        <v>1111</v>
      </c>
      <c r="AL125" s="1">
        <v>5.01305679706E11</v>
      </c>
      <c r="AN125" s="1">
        <v>1.0</v>
      </c>
    </row>
    <row r="126" ht="15.75" customHeight="1">
      <c r="A126" s="1" t="s">
        <v>1117</v>
      </c>
      <c r="B126" s="1" t="s">
        <v>864</v>
      </c>
      <c r="C126" s="1">
        <v>5.07702008367E11</v>
      </c>
      <c r="E126" s="1">
        <v>3.25508100193349E14</v>
      </c>
      <c r="F126" s="1" t="s">
        <v>42</v>
      </c>
      <c r="G126" s="3">
        <v>45755.0</v>
      </c>
      <c r="H126" s="1">
        <v>0.0</v>
      </c>
      <c r="I126" s="1" t="s">
        <v>43</v>
      </c>
      <c r="J126" s="1" t="s">
        <v>1118</v>
      </c>
      <c r="K126" s="1" t="s">
        <v>866</v>
      </c>
      <c r="L126" s="1" t="s">
        <v>46</v>
      </c>
      <c r="N126" s="1" t="s">
        <v>867</v>
      </c>
      <c r="O126" s="1" t="s">
        <v>1119</v>
      </c>
      <c r="AJ126" s="1" t="s">
        <v>1117</v>
      </c>
      <c r="AL126" s="1">
        <v>5.07702008367E11</v>
      </c>
      <c r="AN126" s="1">
        <v>2.0</v>
      </c>
    </row>
    <row r="127" ht="15.75" customHeight="1">
      <c r="A127" s="1" t="s">
        <v>1120</v>
      </c>
      <c r="B127" s="1" t="s">
        <v>41</v>
      </c>
      <c r="C127" s="1">
        <v>5.02927989E9</v>
      </c>
      <c r="D127" s="1">
        <v>5.02901001E8</v>
      </c>
      <c r="E127" s="1">
        <v>1.23500012306E12</v>
      </c>
      <c r="F127" s="1" t="s">
        <v>747</v>
      </c>
      <c r="G127" s="3">
        <v>45201.0</v>
      </c>
      <c r="H127" s="1">
        <v>2.0</v>
      </c>
      <c r="I127" s="1" t="s">
        <v>43</v>
      </c>
      <c r="J127" s="1" t="s">
        <v>1121</v>
      </c>
      <c r="K127" s="1" t="s">
        <v>1122</v>
      </c>
      <c r="L127" s="1" t="s">
        <v>46</v>
      </c>
      <c r="M127" s="1">
        <v>141031.0</v>
      </c>
      <c r="N127" s="1" t="s">
        <v>623</v>
      </c>
      <c r="O127" s="1" t="s">
        <v>1123</v>
      </c>
      <c r="W127" s="1" t="s">
        <v>1124</v>
      </c>
      <c r="AC127" s="1" t="s">
        <v>1125</v>
      </c>
      <c r="AJ127" s="1" t="s">
        <v>1126</v>
      </c>
      <c r="AK127" s="1" t="s">
        <v>61</v>
      </c>
      <c r="AL127" s="1">
        <v>5.01811312768E11</v>
      </c>
      <c r="AM127" s="3">
        <v>45201.0</v>
      </c>
      <c r="AN127" s="1">
        <v>1.0</v>
      </c>
    </row>
    <row r="128" ht="15.75" customHeight="1">
      <c r="A128" s="1" t="s">
        <v>1127</v>
      </c>
      <c r="B128" s="1" t="s">
        <v>41</v>
      </c>
      <c r="C128" s="1">
        <v>5.07408019E9</v>
      </c>
      <c r="D128" s="1">
        <v>5.07401001E8</v>
      </c>
      <c r="E128" s="1">
        <v>1.235000021717E12</v>
      </c>
      <c r="F128" s="1" t="s">
        <v>42</v>
      </c>
      <c r="G128" s="3">
        <v>44979.0</v>
      </c>
      <c r="H128" s="1">
        <v>2.0</v>
      </c>
      <c r="I128" s="1" t="s">
        <v>43</v>
      </c>
      <c r="J128" s="1" t="s">
        <v>1128</v>
      </c>
      <c r="K128" s="1" t="s">
        <v>1129</v>
      </c>
      <c r="L128" s="1" t="s">
        <v>46</v>
      </c>
      <c r="M128" s="1">
        <v>142105.0</v>
      </c>
      <c r="N128" s="1" t="s">
        <v>914</v>
      </c>
      <c r="O128" s="1" t="s">
        <v>1130</v>
      </c>
      <c r="W128" s="1" t="s">
        <v>1131</v>
      </c>
      <c r="AC128" s="1" t="s">
        <v>1132</v>
      </c>
      <c r="AJ128" s="1" t="s">
        <v>1019</v>
      </c>
      <c r="AK128" s="1" t="s">
        <v>61</v>
      </c>
      <c r="AL128" s="1">
        <v>5.03610686333E11</v>
      </c>
      <c r="AM128" s="3">
        <v>44979.0</v>
      </c>
      <c r="AN128" s="1">
        <v>2.0</v>
      </c>
    </row>
    <row r="129" ht="15.75" customHeight="1">
      <c r="A129" s="1" t="s">
        <v>1133</v>
      </c>
      <c r="B129" s="1" t="s">
        <v>41</v>
      </c>
      <c r="C129" s="1">
        <v>5.03405888E9</v>
      </c>
      <c r="D129" s="1">
        <v>5.03401001E8</v>
      </c>
      <c r="E129" s="1">
        <v>1.205000049869E12</v>
      </c>
      <c r="F129" s="1" t="s">
        <v>717</v>
      </c>
      <c r="G129" s="3">
        <v>44006.0</v>
      </c>
      <c r="H129" s="1">
        <v>5.0</v>
      </c>
      <c r="I129" s="1" t="s">
        <v>43</v>
      </c>
      <c r="J129" s="1" t="s">
        <v>1134</v>
      </c>
      <c r="K129" s="1" t="s">
        <v>1135</v>
      </c>
      <c r="L129" s="1" t="s">
        <v>46</v>
      </c>
      <c r="M129" s="1">
        <v>142664.0</v>
      </c>
      <c r="N129" s="1" t="s">
        <v>1136</v>
      </c>
      <c r="O129" s="1" t="s">
        <v>1137</v>
      </c>
      <c r="P129" s="1" t="s">
        <v>1138</v>
      </c>
      <c r="W129" s="1" t="s">
        <v>1139</v>
      </c>
      <c r="X129" s="1" t="s">
        <v>1140</v>
      </c>
      <c r="AC129" s="1" t="s">
        <v>1141</v>
      </c>
      <c r="AE129" s="1">
        <v>37064.0</v>
      </c>
      <c r="AF129" s="1">
        <v>94683.0</v>
      </c>
      <c r="AH129" s="1">
        <v>-6127.0</v>
      </c>
      <c r="AI129" s="1">
        <v>15623.0</v>
      </c>
      <c r="AJ129" s="1" t="s">
        <v>1142</v>
      </c>
      <c r="AK129" s="1" t="s">
        <v>728</v>
      </c>
      <c r="AL129" s="1">
        <v>6.1510309928E11</v>
      </c>
      <c r="AM129" s="3">
        <v>45718.0</v>
      </c>
      <c r="AN129" s="1">
        <v>2.0</v>
      </c>
    </row>
    <row r="130" ht="15.75" customHeight="1">
      <c r="A130" s="1" t="s">
        <v>1143</v>
      </c>
      <c r="B130" s="1" t="s">
        <v>864</v>
      </c>
      <c r="C130" s="1">
        <v>5.052053952E11</v>
      </c>
      <c r="E130" s="1">
        <v>3.225081006004E14</v>
      </c>
      <c r="F130" s="1" t="s">
        <v>42</v>
      </c>
      <c r="G130" s="3">
        <v>44896.0</v>
      </c>
      <c r="H130" s="1">
        <v>3.0</v>
      </c>
      <c r="I130" s="1" t="s">
        <v>43</v>
      </c>
      <c r="J130" s="1" t="s">
        <v>982</v>
      </c>
      <c r="K130" s="1" t="s">
        <v>1144</v>
      </c>
      <c r="L130" s="1" t="s">
        <v>46</v>
      </c>
      <c r="O130" s="1" t="s">
        <v>1145</v>
      </c>
      <c r="P130" s="1" t="s">
        <v>1146</v>
      </c>
      <c r="W130" s="1" t="s">
        <v>1147</v>
      </c>
      <c r="AJ130" s="1" t="s">
        <v>1143</v>
      </c>
      <c r="AL130" s="1">
        <v>5.052053952E11</v>
      </c>
      <c r="AN130" s="1">
        <v>2.0</v>
      </c>
    </row>
    <row r="131" ht="15.75" customHeight="1">
      <c r="A131" s="1" t="s">
        <v>1148</v>
      </c>
      <c r="B131" s="1" t="s">
        <v>864</v>
      </c>
      <c r="C131" s="1">
        <v>5.04314431369E11</v>
      </c>
      <c r="E131" s="1">
        <v>3.22508100409648E14</v>
      </c>
      <c r="F131" s="1" t="s">
        <v>42</v>
      </c>
      <c r="G131" s="3">
        <v>44788.0</v>
      </c>
      <c r="H131" s="1">
        <v>3.0</v>
      </c>
      <c r="I131" s="1" t="s">
        <v>43</v>
      </c>
      <c r="J131" s="1" t="s">
        <v>1149</v>
      </c>
      <c r="K131" s="1" t="s">
        <v>1150</v>
      </c>
      <c r="L131" s="1" t="s">
        <v>46</v>
      </c>
      <c r="N131" s="1" t="s">
        <v>1151</v>
      </c>
      <c r="O131" s="1" t="s">
        <v>1152</v>
      </c>
      <c r="P131" s="1" t="s">
        <v>1153</v>
      </c>
      <c r="W131" s="1" t="s">
        <v>1154</v>
      </c>
      <c r="AJ131" s="1" t="s">
        <v>1148</v>
      </c>
      <c r="AL131" s="1">
        <v>5.04314431369E11</v>
      </c>
      <c r="AN131" s="1">
        <v>2.0</v>
      </c>
    </row>
    <row r="132" ht="15.75" customHeight="1">
      <c r="A132" s="1" t="s">
        <v>1155</v>
      </c>
      <c r="B132" s="1" t="s">
        <v>864</v>
      </c>
      <c r="C132" s="1">
        <v>5.26022515829E11</v>
      </c>
      <c r="E132" s="1">
        <v>3.2150810042504E14</v>
      </c>
      <c r="F132" s="1" t="s">
        <v>42</v>
      </c>
      <c r="G132" s="3">
        <v>44441.0</v>
      </c>
      <c r="H132" s="1">
        <v>4.0</v>
      </c>
      <c r="I132" s="1" t="s">
        <v>43</v>
      </c>
      <c r="J132" s="1" t="s">
        <v>1156</v>
      </c>
      <c r="K132" s="1" t="s">
        <v>1157</v>
      </c>
      <c r="L132" s="1" t="s">
        <v>121</v>
      </c>
      <c r="O132" s="1" t="s">
        <v>1158</v>
      </c>
      <c r="AJ132" s="1" t="s">
        <v>1155</v>
      </c>
      <c r="AL132" s="1">
        <v>5.26022515829E11</v>
      </c>
      <c r="AN132" s="1">
        <v>2.0</v>
      </c>
    </row>
    <row r="133" ht="15.75" customHeight="1">
      <c r="A133" s="1" t="s">
        <v>1159</v>
      </c>
      <c r="B133" s="1" t="s">
        <v>864</v>
      </c>
      <c r="C133" s="1">
        <v>7.71544394204E11</v>
      </c>
      <c r="E133" s="1">
        <v>3.18774600591504E14</v>
      </c>
      <c r="F133" s="1" t="s">
        <v>42</v>
      </c>
      <c r="G133" s="3">
        <v>43403.0</v>
      </c>
      <c r="H133" s="1">
        <v>7.0</v>
      </c>
      <c r="I133" s="1" t="s">
        <v>43</v>
      </c>
      <c r="J133" s="1" t="s">
        <v>1160</v>
      </c>
      <c r="K133" s="1" t="s">
        <v>1161</v>
      </c>
      <c r="L133" s="1" t="s">
        <v>121</v>
      </c>
      <c r="O133" s="1" t="s">
        <v>1162</v>
      </c>
      <c r="AJ133" s="1" t="s">
        <v>1159</v>
      </c>
      <c r="AL133" s="1">
        <v>7.71544394204E11</v>
      </c>
      <c r="AN133" s="1">
        <v>2.0</v>
      </c>
    </row>
    <row r="134" ht="15.75" customHeight="1">
      <c r="A134" s="1" t="s">
        <v>1163</v>
      </c>
      <c r="B134" s="1" t="s">
        <v>41</v>
      </c>
      <c r="C134" s="1">
        <v>7.733474477E9</v>
      </c>
      <c r="D134" s="1">
        <v>7.73301001E8</v>
      </c>
      <c r="E134" s="1">
        <v>1.257700386382E12</v>
      </c>
      <c r="F134" s="1" t="s">
        <v>42</v>
      </c>
      <c r="G134" s="3">
        <v>45898.0</v>
      </c>
      <c r="H134" s="1">
        <v>0.0</v>
      </c>
      <c r="I134" s="1" t="s">
        <v>43</v>
      </c>
      <c r="J134" s="1" t="s">
        <v>1164</v>
      </c>
      <c r="K134" s="1" t="s">
        <v>1165</v>
      </c>
      <c r="L134" s="1" t="s">
        <v>121</v>
      </c>
      <c r="M134" s="1">
        <v>125362.0</v>
      </c>
      <c r="N134" s="1" t="s">
        <v>121</v>
      </c>
      <c r="O134" s="1" t="s">
        <v>1166</v>
      </c>
      <c r="P134" s="1" t="s">
        <v>1167</v>
      </c>
      <c r="AC134" s="1" t="s">
        <v>1168</v>
      </c>
      <c r="AJ134" s="1" t="s">
        <v>1169</v>
      </c>
      <c r="AK134" s="1" t="s">
        <v>61</v>
      </c>
      <c r="AL134" s="1">
        <v>5.02240136965E11</v>
      </c>
      <c r="AM134" s="3">
        <v>45898.0</v>
      </c>
      <c r="AN134" s="1">
        <v>1.0</v>
      </c>
    </row>
    <row r="135" ht="15.75" customHeight="1">
      <c r="A135" s="1" t="s">
        <v>1170</v>
      </c>
      <c r="B135" s="1" t="s">
        <v>41</v>
      </c>
      <c r="C135" s="1">
        <v>7.71625549E9</v>
      </c>
      <c r="D135" s="1">
        <v>7.71601001E8</v>
      </c>
      <c r="E135" s="1">
        <v>1.257700511727E12</v>
      </c>
      <c r="F135" s="1" t="s">
        <v>42</v>
      </c>
      <c r="G135" s="3">
        <v>45981.0</v>
      </c>
      <c r="H135" s="1">
        <v>0.0</v>
      </c>
      <c r="I135" s="1" t="s">
        <v>43</v>
      </c>
      <c r="J135" s="1" t="s">
        <v>1171</v>
      </c>
      <c r="K135" s="1" t="s">
        <v>1172</v>
      </c>
      <c r="L135" s="1" t="s">
        <v>121</v>
      </c>
      <c r="M135" s="1">
        <v>129344.0</v>
      </c>
      <c r="N135" s="1" t="s">
        <v>121</v>
      </c>
      <c r="O135" s="1" t="s">
        <v>1173</v>
      </c>
      <c r="AC135" s="1" t="s">
        <v>1174</v>
      </c>
      <c r="AJ135" s="1" t="s">
        <v>1175</v>
      </c>
      <c r="AK135" s="1" t="s">
        <v>61</v>
      </c>
      <c r="AL135" s="1">
        <v>2.8080325383E11</v>
      </c>
      <c r="AM135" s="3">
        <v>45981.0</v>
      </c>
      <c r="AN135" s="1">
        <v>1.0</v>
      </c>
    </row>
    <row r="136" ht="15.75" customHeight="1">
      <c r="A136" s="1" t="s">
        <v>1176</v>
      </c>
      <c r="B136" s="1" t="s">
        <v>864</v>
      </c>
      <c r="C136" s="1">
        <v>2.46318686707E11</v>
      </c>
      <c r="E136" s="1">
        <v>3.25774600896204E14</v>
      </c>
      <c r="F136" s="1" t="s">
        <v>42</v>
      </c>
      <c r="G136" s="3">
        <v>46010.0</v>
      </c>
      <c r="H136" s="1">
        <v>0.0</v>
      </c>
      <c r="I136" s="1" t="s">
        <v>43</v>
      </c>
      <c r="J136" s="1" t="s">
        <v>1009</v>
      </c>
      <c r="L136" s="1" t="s">
        <v>121</v>
      </c>
      <c r="O136" s="1" t="s">
        <v>1177</v>
      </c>
      <c r="AJ136" s="1" t="s">
        <v>1176</v>
      </c>
      <c r="AL136" s="1">
        <v>2.46318686707E11</v>
      </c>
      <c r="AN136" s="1">
        <v>1.0</v>
      </c>
    </row>
    <row r="137" ht="15.75" customHeight="1">
      <c r="A137" s="1" t="s">
        <v>1178</v>
      </c>
      <c r="B137" s="1" t="s">
        <v>864</v>
      </c>
      <c r="C137" s="1">
        <v>7.71819244573E11</v>
      </c>
      <c r="E137" s="1">
        <v>3.19774600277611E14</v>
      </c>
      <c r="F137" s="1" t="s">
        <v>42</v>
      </c>
      <c r="G137" s="3">
        <v>43585.0</v>
      </c>
      <c r="H137" s="1">
        <v>6.0</v>
      </c>
      <c r="I137" s="1" t="s">
        <v>43</v>
      </c>
      <c r="J137" s="1" t="s">
        <v>1179</v>
      </c>
      <c r="K137" s="1" t="s">
        <v>1180</v>
      </c>
      <c r="L137" s="1" t="s">
        <v>121</v>
      </c>
      <c r="O137" s="1" t="s">
        <v>1181</v>
      </c>
      <c r="AJ137" s="1" t="s">
        <v>1178</v>
      </c>
      <c r="AL137" s="1">
        <v>7.71819244573E11</v>
      </c>
      <c r="AN137" s="1">
        <v>1.0</v>
      </c>
    </row>
    <row r="138" ht="15.75" customHeight="1">
      <c r="A138" s="1" t="s">
        <v>1182</v>
      </c>
      <c r="B138" s="1" t="s">
        <v>864</v>
      </c>
      <c r="C138" s="1">
        <v>7.7300113637E11</v>
      </c>
      <c r="E138" s="1">
        <v>3.25774600747138E14</v>
      </c>
      <c r="F138" s="1" t="s">
        <v>42</v>
      </c>
      <c r="G138" s="3">
        <v>45961.0</v>
      </c>
      <c r="H138" s="1">
        <v>0.0</v>
      </c>
      <c r="I138" s="1" t="s">
        <v>43</v>
      </c>
      <c r="J138" s="1" t="s">
        <v>1183</v>
      </c>
      <c r="L138" s="1" t="s">
        <v>121</v>
      </c>
      <c r="O138" s="1" t="s">
        <v>1184</v>
      </c>
      <c r="AJ138" s="1" t="s">
        <v>1182</v>
      </c>
      <c r="AL138" s="1">
        <v>7.7300113637E11</v>
      </c>
      <c r="AN138" s="1">
        <v>2.0</v>
      </c>
    </row>
    <row r="139" ht="15.75" customHeight="1">
      <c r="A139" s="1" t="s">
        <v>817</v>
      </c>
      <c r="B139" s="1" t="s">
        <v>864</v>
      </c>
      <c r="C139" s="1">
        <v>7.709027107E11</v>
      </c>
      <c r="E139" s="1">
        <v>3.21774600705851E14</v>
      </c>
      <c r="F139" s="1" t="s">
        <v>42</v>
      </c>
      <c r="G139" s="3">
        <v>44517.0</v>
      </c>
      <c r="H139" s="1">
        <v>4.0</v>
      </c>
      <c r="I139" s="1" t="s">
        <v>43</v>
      </c>
      <c r="J139" s="1" t="s">
        <v>813</v>
      </c>
      <c r="K139" s="1" t="s">
        <v>1185</v>
      </c>
      <c r="L139" s="1" t="s">
        <v>121</v>
      </c>
      <c r="O139" s="1" t="s">
        <v>815</v>
      </c>
      <c r="W139" s="1" t="s">
        <v>1186</v>
      </c>
      <c r="AJ139" s="1" t="s">
        <v>817</v>
      </c>
      <c r="AL139" s="1">
        <v>7.709027107E11</v>
      </c>
      <c r="AN139" s="1">
        <v>2.0</v>
      </c>
    </row>
    <row r="140" ht="15.75" customHeight="1">
      <c r="A140" s="1" t="s">
        <v>1187</v>
      </c>
      <c r="B140" s="1" t="s">
        <v>864</v>
      </c>
      <c r="C140" s="1">
        <v>7.7260537651E11</v>
      </c>
      <c r="E140" s="1">
        <v>3.25774600204181E14</v>
      </c>
      <c r="F140" s="1" t="s">
        <v>42</v>
      </c>
      <c r="G140" s="3">
        <v>45743.0</v>
      </c>
      <c r="H140" s="1">
        <v>0.0</v>
      </c>
      <c r="I140" s="1" t="s">
        <v>43</v>
      </c>
      <c r="J140" s="1" t="s">
        <v>1188</v>
      </c>
      <c r="K140" s="1" t="s">
        <v>1189</v>
      </c>
      <c r="L140" s="1" t="s">
        <v>121</v>
      </c>
      <c r="O140" s="1" t="s">
        <v>1190</v>
      </c>
      <c r="AJ140" s="1" t="s">
        <v>1187</v>
      </c>
      <c r="AL140" s="1">
        <v>7.7260537651E11</v>
      </c>
      <c r="AN140" s="1">
        <v>2.0</v>
      </c>
    </row>
    <row r="141" ht="15.75" customHeight="1">
      <c r="A141" s="1" t="s">
        <v>1191</v>
      </c>
      <c r="B141" s="1" t="s">
        <v>864</v>
      </c>
      <c r="C141" s="1">
        <v>7.72423157514E11</v>
      </c>
      <c r="E141" s="1">
        <v>3.257746008023E14</v>
      </c>
      <c r="F141" s="1" t="s">
        <v>42</v>
      </c>
      <c r="G141" s="3">
        <v>45985.0</v>
      </c>
      <c r="H141" s="1">
        <v>0.0</v>
      </c>
      <c r="I141" s="1" t="s">
        <v>43</v>
      </c>
      <c r="J141" s="1" t="s">
        <v>1192</v>
      </c>
      <c r="L141" s="1" t="s">
        <v>121</v>
      </c>
      <c r="O141" s="1" t="s">
        <v>1193</v>
      </c>
      <c r="AJ141" s="1" t="s">
        <v>1191</v>
      </c>
      <c r="AL141" s="1">
        <v>7.72423157514E11</v>
      </c>
      <c r="AN141" s="1">
        <v>1.0</v>
      </c>
    </row>
    <row r="142" ht="15.75" customHeight="1">
      <c r="A142" s="1" t="s">
        <v>1194</v>
      </c>
      <c r="B142" s="1" t="s">
        <v>864</v>
      </c>
      <c r="C142" s="1">
        <v>7.72394308036E11</v>
      </c>
      <c r="E142" s="1">
        <v>3.24774600877491E14</v>
      </c>
      <c r="F142" s="1" t="s">
        <v>42</v>
      </c>
      <c r="G142" s="3">
        <v>45652.0</v>
      </c>
      <c r="H142" s="1">
        <v>1.0</v>
      </c>
      <c r="I142" s="1" t="s">
        <v>43</v>
      </c>
      <c r="J142" s="1" t="s">
        <v>1195</v>
      </c>
      <c r="K142" s="1" t="s">
        <v>1196</v>
      </c>
      <c r="L142" s="1" t="s">
        <v>121</v>
      </c>
      <c r="O142" s="1" t="s">
        <v>1197</v>
      </c>
      <c r="W142" s="1" t="s">
        <v>1198</v>
      </c>
      <c r="AJ142" s="1" t="s">
        <v>1194</v>
      </c>
      <c r="AL142" s="1">
        <v>7.72394308036E11</v>
      </c>
      <c r="AN142" s="1">
        <v>2.0</v>
      </c>
    </row>
    <row r="143" ht="15.75" customHeight="1">
      <c r="A143" s="1" t="s">
        <v>1199</v>
      </c>
      <c r="B143" s="1" t="s">
        <v>864</v>
      </c>
      <c r="C143" s="1">
        <v>3.32762087304E11</v>
      </c>
      <c r="E143" s="1">
        <v>3.17332800029982E14</v>
      </c>
      <c r="F143" s="1" t="s">
        <v>42</v>
      </c>
      <c r="G143" s="3">
        <v>42886.0</v>
      </c>
      <c r="H143" s="1">
        <v>8.0</v>
      </c>
      <c r="I143" s="1" t="s">
        <v>43</v>
      </c>
      <c r="J143" s="1" t="s">
        <v>1200</v>
      </c>
      <c r="K143" s="1" t="s">
        <v>1201</v>
      </c>
      <c r="L143" s="1" t="s">
        <v>121</v>
      </c>
      <c r="O143" s="1" t="s">
        <v>1202</v>
      </c>
      <c r="W143" s="1" t="s">
        <v>1203</v>
      </c>
      <c r="AJ143" s="1" t="s">
        <v>1199</v>
      </c>
      <c r="AL143" s="1">
        <v>3.32762087304E11</v>
      </c>
      <c r="AN143" s="1">
        <v>2.0</v>
      </c>
    </row>
    <row r="144" ht="15.75" customHeight="1">
      <c r="A144" s="1" t="s">
        <v>1204</v>
      </c>
      <c r="B144" s="1" t="s">
        <v>41</v>
      </c>
      <c r="C144" s="1">
        <v>9.719085095E9</v>
      </c>
      <c r="D144" s="1">
        <v>7.71901001E8</v>
      </c>
      <c r="E144" s="1">
        <v>1.267700012282E12</v>
      </c>
      <c r="F144" s="1" t="s">
        <v>42</v>
      </c>
      <c r="G144" s="3">
        <v>46043.0</v>
      </c>
      <c r="H144" s="1">
        <v>0.0</v>
      </c>
      <c r="I144" s="1" t="s">
        <v>43</v>
      </c>
      <c r="J144" s="1" t="s">
        <v>1205</v>
      </c>
      <c r="K144" s="1" t="s">
        <v>1206</v>
      </c>
      <c r="L144" s="1" t="s">
        <v>121</v>
      </c>
      <c r="M144" s="1">
        <v>105523.0</v>
      </c>
      <c r="N144" s="1" t="s">
        <v>121</v>
      </c>
      <c r="O144" s="1" t="s">
        <v>1207</v>
      </c>
      <c r="AC144" s="1" t="s">
        <v>1208</v>
      </c>
      <c r="AJ144" s="1" t="s">
        <v>1209</v>
      </c>
      <c r="AK144" s="1" t="s">
        <v>61</v>
      </c>
      <c r="AL144" s="1">
        <v>4.3460097916E11</v>
      </c>
      <c r="AM144" s="3">
        <v>46043.0</v>
      </c>
      <c r="AN144" s="1">
        <v>2.0</v>
      </c>
    </row>
    <row r="145" ht="15.75" customHeight="1">
      <c r="A145" s="1" t="s">
        <v>1210</v>
      </c>
      <c r="B145" s="1" t="s">
        <v>864</v>
      </c>
      <c r="C145" s="1">
        <v>7.71805665902E11</v>
      </c>
      <c r="E145" s="1">
        <v>3.23774600155696E14</v>
      </c>
      <c r="F145" s="1" t="s">
        <v>42</v>
      </c>
      <c r="G145" s="3">
        <v>44998.0</v>
      </c>
      <c r="H145" s="1">
        <v>2.0</v>
      </c>
      <c r="I145" s="1" t="s">
        <v>43</v>
      </c>
      <c r="J145" s="1" t="s">
        <v>1211</v>
      </c>
      <c r="K145" s="1" t="s">
        <v>1212</v>
      </c>
      <c r="L145" s="1" t="s">
        <v>121</v>
      </c>
      <c r="O145" s="1" t="s">
        <v>1213</v>
      </c>
      <c r="AJ145" s="1" t="s">
        <v>1210</v>
      </c>
      <c r="AL145" s="1">
        <v>7.71805665902E11</v>
      </c>
      <c r="AN145" s="1">
        <v>2.0</v>
      </c>
    </row>
    <row r="146" ht="15.75" customHeight="1">
      <c r="A146" s="1" t="s">
        <v>1214</v>
      </c>
      <c r="B146" s="1" t="s">
        <v>864</v>
      </c>
      <c r="C146" s="1">
        <v>4.63306940327E11</v>
      </c>
      <c r="E146" s="1">
        <v>3.24774600067602E14</v>
      </c>
      <c r="F146" s="1" t="s">
        <v>42</v>
      </c>
      <c r="G146" s="3">
        <v>45323.0</v>
      </c>
      <c r="H146" s="1">
        <v>2.0</v>
      </c>
      <c r="I146" s="1" t="s">
        <v>43</v>
      </c>
      <c r="J146" s="1" t="s">
        <v>1215</v>
      </c>
      <c r="K146" s="1" t="s">
        <v>1216</v>
      </c>
      <c r="L146" s="1" t="s">
        <v>121</v>
      </c>
      <c r="O146" s="1" t="s">
        <v>1217</v>
      </c>
      <c r="AJ146" s="1" t="s">
        <v>1214</v>
      </c>
      <c r="AL146" s="1">
        <v>4.63306940327E11</v>
      </c>
      <c r="AN146" s="1">
        <v>1.0</v>
      </c>
    </row>
    <row r="147" ht="15.75" customHeight="1">
      <c r="A147" s="1" t="s">
        <v>1218</v>
      </c>
      <c r="B147" s="1" t="s">
        <v>864</v>
      </c>
      <c r="C147" s="1">
        <v>7.7261973682E11</v>
      </c>
      <c r="E147" s="1">
        <v>3.24774600174138E14</v>
      </c>
      <c r="F147" s="1" t="s">
        <v>42</v>
      </c>
      <c r="G147" s="3">
        <v>45365.0</v>
      </c>
      <c r="H147" s="1">
        <v>1.0</v>
      </c>
      <c r="I147" s="1" t="s">
        <v>43</v>
      </c>
      <c r="J147" s="1" t="s">
        <v>1219</v>
      </c>
      <c r="K147" s="1" t="s">
        <v>1189</v>
      </c>
      <c r="L147" s="1" t="s">
        <v>121</v>
      </c>
      <c r="O147" s="1" t="s">
        <v>1220</v>
      </c>
      <c r="AJ147" s="1" t="s">
        <v>1218</v>
      </c>
      <c r="AL147" s="1">
        <v>7.7261973682E11</v>
      </c>
      <c r="AN147" s="1">
        <v>2.0</v>
      </c>
    </row>
    <row r="148" ht="15.75" customHeight="1">
      <c r="A148" s="1" t="s">
        <v>1221</v>
      </c>
      <c r="B148" s="1" t="s">
        <v>864</v>
      </c>
      <c r="C148" s="1">
        <v>7.70401559216E11</v>
      </c>
      <c r="E148" s="1">
        <v>3.24774600329206E14</v>
      </c>
      <c r="F148" s="1" t="s">
        <v>42</v>
      </c>
      <c r="G148" s="3">
        <v>45432.0</v>
      </c>
      <c r="H148" s="1">
        <v>1.0</v>
      </c>
      <c r="I148" s="1" t="s">
        <v>43</v>
      </c>
      <c r="J148" s="1" t="s">
        <v>1222</v>
      </c>
      <c r="K148" s="1" t="s">
        <v>1223</v>
      </c>
      <c r="L148" s="1" t="s">
        <v>121</v>
      </c>
      <c r="O148" s="1" t="s">
        <v>1224</v>
      </c>
      <c r="AJ148" s="1" t="s">
        <v>1221</v>
      </c>
      <c r="AL148" s="1">
        <v>7.70401559216E11</v>
      </c>
      <c r="AN148" s="1">
        <v>2.0</v>
      </c>
    </row>
    <row r="149" ht="15.75" customHeight="1">
      <c r="A149" s="1" t="s">
        <v>1225</v>
      </c>
      <c r="B149" s="1" t="s">
        <v>864</v>
      </c>
      <c r="C149" s="1">
        <v>7.7207336597E11</v>
      </c>
      <c r="E149" s="1">
        <v>3.25774600072654E14</v>
      </c>
      <c r="F149" s="1" t="s">
        <v>42</v>
      </c>
      <c r="G149" s="3">
        <v>45691.0</v>
      </c>
      <c r="H149" s="1">
        <v>1.0</v>
      </c>
      <c r="I149" s="1" t="s">
        <v>43</v>
      </c>
      <c r="J149" s="1" t="s">
        <v>1226</v>
      </c>
      <c r="K149" s="1" t="s">
        <v>1227</v>
      </c>
      <c r="L149" s="1" t="s">
        <v>121</v>
      </c>
      <c r="O149" s="1" t="s">
        <v>1228</v>
      </c>
      <c r="AJ149" s="1" t="s">
        <v>1225</v>
      </c>
      <c r="AL149" s="1">
        <v>7.7207336597E11</v>
      </c>
      <c r="AN149" s="1">
        <v>1.0</v>
      </c>
    </row>
    <row r="150" ht="15.75" customHeight="1">
      <c r="A150" s="1" t="s">
        <v>1229</v>
      </c>
      <c r="B150" s="1" t="s">
        <v>864</v>
      </c>
      <c r="C150" s="1">
        <v>2.45802031927E11</v>
      </c>
      <c r="E150" s="1">
        <v>3.25774600155594E14</v>
      </c>
      <c r="F150" s="1" t="s">
        <v>42</v>
      </c>
      <c r="G150" s="3">
        <v>45723.0</v>
      </c>
      <c r="H150" s="1">
        <v>0.0</v>
      </c>
      <c r="I150" s="1" t="s">
        <v>43</v>
      </c>
      <c r="J150" s="1" t="s">
        <v>1230</v>
      </c>
      <c r="K150" s="1" t="s">
        <v>1231</v>
      </c>
      <c r="L150" s="1" t="s">
        <v>121</v>
      </c>
      <c r="O150" s="1" t="s">
        <v>1232</v>
      </c>
      <c r="AJ150" s="1" t="s">
        <v>1229</v>
      </c>
      <c r="AL150" s="1">
        <v>2.45802031927E11</v>
      </c>
      <c r="AN150" s="1">
        <v>2.0</v>
      </c>
    </row>
    <row r="151" ht="15.75" customHeight="1">
      <c r="A151" s="1" t="s">
        <v>1233</v>
      </c>
      <c r="B151" s="1" t="s">
        <v>864</v>
      </c>
      <c r="C151" s="1">
        <v>7.72077790207E11</v>
      </c>
      <c r="E151" s="1">
        <v>3.25774600273374E14</v>
      </c>
      <c r="F151" s="1" t="s">
        <v>42</v>
      </c>
      <c r="G151" s="3">
        <v>45771.0</v>
      </c>
      <c r="H151" s="1">
        <v>0.0</v>
      </c>
      <c r="I151" s="1" t="s">
        <v>43</v>
      </c>
      <c r="J151" s="1" t="s">
        <v>901</v>
      </c>
      <c r="K151" s="1" t="s">
        <v>1234</v>
      </c>
      <c r="L151" s="1" t="s">
        <v>121</v>
      </c>
      <c r="O151" s="1" t="s">
        <v>1235</v>
      </c>
      <c r="AJ151" s="1" t="s">
        <v>1233</v>
      </c>
      <c r="AL151" s="1">
        <v>7.72077790207E11</v>
      </c>
      <c r="AN151" s="1">
        <v>1.0</v>
      </c>
    </row>
    <row r="152" ht="15.75" customHeight="1">
      <c r="A152" s="1" t="s">
        <v>1236</v>
      </c>
      <c r="B152" s="1" t="s">
        <v>864</v>
      </c>
      <c r="C152" s="1">
        <v>7.74321129906E11</v>
      </c>
      <c r="E152" s="1">
        <v>3.25774600364311E14</v>
      </c>
      <c r="F152" s="1" t="s">
        <v>42</v>
      </c>
      <c r="G152" s="3">
        <v>45817.0</v>
      </c>
      <c r="H152" s="1">
        <v>0.0</v>
      </c>
      <c r="I152" s="1" t="s">
        <v>43</v>
      </c>
      <c r="J152" s="1" t="s">
        <v>1237</v>
      </c>
      <c r="K152" s="1" t="s">
        <v>1238</v>
      </c>
      <c r="L152" s="1" t="s">
        <v>121</v>
      </c>
      <c r="O152" s="1" t="s">
        <v>1239</v>
      </c>
      <c r="AJ152" s="1" t="s">
        <v>1236</v>
      </c>
      <c r="AL152" s="1">
        <v>7.74321129906E11</v>
      </c>
      <c r="AN152" s="1">
        <v>1.0</v>
      </c>
    </row>
    <row r="153" ht="15.75" customHeight="1">
      <c r="A153" s="1" t="s">
        <v>1240</v>
      </c>
      <c r="B153" s="1" t="s">
        <v>864</v>
      </c>
      <c r="C153" s="1">
        <v>7.72850881262E11</v>
      </c>
      <c r="E153" s="1">
        <v>3.25774600549873E14</v>
      </c>
      <c r="F153" s="1" t="s">
        <v>42</v>
      </c>
      <c r="G153" s="3">
        <v>45891.0</v>
      </c>
      <c r="H153" s="1">
        <v>0.0</v>
      </c>
      <c r="I153" s="1" t="s">
        <v>43</v>
      </c>
      <c r="J153" s="1" t="s">
        <v>1241</v>
      </c>
      <c r="L153" s="1" t="s">
        <v>121</v>
      </c>
      <c r="O153" s="1" t="s">
        <v>1242</v>
      </c>
      <c r="AJ153" s="1" t="s">
        <v>1240</v>
      </c>
      <c r="AL153" s="1">
        <v>7.72850881262E11</v>
      </c>
      <c r="AN153" s="1">
        <v>2.0</v>
      </c>
    </row>
    <row r="154" ht="15.75" customHeight="1">
      <c r="A154" s="1" t="s">
        <v>1243</v>
      </c>
      <c r="B154" s="1" t="s">
        <v>864</v>
      </c>
      <c r="C154" s="1">
        <v>7.72024578944E11</v>
      </c>
      <c r="E154" s="1">
        <v>3.2577460057932E14</v>
      </c>
      <c r="F154" s="1" t="s">
        <v>42</v>
      </c>
      <c r="G154" s="3">
        <v>45903.0</v>
      </c>
      <c r="H154" s="1">
        <v>0.0</v>
      </c>
      <c r="I154" s="1" t="s">
        <v>43</v>
      </c>
      <c r="J154" s="1" t="s">
        <v>1244</v>
      </c>
      <c r="L154" s="1" t="s">
        <v>121</v>
      </c>
      <c r="O154" s="1" t="s">
        <v>1245</v>
      </c>
      <c r="AJ154" s="1" t="s">
        <v>1243</v>
      </c>
      <c r="AL154" s="1">
        <v>7.72024578944E11</v>
      </c>
      <c r="AN154" s="1">
        <v>1.0</v>
      </c>
    </row>
    <row r="155" ht="15.75" customHeight="1">
      <c r="A155" s="1" t="s">
        <v>1246</v>
      </c>
      <c r="B155" s="1" t="s">
        <v>864</v>
      </c>
      <c r="C155" s="1">
        <v>7.72748281539E11</v>
      </c>
      <c r="E155" s="1">
        <v>3.247746002294E14</v>
      </c>
      <c r="F155" s="1" t="s">
        <v>42</v>
      </c>
      <c r="G155" s="3">
        <v>45386.0</v>
      </c>
      <c r="H155" s="1">
        <v>1.0</v>
      </c>
      <c r="I155" s="1" t="s">
        <v>43</v>
      </c>
      <c r="J155" s="1" t="s">
        <v>901</v>
      </c>
      <c r="K155" s="1" t="s">
        <v>1223</v>
      </c>
      <c r="L155" s="1" t="s">
        <v>121</v>
      </c>
      <c r="O155" s="1" t="s">
        <v>1247</v>
      </c>
      <c r="W155" s="1" t="s">
        <v>1248</v>
      </c>
      <c r="AJ155" s="1" t="s">
        <v>1246</v>
      </c>
      <c r="AL155" s="1">
        <v>7.72748281539E11</v>
      </c>
      <c r="AN155" s="1">
        <v>2.0</v>
      </c>
    </row>
    <row r="156" ht="15.75" customHeight="1">
      <c r="A156" s="1" t="s">
        <v>1249</v>
      </c>
      <c r="B156" s="1" t="s">
        <v>864</v>
      </c>
      <c r="C156" s="1">
        <v>7.72086324932E11</v>
      </c>
      <c r="E156" s="1">
        <v>3.25774600231254E14</v>
      </c>
      <c r="F156" s="1" t="s">
        <v>42</v>
      </c>
      <c r="G156" s="3">
        <v>45755.0</v>
      </c>
      <c r="H156" s="1">
        <v>0.0</v>
      </c>
      <c r="I156" s="1" t="s">
        <v>43</v>
      </c>
      <c r="J156" s="1" t="s">
        <v>1250</v>
      </c>
      <c r="K156" s="1" t="s">
        <v>1251</v>
      </c>
      <c r="L156" s="1" t="s">
        <v>121</v>
      </c>
      <c r="O156" s="1" t="s">
        <v>1252</v>
      </c>
      <c r="W156" s="1" t="s">
        <v>1253</v>
      </c>
      <c r="AJ156" s="1" t="s">
        <v>1249</v>
      </c>
      <c r="AL156" s="1">
        <v>7.72086324932E11</v>
      </c>
      <c r="AN156" s="1">
        <v>1.0</v>
      </c>
    </row>
    <row r="157" ht="15.75" customHeight="1">
      <c r="A157" s="1" t="s">
        <v>1254</v>
      </c>
      <c r="B157" s="1" t="s">
        <v>864</v>
      </c>
      <c r="C157" s="1">
        <v>5.40363588579E11</v>
      </c>
      <c r="E157" s="1">
        <v>3.22774600568768E14</v>
      </c>
      <c r="F157" s="1" t="s">
        <v>42</v>
      </c>
      <c r="G157" s="3">
        <v>44823.0</v>
      </c>
      <c r="H157" s="1">
        <v>3.0</v>
      </c>
      <c r="I157" s="1" t="s">
        <v>43</v>
      </c>
      <c r="J157" s="1" t="s">
        <v>1255</v>
      </c>
      <c r="K157" s="1" t="s">
        <v>1256</v>
      </c>
      <c r="L157" s="1" t="s">
        <v>121</v>
      </c>
      <c r="O157" s="1" t="s">
        <v>1257</v>
      </c>
      <c r="AJ157" s="1" t="s">
        <v>1254</v>
      </c>
      <c r="AL157" s="1">
        <v>5.40363588579E11</v>
      </c>
      <c r="AN157" s="1">
        <v>1.0</v>
      </c>
    </row>
    <row r="158" ht="15.75" customHeight="1">
      <c r="A158" s="1" t="s">
        <v>1258</v>
      </c>
      <c r="B158" s="1" t="s">
        <v>864</v>
      </c>
      <c r="C158" s="1">
        <v>7.7360180532E11</v>
      </c>
      <c r="E158" s="1">
        <v>3.23774600344965E14</v>
      </c>
      <c r="F158" s="1" t="s">
        <v>42</v>
      </c>
      <c r="G158" s="3">
        <v>45077.0</v>
      </c>
      <c r="H158" s="1">
        <v>2.0</v>
      </c>
      <c r="I158" s="1" t="s">
        <v>43</v>
      </c>
      <c r="J158" s="1" t="s">
        <v>1259</v>
      </c>
      <c r="K158" s="1" t="s">
        <v>1260</v>
      </c>
      <c r="L158" s="1" t="s">
        <v>121</v>
      </c>
      <c r="O158" s="1" t="s">
        <v>1261</v>
      </c>
      <c r="AJ158" s="1" t="s">
        <v>1258</v>
      </c>
      <c r="AL158" s="1">
        <v>7.7360180532E11</v>
      </c>
      <c r="AN158" s="1">
        <v>2.0</v>
      </c>
    </row>
    <row r="159" ht="15.75" customHeight="1">
      <c r="A159" s="1" t="s">
        <v>1262</v>
      </c>
      <c r="B159" s="1" t="s">
        <v>864</v>
      </c>
      <c r="C159" s="1">
        <v>4.21105085582E11</v>
      </c>
      <c r="E159" s="1">
        <v>3.227746004665E14</v>
      </c>
      <c r="F159" s="1" t="s">
        <v>42</v>
      </c>
      <c r="G159" s="3">
        <v>44776.0</v>
      </c>
      <c r="H159" s="1">
        <v>3.0</v>
      </c>
      <c r="I159" s="1" t="s">
        <v>43</v>
      </c>
      <c r="J159" s="1" t="s">
        <v>1263</v>
      </c>
      <c r="K159" s="1" t="s">
        <v>1264</v>
      </c>
      <c r="L159" s="1" t="s">
        <v>121</v>
      </c>
      <c r="O159" s="1" t="s">
        <v>1265</v>
      </c>
      <c r="AJ159" s="1" t="s">
        <v>1262</v>
      </c>
      <c r="AL159" s="1">
        <v>4.21105085582E11</v>
      </c>
      <c r="AN159" s="1">
        <v>1.0</v>
      </c>
    </row>
    <row r="160" ht="15.75" customHeight="1">
      <c r="A160" s="1" t="s">
        <v>1266</v>
      </c>
      <c r="B160" s="1" t="s">
        <v>864</v>
      </c>
      <c r="C160" s="1">
        <v>5.90584373573E11</v>
      </c>
      <c r="E160" s="1">
        <v>3.24774600866853E14</v>
      </c>
      <c r="F160" s="1" t="s">
        <v>42</v>
      </c>
      <c r="G160" s="3">
        <v>45649.0</v>
      </c>
      <c r="H160" s="1">
        <v>1.0</v>
      </c>
      <c r="I160" s="1" t="s">
        <v>43</v>
      </c>
      <c r="J160" s="1" t="s">
        <v>901</v>
      </c>
      <c r="K160" s="1" t="s">
        <v>1264</v>
      </c>
      <c r="L160" s="1" t="s">
        <v>121</v>
      </c>
      <c r="O160" s="1" t="s">
        <v>1267</v>
      </c>
      <c r="AJ160" s="1" t="s">
        <v>1266</v>
      </c>
      <c r="AL160" s="1">
        <v>5.90584373573E11</v>
      </c>
      <c r="AN160" s="1">
        <v>2.0</v>
      </c>
    </row>
    <row r="161" ht="15.75" customHeight="1">
      <c r="A161" s="1" t="s">
        <v>1268</v>
      </c>
      <c r="B161" s="1" t="s">
        <v>864</v>
      </c>
      <c r="C161" s="1">
        <v>7.72976946905E11</v>
      </c>
      <c r="E161" s="1">
        <v>3.2477460079841E14</v>
      </c>
      <c r="F161" s="1" t="s">
        <v>42</v>
      </c>
      <c r="G161" s="3">
        <v>45621.0</v>
      </c>
      <c r="H161" s="1">
        <v>1.0</v>
      </c>
      <c r="I161" s="1" t="s">
        <v>43</v>
      </c>
      <c r="J161" s="1" t="s">
        <v>1269</v>
      </c>
      <c r="K161" s="1" t="s">
        <v>1264</v>
      </c>
      <c r="L161" s="1" t="s">
        <v>121</v>
      </c>
      <c r="O161" s="1" t="s">
        <v>1270</v>
      </c>
      <c r="S161" s="1" t="s">
        <v>1271</v>
      </c>
      <c r="W161" s="1" t="s">
        <v>1272</v>
      </c>
      <c r="AJ161" s="1" t="s">
        <v>1268</v>
      </c>
      <c r="AL161" s="1">
        <v>7.72976946905E11</v>
      </c>
      <c r="AN161" s="1">
        <v>2.0</v>
      </c>
    </row>
    <row r="162" ht="15.75" customHeight="1">
      <c r="A162" s="1" t="s">
        <v>1273</v>
      </c>
      <c r="B162" s="1" t="s">
        <v>864</v>
      </c>
      <c r="C162" s="1">
        <v>7.72207674331E11</v>
      </c>
      <c r="E162" s="1">
        <v>3.2277460021131E14</v>
      </c>
      <c r="F162" s="1" t="s">
        <v>42</v>
      </c>
      <c r="G162" s="3">
        <v>44650.0</v>
      </c>
      <c r="H162" s="1">
        <v>3.0</v>
      </c>
      <c r="I162" s="1" t="s">
        <v>43</v>
      </c>
      <c r="J162" s="1" t="s">
        <v>1274</v>
      </c>
      <c r="K162" s="1" t="s">
        <v>1275</v>
      </c>
      <c r="L162" s="1" t="s">
        <v>121</v>
      </c>
      <c r="O162" s="1" t="s">
        <v>1276</v>
      </c>
      <c r="AJ162" s="1" t="s">
        <v>1273</v>
      </c>
      <c r="AL162" s="1">
        <v>7.72207674331E11</v>
      </c>
      <c r="AN162" s="1">
        <v>1.0</v>
      </c>
    </row>
    <row r="163" ht="15.75" customHeight="1">
      <c r="A163" s="1" t="s">
        <v>1277</v>
      </c>
      <c r="B163" s="1" t="s">
        <v>864</v>
      </c>
      <c r="C163" s="1">
        <v>7.72072275805E11</v>
      </c>
      <c r="E163" s="1">
        <v>3.22774600439418E14</v>
      </c>
      <c r="F163" s="1" t="s">
        <v>42</v>
      </c>
      <c r="G163" s="3">
        <v>44762.0</v>
      </c>
      <c r="H163" s="1">
        <v>3.0</v>
      </c>
      <c r="I163" s="1" t="s">
        <v>43</v>
      </c>
      <c r="J163" s="1" t="s">
        <v>1278</v>
      </c>
      <c r="K163" s="1" t="s">
        <v>1279</v>
      </c>
      <c r="L163" s="1" t="s">
        <v>121</v>
      </c>
      <c r="O163" s="1" t="s">
        <v>1280</v>
      </c>
      <c r="AJ163" s="1" t="s">
        <v>1277</v>
      </c>
      <c r="AL163" s="1">
        <v>7.72072275805E11</v>
      </c>
      <c r="AN163" s="1">
        <v>2.0</v>
      </c>
    </row>
    <row r="164" ht="15.75" customHeight="1">
      <c r="A164" s="1" t="s">
        <v>1281</v>
      </c>
      <c r="B164" s="1" t="s">
        <v>864</v>
      </c>
      <c r="C164" s="1">
        <v>6.83209140524E11</v>
      </c>
      <c r="E164" s="1">
        <v>3.20774600539673E14</v>
      </c>
      <c r="F164" s="1" t="s">
        <v>42</v>
      </c>
      <c r="G164" s="3">
        <v>44188.0</v>
      </c>
      <c r="H164" s="1">
        <v>5.0</v>
      </c>
      <c r="I164" s="1" t="s">
        <v>43</v>
      </c>
      <c r="J164" s="1" t="s">
        <v>1282</v>
      </c>
      <c r="K164" s="1" t="s">
        <v>1283</v>
      </c>
      <c r="L164" s="1" t="s">
        <v>121</v>
      </c>
      <c r="O164" s="1" t="s">
        <v>1284</v>
      </c>
      <c r="AJ164" s="1" t="s">
        <v>1281</v>
      </c>
      <c r="AL164" s="1">
        <v>6.83209140524E11</v>
      </c>
      <c r="AN164" s="1">
        <v>2.0</v>
      </c>
    </row>
    <row r="165" ht="15.75" customHeight="1">
      <c r="A165" s="1" t="s">
        <v>1285</v>
      </c>
      <c r="B165" s="1" t="s">
        <v>864</v>
      </c>
      <c r="C165" s="1">
        <v>7.72326077091E11</v>
      </c>
      <c r="E165" s="1">
        <v>3.20774600044287E14</v>
      </c>
      <c r="F165" s="1" t="s">
        <v>42</v>
      </c>
      <c r="G165" s="3">
        <v>43859.0</v>
      </c>
      <c r="H165" s="1">
        <v>6.0</v>
      </c>
      <c r="I165" s="1" t="s">
        <v>43</v>
      </c>
      <c r="J165" s="1" t="s">
        <v>1286</v>
      </c>
      <c r="K165" s="1" t="s">
        <v>1287</v>
      </c>
      <c r="L165" s="1" t="s">
        <v>121</v>
      </c>
      <c r="O165" s="1" t="s">
        <v>1288</v>
      </c>
      <c r="AJ165" s="1" t="s">
        <v>1285</v>
      </c>
      <c r="AL165" s="1">
        <v>7.72326077091E11</v>
      </c>
      <c r="AN165" s="1">
        <v>2.0</v>
      </c>
    </row>
    <row r="166" ht="15.75" customHeight="1">
      <c r="A166" s="1" t="s">
        <v>1289</v>
      </c>
      <c r="B166" s="1" t="s">
        <v>41</v>
      </c>
      <c r="C166" s="1">
        <v>9.703224515E9</v>
      </c>
      <c r="D166" s="1">
        <v>7.70301001E8</v>
      </c>
      <c r="E166" s="1">
        <v>1.25770042375E12</v>
      </c>
      <c r="F166" s="1" t="s">
        <v>42</v>
      </c>
      <c r="G166" s="3">
        <v>45924.0</v>
      </c>
      <c r="H166" s="1">
        <v>0.0</v>
      </c>
      <c r="I166" s="1" t="s">
        <v>43</v>
      </c>
      <c r="J166" s="1" t="s">
        <v>1290</v>
      </c>
      <c r="K166" s="1" t="s">
        <v>1291</v>
      </c>
      <c r="L166" s="1" t="s">
        <v>121</v>
      </c>
      <c r="M166" s="1">
        <v>123112.0</v>
      </c>
      <c r="N166" s="1" t="s">
        <v>121</v>
      </c>
      <c r="O166" s="1" t="s">
        <v>1292</v>
      </c>
      <c r="AC166" s="1" t="s">
        <v>1293</v>
      </c>
      <c r="AJ166" s="1" t="s">
        <v>1294</v>
      </c>
      <c r="AK166" s="1" t="s">
        <v>61</v>
      </c>
      <c r="AL166" s="1">
        <v>7.73405132798E11</v>
      </c>
      <c r="AM166" s="3">
        <v>46052.0</v>
      </c>
      <c r="AN166" s="1">
        <v>1.0</v>
      </c>
    </row>
    <row r="167" ht="15.75" customHeight="1">
      <c r="A167" s="1" t="s">
        <v>1295</v>
      </c>
      <c r="B167" s="1" t="s">
        <v>864</v>
      </c>
      <c r="C167" s="1">
        <v>7.73475907706E11</v>
      </c>
      <c r="E167" s="1">
        <v>3.17774600321731E14</v>
      </c>
      <c r="F167" s="1" t="s">
        <v>747</v>
      </c>
      <c r="G167" s="3">
        <v>42922.0</v>
      </c>
      <c r="H167" s="1">
        <v>8.0</v>
      </c>
      <c r="I167" s="1" t="s">
        <v>43</v>
      </c>
      <c r="J167" s="1" t="s">
        <v>1296</v>
      </c>
      <c r="K167" s="1" t="s">
        <v>1297</v>
      </c>
      <c r="L167" s="1" t="s">
        <v>121</v>
      </c>
      <c r="O167" s="1" t="s">
        <v>1298</v>
      </c>
      <c r="AJ167" s="1" t="s">
        <v>1295</v>
      </c>
      <c r="AL167" s="1">
        <v>7.73475907706E11</v>
      </c>
      <c r="AN167" s="1">
        <v>0.0</v>
      </c>
    </row>
    <row r="168" ht="15.75" customHeight="1">
      <c r="A168" s="1" t="s">
        <v>1299</v>
      </c>
      <c r="B168" s="1" t="s">
        <v>864</v>
      </c>
      <c r="C168" s="1">
        <v>7.72782449453E11</v>
      </c>
      <c r="E168" s="1">
        <v>3.1677460038936E14</v>
      </c>
      <c r="F168" s="1" t="s">
        <v>42</v>
      </c>
      <c r="G168" s="3">
        <v>42619.0</v>
      </c>
      <c r="H168" s="1">
        <v>9.0</v>
      </c>
      <c r="I168" s="1" t="s">
        <v>43</v>
      </c>
      <c r="J168" s="1" t="s">
        <v>1300</v>
      </c>
      <c r="K168" s="1" t="s">
        <v>1301</v>
      </c>
      <c r="L168" s="1" t="s">
        <v>121</v>
      </c>
      <c r="O168" s="1" t="s">
        <v>1302</v>
      </c>
      <c r="P168" s="1" t="s">
        <v>1303</v>
      </c>
      <c r="Q168" s="1" t="s">
        <v>1304</v>
      </c>
      <c r="S168" s="1" t="s">
        <v>1305</v>
      </c>
      <c r="W168" s="1" t="s">
        <v>1306</v>
      </c>
      <c r="X168" s="1" t="s">
        <v>1307</v>
      </c>
      <c r="AJ168" s="1" t="s">
        <v>1299</v>
      </c>
      <c r="AL168" s="1">
        <v>7.72782449453E11</v>
      </c>
      <c r="AN168" s="1">
        <v>1.0</v>
      </c>
    </row>
    <row r="169" ht="15.75" customHeight="1">
      <c r="A169" s="1" t="s">
        <v>1308</v>
      </c>
      <c r="B169" s="1" t="s">
        <v>864</v>
      </c>
      <c r="C169" s="1">
        <v>7.71988452352E11</v>
      </c>
      <c r="E169" s="1">
        <v>3.26774600054978E14</v>
      </c>
      <c r="F169" s="1" t="s">
        <v>42</v>
      </c>
      <c r="G169" s="3">
        <v>46049.0</v>
      </c>
      <c r="H169" s="1">
        <v>0.0</v>
      </c>
      <c r="I169" s="1" t="s">
        <v>43</v>
      </c>
      <c r="J169" s="1" t="s">
        <v>1309</v>
      </c>
      <c r="L169" s="1" t="s">
        <v>121</v>
      </c>
      <c r="O169" s="1" t="s">
        <v>1310</v>
      </c>
      <c r="AJ169" s="1" t="s">
        <v>1308</v>
      </c>
      <c r="AL169" s="1">
        <v>7.71988452352E11</v>
      </c>
      <c r="AN169" s="1">
        <v>1.0</v>
      </c>
    </row>
    <row r="170" ht="15.75" customHeight="1">
      <c r="A170" s="1" t="s">
        <v>1311</v>
      </c>
      <c r="B170" s="1" t="s">
        <v>864</v>
      </c>
      <c r="C170" s="1">
        <v>7.72166882107E11</v>
      </c>
      <c r="E170" s="1">
        <v>3.16774600460663E14</v>
      </c>
      <c r="F170" s="1" t="s">
        <v>42</v>
      </c>
      <c r="G170" s="3">
        <v>42667.0</v>
      </c>
      <c r="H170" s="1">
        <v>9.0</v>
      </c>
      <c r="I170" s="1" t="s">
        <v>43</v>
      </c>
      <c r="J170" s="1" t="s">
        <v>1312</v>
      </c>
      <c r="K170" s="1" t="s">
        <v>1313</v>
      </c>
      <c r="L170" s="1" t="s">
        <v>121</v>
      </c>
      <c r="O170" s="1" t="s">
        <v>1314</v>
      </c>
      <c r="P170" s="1" t="s">
        <v>1315</v>
      </c>
      <c r="Q170" s="1" t="s">
        <v>1316</v>
      </c>
      <c r="R170" s="1" t="s">
        <v>1317</v>
      </c>
      <c r="S170" s="1" t="s">
        <v>1318</v>
      </c>
      <c r="W170" s="1" t="s">
        <v>1319</v>
      </c>
      <c r="X170" s="1" t="s">
        <v>1320</v>
      </c>
      <c r="Y170" s="1" t="s">
        <v>1321</v>
      </c>
      <c r="Z170" s="1" t="s">
        <v>1322</v>
      </c>
      <c r="AJ170" s="1" t="s">
        <v>1311</v>
      </c>
      <c r="AL170" s="1">
        <v>7.72166882107E11</v>
      </c>
      <c r="AN170" s="1">
        <v>1.0</v>
      </c>
    </row>
    <row r="171" ht="15.75" customHeight="1">
      <c r="A171" s="1" t="s">
        <v>1323</v>
      </c>
      <c r="B171" s="1" t="s">
        <v>41</v>
      </c>
      <c r="C171" s="1">
        <v>7.724829469E9</v>
      </c>
      <c r="D171" s="1">
        <v>7.72601001E8</v>
      </c>
      <c r="E171" s="1">
        <v>1.127746264788E12</v>
      </c>
      <c r="F171" s="1" t="s">
        <v>717</v>
      </c>
      <c r="G171" s="3">
        <v>41009.0</v>
      </c>
      <c r="H171" s="1">
        <v>13.0</v>
      </c>
      <c r="I171" s="1" t="s">
        <v>43</v>
      </c>
      <c r="J171" s="1" t="s">
        <v>1324</v>
      </c>
      <c r="K171" s="1" t="s">
        <v>1325</v>
      </c>
      <c r="L171" s="1" t="s">
        <v>121</v>
      </c>
      <c r="M171" s="1">
        <v>117556.0</v>
      </c>
      <c r="N171" s="1" t="s">
        <v>121</v>
      </c>
      <c r="O171" s="1" t="s">
        <v>1326</v>
      </c>
      <c r="W171" s="1" t="s">
        <v>1327</v>
      </c>
      <c r="AC171" s="1" t="s">
        <v>1328</v>
      </c>
      <c r="AJ171" s="1" t="s">
        <v>1329</v>
      </c>
      <c r="AK171" s="1" t="s">
        <v>728</v>
      </c>
      <c r="AL171" s="1">
        <v>4.63222532674E11</v>
      </c>
      <c r="AM171" s="3">
        <v>45324.0</v>
      </c>
      <c r="AN171" s="1">
        <v>1.0</v>
      </c>
    </row>
    <row r="172" ht="15.75" customHeight="1">
      <c r="A172" s="1" t="s">
        <v>1330</v>
      </c>
      <c r="B172" s="1" t="s">
        <v>41</v>
      </c>
      <c r="C172" s="1">
        <v>7.72944772E9</v>
      </c>
      <c r="D172" s="1">
        <v>7.72901001E8</v>
      </c>
      <c r="E172" s="1">
        <v>1.157746140089E12</v>
      </c>
      <c r="F172" s="1" t="s">
        <v>42</v>
      </c>
      <c r="G172" s="3">
        <v>42063.0</v>
      </c>
      <c r="H172" s="1">
        <v>10.0</v>
      </c>
      <c r="I172" s="1" t="s">
        <v>43</v>
      </c>
      <c r="J172" s="1" t="s">
        <v>1331</v>
      </c>
      <c r="K172" s="1" t="s">
        <v>1332</v>
      </c>
      <c r="L172" s="1" t="s">
        <v>121</v>
      </c>
      <c r="M172" s="1">
        <v>119619.0</v>
      </c>
      <c r="N172" s="1" t="s">
        <v>121</v>
      </c>
      <c r="O172" s="1" t="s">
        <v>1333</v>
      </c>
      <c r="P172" s="1" t="s">
        <v>1334</v>
      </c>
      <c r="Q172" s="1" t="s">
        <v>1335</v>
      </c>
      <c r="S172" s="1" t="s">
        <v>1336</v>
      </c>
      <c r="W172" s="1" t="s">
        <v>1337</v>
      </c>
      <c r="X172" s="1" t="s">
        <v>1338</v>
      </c>
      <c r="AC172" s="1" t="s">
        <v>1339</v>
      </c>
      <c r="AE172" s="1">
        <v>0.0</v>
      </c>
      <c r="AF172" s="1">
        <v>0.0</v>
      </c>
      <c r="AH172" s="1">
        <v>0.0</v>
      </c>
      <c r="AI172" s="1">
        <v>0.0</v>
      </c>
      <c r="AJ172" s="1" t="s">
        <v>1340</v>
      </c>
      <c r="AK172" s="1" t="s">
        <v>61</v>
      </c>
      <c r="AL172" s="1">
        <v>7.72980067872E11</v>
      </c>
      <c r="AM172" s="3">
        <v>44498.0</v>
      </c>
      <c r="AN172" s="1">
        <v>2.0</v>
      </c>
    </row>
    <row r="173" ht="15.75" customHeight="1">
      <c r="A173" s="1" t="s">
        <v>1341</v>
      </c>
      <c r="B173" s="1" t="s">
        <v>41</v>
      </c>
      <c r="C173" s="1">
        <v>9.729282504E9</v>
      </c>
      <c r="D173" s="1">
        <v>7.72901001E8</v>
      </c>
      <c r="E173" s="1">
        <v>1.197746206822E12</v>
      </c>
      <c r="F173" s="1" t="s">
        <v>42</v>
      </c>
      <c r="G173" s="3">
        <v>43546.0</v>
      </c>
      <c r="H173" s="1">
        <v>6.0</v>
      </c>
      <c r="I173" s="1" t="s">
        <v>43</v>
      </c>
      <c r="J173" s="1" t="s">
        <v>1342</v>
      </c>
      <c r="K173" s="1" t="s">
        <v>1343</v>
      </c>
      <c r="L173" s="1" t="s">
        <v>121</v>
      </c>
      <c r="M173" s="1">
        <v>119602.0</v>
      </c>
      <c r="N173" s="1" t="s">
        <v>121</v>
      </c>
      <c r="O173" s="1" t="s">
        <v>1344</v>
      </c>
      <c r="P173" s="1" t="s">
        <v>1345</v>
      </c>
      <c r="Q173" s="1" t="s">
        <v>1346</v>
      </c>
      <c r="W173" s="1" t="s">
        <v>1347</v>
      </c>
      <c r="X173" s="1" t="s">
        <v>1348</v>
      </c>
      <c r="AC173" s="1" t="s">
        <v>1349</v>
      </c>
      <c r="AE173" s="1">
        <v>193892.0</v>
      </c>
      <c r="AF173" s="1">
        <v>190224.0</v>
      </c>
      <c r="AH173" s="1">
        <v>17119.0</v>
      </c>
      <c r="AI173" s="1">
        <v>16421.0</v>
      </c>
      <c r="AJ173" s="1" t="s">
        <v>1350</v>
      </c>
      <c r="AK173" s="1" t="s">
        <v>61</v>
      </c>
      <c r="AL173" s="1">
        <v>7.72970148593E11</v>
      </c>
      <c r="AM173" s="3">
        <v>45215.0</v>
      </c>
      <c r="AN173" s="1">
        <v>1.0</v>
      </c>
    </row>
    <row r="174" ht="15.75" customHeight="1">
      <c r="A174" s="1" t="s">
        <v>1351</v>
      </c>
      <c r="B174" s="1" t="s">
        <v>864</v>
      </c>
      <c r="C174" s="1">
        <v>7.72170743018E11</v>
      </c>
      <c r="E174" s="1">
        <v>3.2077460038858E14</v>
      </c>
      <c r="F174" s="1" t="s">
        <v>42</v>
      </c>
      <c r="G174" s="3">
        <v>44098.0</v>
      </c>
      <c r="H174" s="1">
        <v>5.0</v>
      </c>
      <c r="I174" s="1" t="s">
        <v>43</v>
      </c>
      <c r="J174" s="1" t="s">
        <v>1352</v>
      </c>
      <c r="K174" s="1" t="s">
        <v>1313</v>
      </c>
      <c r="L174" s="1" t="s">
        <v>121</v>
      </c>
      <c r="O174" s="1" t="s">
        <v>1353</v>
      </c>
      <c r="P174" s="1" t="s">
        <v>1354</v>
      </c>
      <c r="W174" s="1" t="s">
        <v>1355</v>
      </c>
      <c r="AJ174" s="1" t="s">
        <v>1351</v>
      </c>
      <c r="AL174" s="1">
        <v>7.72170743018E11</v>
      </c>
      <c r="AN174" s="1">
        <v>2.0</v>
      </c>
    </row>
    <row r="175" ht="15.75" customHeight="1">
      <c r="A175" s="1" t="s">
        <v>1356</v>
      </c>
      <c r="B175" s="1" t="s">
        <v>864</v>
      </c>
      <c r="C175" s="1">
        <v>7.72377120309E11</v>
      </c>
      <c r="E175" s="1">
        <v>3.2077460035033E14</v>
      </c>
      <c r="F175" s="1" t="s">
        <v>42</v>
      </c>
      <c r="G175" s="3">
        <v>44076.0</v>
      </c>
      <c r="H175" s="1">
        <v>5.0</v>
      </c>
      <c r="I175" s="1" t="s">
        <v>43</v>
      </c>
      <c r="J175" s="1" t="s">
        <v>1357</v>
      </c>
      <c r="K175" s="1" t="s">
        <v>1358</v>
      </c>
      <c r="L175" s="1" t="s">
        <v>121</v>
      </c>
      <c r="O175" s="1" t="s">
        <v>1359</v>
      </c>
      <c r="W175" s="1" t="s">
        <v>1360</v>
      </c>
      <c r="AJ175" s="1" t="s">
        <v>1356</v>
      </c>
      <c r="AL175" s="1">
        <v>7.72377120309E11</v>
      </c>
      <c r="AN175" s="1">
        <v>1.0</v>
      </c>
    </row>
    <row r="176" ht="15.75" customHeight="1">
      <c r="A176" s="1" t="s">
        <v>1361</v>
      </c>
      <c r="B176" s="1" t="s">
        <v>864</v>
      </c>
      <c r="C176" s="1">
        <v>7.725731637E11</v>
      </c>
      <c r="E176" s="1">
        <v>3.18774600154076E14</v>
      </c>
      <c r="F176" s="1" t="s">
        <v>42</v>
      </c>
      <c r="G176" s="3">
        <v>43180.0</v>
      </c>
      <c r="H176" s="1">
        <v>7.0</v>
      </c>
      <c r="I176" s="1" t="s">
        <v>43</v>
      </c>
      <c r="J176" s="1" t="s">
        <v>1362</v>
      </c>
      <c r="K176" s="1" t="s">
        <v>1363</v>
      </c>
      <c r="L176" s="1" t="s">
        <v>121</v>
      </c>
      <c r="O176" s="1" t="s">
        <v>1364</v>
      </c>
      <c r="P176" s="1" t="s">
        <v>1365</v>
      </c>
      <c r="Q176" s="1" t="s">
        <v>1366</v>
      </c>
      <c r="W176" s="1" t="s">
        <v>1367</v>
      </c>
      <c r="X176" s="1" t="s">
        <v>1368</v>
      </c>
      <c r="AJ176" s="1" t="s">
        <v>1361</v>
      </c>
      <c r="AL176" s="1">
        <v>7.725731637E11</v>
      </c>
      <c r="AN176" s="1">
        <v>2.0</v>
      </c>
    </row>
    <row r="177" ht="15.75" customHeight="1">
      <c r="A177" s="1" t="s">
        <v>1369</v>
      </c>
      <c r="B177" s="1" t="s">
        <v>864</v>
      </c>
      <c r="C177" s="1">
        <v>7.71573449458E11</v>
      </c>
      <c r="E177" s="1">
        <v>3.21774600114232E14</v>
      </c>
      <c r="F177" s="1" t="s">
        <v>42</v>
      </c>
      <c r="G177" s="3">
        <v>44256.0</v>
      </c>
      <c r="H177" s="1">
        <v>4.0</v>
      </c>
      <c r="I177" s="1" t="s">
        <v>43</v>
      </c>
      <c r="J177" s="1" t="s">
        <v>1370</v>
      </c>
      <c r="K177" s="1" t="s">
        <v>1157</v>
      </c>
      <c r="L177" s="1" t="s">
        <v>121</v>
      </c>
      <c r="O177" s="1" t="s">
        <v>1371</v>
      </c>
      <c r="P177" s="1" t="s">
        <v>1372</v>
      </c>
      <c r="W177" s="1" t="s">
        <v>1373</v>
      </c>
      <c r="AJ177" s="1" t="s">
        <v>1369</v>
      </c>
      <c r="AL177" s="1">
        <v>7.71573449458E11</v>
      </c>
      <c r="AN177" s="1">
        <v>1.0</v>
      </c>
    </row>
    <row r="178" ht="15.75" customHeight="1">
      <c r="A178" s="1" t="s">
        <v>1374</v>
      </c>
      <c r="B178" s="1" t="s">
        <v>864</v>
      </c>
      <c r="C178" s="1">
        <v>7.72741538707E11</v>
      </c>
      <c r="E178" s="1">
        <v>3.21774600157433E14</v>
      </c>
      <c r="F178" s="1" t="s">
        <v>42</v>
      </c>
      <c r="G178" s="3">
        <v>44274.0</v>
      </c>
      <c r="H178" s="1">
        <v>4.0</v>
      </c>
      <c r="I178" s="1" t="s">
        <v>43</v>
      </c>
      <c r="J178" s="1" t="s">
        <v>1375</v>
      </c>
      <c r="K178" s="1" t="s">
        <v>1376</v>
      </c>
      <c r="L178" s="1" t="s">
        <v>121</v>
      </c>
      <c r="O178" s="1" t="s">
        <v>1377</v>
      </c>
      <c r="W178" s="1" t="s">
        <v>1378</v>
      </c>
      <c r="AJ178" s="1" t="s">
        <v>1374</v>
      </c>
      <c r="AL178" s="1">
        <v>7.72741538707E11</v>
      </c>
      <c r="AN178" s="1">
        <v>1.0</v>
      </c>
    </row>
    <row r="179" ht="15.75" customHeight="1">
      <c r="A179" s="1" t="s">
        <v>1379</v>
      </c>
      <c r="B179" s="1" t="s">
        <v>864</v>
      </c>
      <c r="C179" s="1">
        <v>7.70700931263E11</v>
      </c>
      <c r="E179" s="1">
        <v>3.21774600489063E14</v>
      </c>
      <c r="F179" s="1" t="s">
        <v>42</v>
      </c>
      <c r="G179" s="3">
        <v>44431.0</v>
      </c>
      <c r="H179" s="1">
        <v>4.0</v>
      </c>
      <c r="I179" s="1" t="s">
        <v>43</v>
      </c>
      <c r="J179" s="1" t="s">
        <v>1380</v>
      </c>
      <c r="K179" s="1" t="s">
        <v>1381</v>
      </c>
      <c r="L179" s="1" t="s">
        <v>121</v>
      </c>
      <c r="O179" s="1" t="s">
        <v>1382</v>
      </c>
      <c r="W179" s="1" t="s">
        <v>1383</v>
      </c>
      <c r="AJ179" s="1" t="s">
        <v>1379</v>
      </c>
      <c r="AL179" s="1">
        <v>7.70700931263E11</v>
      </c>
      <c r="AN179" s="1">
        <v>2.0</v>
      </c>
    </row>
    <row r="180" ht="15.75" customHeight="1">
      <c r="A180" s="1" t="s">
        <v>1384</v>
      </c>
      <c r="B180" s="1" t="s">
        <v>864</v>
      </c>
      <c r="C180" s="1">
        <v>7.70373300804E11</v>
      </c>
      <c r="E180" s="1">
        <v>3.22774600053991E14</v>
      </c>
      <c r="F180" s="1" t="s">
        <v>42</v>
      </c>
      <c r="G180" s="3">
        <v>44587.0</v>
      </c>
      <c r="H180" s="1">
        <v>4.0</v>
      </c>
      <c r="I180" s="1" t="s">
        <v>43</v>
      </c>
      <c r="J180" s="1" t="s">
        <v>901</v>
      </c>
      <c r="K180" s="1" t="s">
        <v>1385</v>
      </c>
      <c r="L180" s="1" t="s">
        <v>121</v>
      </c>
      <c r="O180" s="1" t="s">
        <v>1386</v>
      </c>
      <c r="W180" s="1" t="s">
        <v>1387</v>
      </c>
      <c r="AJ180" s="1" t="s">
        <v>1384</v>
      </c>
      <c r="AL180" s="1">
        <v>7.70373300804E11</v>
      </c>
      <c r="AN180" s="1">
        <v>2.0</v>
      </c>
    </row>
    <row r="181" ht="15.75" customHeight="1">
      <c r="A181" s="1" t="s">
        <v>1388</v>
      </c>
      <c r="B181" s="1" t="s">
        <v>864</v>
      </c>
      <c r="C181" s="1">
        <v>7.74332251785E11</v>
      </c>
      <c r="E181" s="1">
        <v>3.22774600233064E14</v>
      </c>
      <c r="F181" s="1" t="s">
        <v>42</v>
      </c>
      <c r="G181" s="3">
        <v>44662.0</v>
      </c>
      <c r="H181" s="1">
        <v>3.0</v>
      </c>
      <c r="I181" s="1" t="s">
        <v>43</v>
      </c>
      <c r="J181" s="1" t="s">
        <v>1370</v>
      </c>
      <c r="K181" s="1" t="s">
        <v>1389</v>
      </c>
      <c r="L181" s="1" t="s">
        <v>121</v>
      </c>
      <c r="O181" s="1" t="s">
        <v>1390</v>
      </c>
      <c r="P181" s="1" t="s">
        <v>1391</v>
      </c>
      <c r="W181" s="1" t="s">
        <v>1392</v>
      </c>
      <c r="AJ181" s="1" t="s">
        <v>1388</v>
      </c>
      <c r="AL181" s="1">
        <v>7.74332251785E11</v>
      </c>
      <c r="AN181" s="1">
        <v>2.0</v>
      </c>
    </row>
    <row r="182" ht="15.75" customHeight="1">
      <c r="A182" s="1" t="s">
        <v>1393</v>
      </c>
      <c r="B182" s="1" t="s">
        <v>864</v>
      </c>
      <c r="C182" s="1">
        <v>7.7201953307E11</v>
      </c>
      <c r="E182" s="1">
        <v>3.2277460026055E14</v>
      </c>
      <c r="F182" s="1" t="s">
        <v>42</v>
      </c>
      <c r="G182" s="3">
        <v>44672.0</v>
      </c>
      <c r="H182" s="1">
        <v>3.0</v>
      </c>
      <c r="I182" s="1" t="s">
        <v>43</v>
      </c>
      <c r="J182" s="1" t="s">
        <v>1394</v>
      </c>
      <c r="K182" s="1" t="s">
        <v>1395</v>
      </c>
      <c r="L182" s="1" t="s">
        <v>121</v>
      </c>
      <c r="O182" s="1" t="s">
        <v>1396</v>
      </c>
      <c r="P182" s="1" t="s">
        <v>1397</v>
      </c>
      <c r="S182" s="1" t="s">
        <v>1398</v>
      </c>
      <c r="W182" s="1" t="s">
        <v>1399</v>
      </c>
      <c r="AJ182" s="1" t="s">
        <v>1393</v>
      </c>
      <c r="AL182" s="1">
        <v>7.7201953307E11</v>
      </c>
      <c r="AN182" s="1">
        <v>2.0</v>
      </c>
    </row>
    <row r="183" ht="15.75" customHeight="1">
      <c r="A183" s="1" t="s">
        <v>1400</v>
      </c>
      <c r="B183" s="1" t="s">
        <v>864</v>
      </c>
      <c r="C183" s="1">
        <v>7.72860838509E11</v>
      </c>
      <c r="E183" s="1">
        <v>3.22774600245447E14</v>
      </c>
      <c r="F183" s="1" t="s">
        <v>42</v>
      </c>
      <c r="G183" s="3">
        <v>44665.0</v>
      </c>
      <c r="H183" s="1">
        <v>3.0</v>
      </c>
      <c r="I183" s="1" t="s">
        <v>43</v>
      </c>
      <c r="J183" s="1" t="s">
        <v>1401</v>
      </c>
      <c r="K183" s="1" t="s">
        <v>1402</v>
      </c>
      <c r="L183" s="1" t="s">
        <v>121</v>
      </c>
      <c r="O183" s="1" t="s">
        <v>1403</v>
      </c>
      <c r="AJ183" s="1" t="s">
        <v>1400</v>
      </c>
      <c r="AL183" s="1">
        <v>7.72860838509E11</v>
      </c>
      <c r="AN183" s="1">
        <v>2.0</v>
      </c>
    </row>
    <row r="184" ht="15.75" customHeight="1">
      <c r="A184" s="1" t="s">
        <v>1404</v>
      </c>
      <c r="B184" s="1" t="s">
        <v>864</v>
      </c>
      <c r="C184" s="1">
        <v>7.70301592361E11</v>
      </c>
      <c r="E184" s="1">
        <v>3.227746002923E14</v>
      </c>
      <c r="F184" s="1" t="s">
        <v>42</v>
      </c>
      <c r="G184" s="3">
        <v>44692.0</v>
      </c>
      <c r="H184" s="1">
        <v>3.0</v>
      </c>
      <c r="I184" s="1" t="s">
        <v>43</v>
      </c>
      <c r="J184" s="1" t="s">
        <v>1405</v>
      </c>
      <c r="K184" s="1" t="s">
        <v>1406</v>
      </c>
      <c r="L184" s="1" t="s">
        <v>121</v>
      </c>
      <c r="O184" s="1" t="s">
        <v>1407</v>
      </c>
      <c r="W184" s="1" t="s">
        <v>1408</v>
      </c>
      <c r="AJ184" s="1" t="s">
        <v>1404</v>
      </c>
      <c r="AL184" s="1">
        <v>7.70301592361E11</v>
      </c>
      <c r="AN184" s="1">
        <v>1.0</v>
      </c>
    </row>
    <row r="185" ht="15.75" customHeight="1">
      <c r="A185" s="1" t="s">
        <v>1409</v>
      </c>
      <c r="B185" s="1" t="s">
        <v>864</v>
      </c>
      <c r="C185" s="1">
        <v>7.73602277344E11</v>
      </c>
      <c r="E185" s="1">
        <v>3.22774600309819E14</v>
      </c>
      <c r="F185" s="1" t="s">
        <v>42</v>
      </c>
      <c r="G185" s="3">
        <v>44700.0</v>
      </c>
      <c r="H185" s="1">
        <v>3.0</v>
      </c>
      <c r="I185" s="1" t="s">
        <v>43</v>
      </c>
      <c r="J185" s="1" t="s">
        <v>1410</v>
      </c>
      <c r="K185" s="1" t="s">
        <v>1411</v>
      </c>
      <c r="L185" s="1" t="s">
        <v>121</v>
      </c>
      <c r="O185" s="1" t="s">
        <v>1412</v>
      </c>
      <c r="P185" s="1" t="s">
        <v>1413</v>
      </c>
      <c r="W185" s="1" t="s">
        <v>1414</v>
      </c>
      <c r="AJ185" s="1" t="s">
        <v>1409</v>
      </c>
      <c r="AL185" s="1">
        <v>7.73602277344E11</v>
      </c>
      <c r="AN185" s="1">
        <v>2.0</v>
      </c>
    </row>
    <row r="186" ht="15.75" customHeight="1">
      <c r="A186" s="1" t="s">
        <v>1415</v>
      </c>
      <c r="B186" s="1" t="s">
        <v>864</v>
      </c>
      <c r="C186" s="1">
        <v>7.71536721345E11</v>
      </c>
      <c r="E186" s="1">
        <v>3.227746003989E14</v>
      </c>
      <c r="F186" s="1" t="s">
        <v>42</v>
      </c>
      <c r="G186" s="3">
        <v>44742.0</v>
      </c>
      <c r="H186" s="1">
        <v>3.0</v>
      </c>
      <c r="I186" s="1" t="s">
        <v>43</v>
      </c>
      <c r="J186" s="1" t="s">
        <v>1416</v>
      </c>
      <c r="K186" s="1" t="s">
        <v>1157</v>
      </c>
      <c r="L186" s="1" t="s">
        <v>121</v>
      </c>
      <c r="O186" s="1" t="s">
        <v>1417</v>
      </c>
      <c r="W186" s="1" t="s">
        <v>1418</v>
      </c>
      <c r="AJ186" s="1" t="s">
        <v>1415</v>
      </c>
      <c r="AL186" s="1">
        <v>7.71536721345E11</v>
      </c>
      <c r="AN186" s="1">
        <v>2.0</v>
      </c>
    </row>
    <row r="187" ht="15.75" customHeight="1">
      <c r="A187" s="1" t="s">
        <v>1419</v>
      </c>
      <c r="B187" s="1" t="s">
        <v>864</v>
      </c>
      <c r="C187" s="1">
        <v>7.7182041422E11</v>
      </c>
      <c r="E187" s="1">
        <v>3.22774600420231E14</v>
      </c>
      <c r="F187" s="1" t="s">
        <v>42</v>
      </c>
      <c r="G187" s="3">
        <v>44753.0</v>
      </c>
      <c r="H187" s="1">
        <v>3.0</v>
      </c>
      <c r="I187" s="1" t="s">
        <v>43</v>
      </c>
      <c r="J187" s="1" t="s">
        <v>1420</v>
      </c>
      <c r="K187" s="1" t="s">
        <v>1180</v>
      </c>
      <c r="L187" s="1" t="s">
        <v>121</v>
      </c>
      <c r="O187" s="1" t="s">
        <v>1421</v>
      </c>
      <c r="P187" s="1" t="s">
        <v>1422</v>
      </c>
      <c r="W187" s="1" t="s">
        <v>1423</v>
      </c>
      <c r="X187" s="1" t="s">
        <v>1424</v>
      </c>
      <c r="AJ187" s="1" t="s">
        <v>1419</v>
      </c>
      <c r="AL187" s="1">
        <v>7.7182041422E11</v>
      </c>
      <c r="AN187" s="1">
        <v>2.0</v>
      </c>
    </row>
    <row r="188" ht="15.75" customHeight="1">
      <c r="A188" s="1" t="s">
        <v>1425</v>
      </c>
      <c r="B188" s="1" t="s">
        <v>864</v>
      </c>
      <c r="C188" s="1">
        <v>5.25104861909E11</v>
      </c>
      <c r="E188" s="1">
        <v>3.22774600726251E14</v>
      </c>
      <c r="F188" s="1" t="s">
        <v>42</v>
      </c>
      <c r="G188" s="3">
        <v>44897.0</v>
      </c>
      <c r="H188" s="1">
        <v>3.0</v>
      </c>
      <c r="I188" s="1" t="s">
        <v>43</v>
      </c>
      <c r="J188" s="1" t="s">
        <v>1426</v>
      </c>
      <c r="K188" s="1" t="s">
        <v>1427</v>
      </c>
      <c r="L188" s="1" t="s">
        <v>121</v>
      </c>
      <c r="O188" s="1" t="s">
        <v>1428</v>
      </c>
      <c r="P188" s="1" t="s">
        <v>1429</v>
      </c>
      <c r="W188" s="1" t="s">
        <v>1430</v>
      </c>
      <c r="AJ188" s="1" t="s">
        <v>1425</v>
      </c>
      <c r="AL188" s="1">
        <v>5.25104861909E11</v>
      </c>
      <c r="AN188" s="1">
        <v>1.0</v>
      </c>
    </row>
    <row r="189" ht="15.75" customHeight="1">
      <c r="A189" s="1" t="s">
        <v>1431</v>
      </c>
      <c r="B189" s="1" t="s">
        <v>864</v>
      </c>
      <c r="C189" s="1">
        <v>7.73315524198E11</v>
      </c>
      <c r="E189" s="1">
        <v>3.23774600280062E14</v>
      </c>
      <c r="F189" s="1" t="s">
        <v>42</v>
      </c>
      <c r="G189" s="3">
        <v>45044.0</v>
      </c>
      <c r="H189" s="1">
        <v>2.0</v>
      </c>
      <c r="I189" s="1" t="s">
        <v>43</v>
      </c>
      <c r="J189" s="1" t="s">
        <v>1432</v>
      </c>
      <c r="K189" s="1" t="s">
        <v>1433</v>
      </c>
      <c r="L189" s="1" t="s">
        <v>121</v>
      </c>
      <c r="O189" s="1" t="s">
        <v>1434</v>
      </c>
      <c r="P189" s="1" t="s">
        <v>1435</v>
      </c>
      <c r="W189" s="1" t="s">
        <v>1436</v>
      </c>
      <c r="AJ189" s="1" t="s">
        <v>1431</v>
      </c>
      <c r="AL189" s="1">
        <v>7.73315524198E11</v>
      </c>
      <c r="AN189" s="1">
        <v>1.0</v>
      </c>
    </row>
    <row r="190" ht="15.75" customHeight="1">
      <c r="A190" s="1" t="s">
        <v>468</v>
      </c>
      <c r="B190" s="1" t="s">
        <v>864</v>
      </c>
      <c r="C190" s="1">
        <v>2.1288506499E11</v>
      </c>
      <c r="E190" s="1">
        <v>3.23774600452141E14</v>
      </c>
      <c r="F190" s="1" t="s">
        <v>42</v>
      </c>
      <c r="G190" s="3">
        <v>45125.0</v>
      </c>
      <c r="H190" s="1">
        <v>2.0</v>
      </c>
      <c r="I190" s="1" t="s">
        <v>43</v>
      </c>
      <c r="J190" s="1" t="s">
        <v>1437</v>
      </c>
      <c r="K190" s="1" t="s">
        <v>1438</v>
      </c>
      <c r="L190" s="1" t="s">
        <v>121</v>
      </c>
      <c r="O190" s="1" t="s">
        <v>459</v>
      </c>
      <c r="W190" s="1" t="s">
        <v>463</v>
      </c>
      <c r="AJ190" s="1" t="s">
        <v>468</v>
      </c>
      <c r="AL190" s="1">
        <v>2.1288506499E11</v>
      </c>
      <c r="AN190" s="1">
        <v>2.0</v>
      </c>
    </row>
    <row r="191" ht="15.75" customHeight="1">
      <c r="A191" s="1" t="s">
        <v>1439</v>
      </c>
      <c r="B191" s="1" t="s">
        <v>864</v>
      </c>
      <c r="C191" s="1">
        <v>7.72443100756E11</v>
      </c>
      <c r="E191" s="1">
        <v>3.23774600649555E14</v>
      </c>
      <c r="F191" s="1" t="s">
        <v>42</v>
      </c>
      <c r="G191" s="3">
        <v>45205.0</v>
      </c>
      <c r="H191" s="1">
        <v>2.0</v>
      </c>
      <c r="I191" s="1" t="s">
        <v>43</v>
      </c>
      <c r="J191" s="1" t="s">
        <v>1440</v>
      </c>
      <c r="K191" s="1" t="s">
        <v>1441</v>
      </c>
      <c r="L191" s="1" t="s">
        <v>121</v>
      </c>
      <c r="O191" s="1" t="s">
        <v>1442</v>
      </c>
      <c r="W191" s="1" t="s">
        <v>1443</v>
      </c>
      <c r="AJ191" s="1" t="s">
        <v>1439</v>
      </c>
      <c r="AL191" s="1">
        <v>7.72443100756E11</v>
      </c>
      <c r="AN191" s="1">
        <v>2.0</v>
      </c>
    </row>
    <row r="192" ht="15.75" customHeight="1">
      <c r="A192" s="1" t="s">
        <v>1444</v>
      </c>
      <c r="B192" s="1" t="s">
        <v>864</v>
      </c>
      <c r="C192" s="1">
        <v>7.72774518907E11</v>
      </c>
      <c r="E192" s="1">
        <v>3.23774600692381E14</v>
      </c>
      <c r="F192" s="1" t="s">
        <v>42</v>
      </c>
      <c r="G192" s="3">
        <v>45220.0</v>
      </c>
      <c r="H192" s="1">
        <v>2.0</v>
      </c>
      <c r="I192" s="1" t="s">
        <v>43</v>
      </c>
      <c r="J192" s="1" t="s">
        <v>1445</v>
      </c>
      <c r="K192" s="1" t="s">
        <v>1446</v>
      </c>
      <c r="L192" s="1" t="s">
        <v>121</v>
      </c>
      <c r="O192" s="1" t="s">
        <v>1447</v>
      </c>
      <c r="W192" s="1" t="s">
        <v>1448</v>
      </c>
      <c r="AJ192" s="1" t="s">
        <v>1444</v>
      </c>
      <c r="AL192" s="1">
        <v>7.72774518907E11</v>
      </c>
      <c r="AN192" s="1">
        <v>2.0</v>
      </c>
    </row>
    <row r="193" ht="15.75" customHeight="1">
      <c r="A193" s="1" t="s">
        <v>1449</v>
      </c>
      <c r="B193" s="1" t="s">
        <v>864</v>
      </c>
      <c r="C193" s="1">
        <v>7.72421770041E11</v>
      </c>
      <c r="E193" s="1">
        <v>3.19774600124548E14</v>
      </c>
      <c r="F193" s="1" t="s">
        <v>42</v>
      </c>
      <c r="G193" s="3">
        <v>43521.0</v>
      </c>
      <c r="H193" s="1">
        <v>6.0</v>
      </c>
      <c r="I193" s="1" t="s">
        <v>43</v>
      </c>
      <c r="J193" s="1" t="s">
        <v>1450</v>
      </c>
      <c r="K193" s="1" t="s">
        <v>1441</v>
      </c>
      <c r="L193" s="1" t="s">
        <v>121</v>
      </c>
      <c r="O193" s="1" t="s">
        <v>1451</v>
      </c>
      <c r="P193" s="1" t="s">
        <v>1452</v>
      </c>
      <c r="W193" s="1" t="s">
        <v>1453</v>
      </c>
      <c r="AJ193" s="1" t="s">
        <v>1449</v>
      </c>
      <c r="AL193" s="1">
        <v>7.72421770041E11</v>
      </c>
      <c r="AN193" s="1">
        <v>2.0</v>
      </c>
    </row>
    <row r="194" ht="15.75" customHeight="1">
      <c r="A194" s="1" t="s">
        <v>1454</v>
      </c>
      <c r="B194" s="1" t="s">
        <v>864</v>
      </c>
      <c r="C194" s="1">
        <v>7.7300833191E11</v>
      </c>
      <c r="E194" s="1">
        <v>3.21774600755488E14</v>
      </c>
      <c r="F194" s="1" t="s">
        <v>42</v>
      </c>
      <c r="G194" s="3">
        <v>44536.0</v>
      </c>
      <c r="H194" s="1">
        <v>4.0</v>
      </c>
      <c r="I194" s="1" t="s">
        <v>43</v>
      </c>
      <c r="J194" s="1" t="s">
        <v>1455</v>
      </c>
      <c r="K194" s="1" t="s">
        <v>1456</v>
      </c>
      <c r="L194" s="1" t="s">
        <v>121</v>
      </c>
      <c r="O194" s="1" t="s">
        <v>1457</v>
      </c>
      <c r="P194" s="1" t="s">
        <v>1458</v>
      </c>
      <c r="W194" s="1" t="s">
        <v>1459</v>
      </c>
      <c r="AJ194" s="1" t="s">
        <v>1454</v>
      </c>
      <c r="AL194" s="1">
        <v>7.7300833191E11</v>
      </c>
      <c r="AN194" s="1">
        <v>2.0</v>
      </c>
    </row>
    <row r="195" ht="15.75" customHeight="1">
      <c r="A195" s="1" t="s">
        <v>1460</v>
      </c>
      <c r="B195" s="1" t="s">
        <v>864</v>
      </c>
      <c r="C195" s="1">
        <v>4.30707496697E11</v>
      </c>
      <c r="E195" s="1">
        <v>3.2243500000608E14</v>
      </c>
      <c r="F195" s="1" t="s">
        <v>42</v>
      </c>
      <c r="G195" s="3">
        <v>44594.0</v>
      </c>
      <c r="H195" s="1">
        <v>4.0</v>
      </c>
      <c r="I195" s="1" t="s">
        <v>43</v>
      </c>
      <c r="J195" s="1" t="s">
        <v>1461</v>
      </c>
      <c r="K195" s="1" t="s">
        <v>1462</v>
      </c>
      <c r="L195" s="1" t="s">
        <v>121</v>
      </c>
      <c r="O195" s="1" t="s">
        <v>1463</v>
      </c>
      <c r="P195" s="1" t="s">
        <v>1464</v>
      </c>
      <c r="W195" s="1" t="s">
        <v>1465</v>
      </c>
      <c r="AJ195" s="1" t="s">
        <v>1460</v>
      </c>
      <c r="AL195" s="1">
        <v>4.30707496697E11</v>
      </c>
      <c r="AN195" s="1">
        <v>2.0</v>
      </c>
    </row>
    <row r="196" ht="15.75" customHeight="1">
      <c r="A196" s="1" t="s">
        <v>1466</v>
      </c>
      <c r="B196" s="1" t="s">
        <v>864</v>
      </c>
      <c r="C196" s="1">
        <v>6.14301347824E11</v>
      </c>
      <c r="E196" s="1">
        <v>3.15774600294488E14</v>
      </c>
      <c r="F196" s="1" t="s">
        <v>42</v>
      </c>
      <c r="G196" s="3">
        <v>42249.0</v>
      </c>
      <c r="H196" s="1">
        <v>10.0</v>
      </c>
      <c r="I196" s="1" t="s">
        <v>43</v>
      </c>
      <c r="J196" s="1" t="s">
        <v>1467</v>
      </c>
      <c r="K196" s="1" t="s">
        <v>1196</v>
      </c>
      <c r="L196" s="1" t="s">
        <v>121</v>
      </c>
      <c r="O196" s="1" t="s">
        <v>1468</v>
      </c>
      <c r="P196" s="1" t="s">
        <v>1469</v>
      </c>
      <c r="S196" s="1" t="s">
        <v>1470</v>
      </c>
      <c r="W196" s="1" t="s">
        <v>1471</v>
      </c>
      <c r="AJ196" s="1" t="s">
        <v>1466</v>
      </c>
      <c r="AL196" s="1">
        <v>6.14301347824E11</v>
      </c>
      <c r="AN196" s="1">
        <v>1.0</v>
      </c>
    </row>
    <row r="197" ht="15.75" customHeight="1">
      <c r="A197" s="1" t="s">
        <v>1472</v>
      </c>
      <c r="B197" s="1" t="s">
        <v>864</v>
      </c>
      <c r="C197" s="1">
        <v>1.65900866868E11</v>
      </c>
      <c r="E197" s="1">
        <v>3.18505300096274E14</v>
      </c>
      <c r="F197" s="1" t="s">
        <v>42</v>
      </c>
      <c r="G197" s="3">
        <v>43334.0</v>
      </c>
      <c r="H197" s="1">
        <v>7.0</v>
      </c>
      <c r="I197" s="1" t="s">
        <v>43</v>
      </c>
      <c r="J197" s="1" t="s">
        <v>1473</v>
      </c>
      <c r="K197" s="1" t="s">
        <v>1474</v>
      </c>
      <c r="L197" s="1" t="s">
        <v>121</v>
      </c>
      <c r="O197" s="1" t="s">
        <v>703</v>
      </c>
      <c r="W197" s="1" t="s">
        <v>706</v>
      </c>
      <c r="AJ197" s="1" t="s">
        <v>1472</v>
      </c>
      <c r="AL197" s="1">
        <v>1.65900866868E11</v>
      </c>
      <c r="AN197" s="1">
        <v>1.0</v>
      </c>
    </row>
    <row r="198" ht="15.75" customHeight="1">
      <c r="A198" s="1" t="s">
        <v>1475</v>
      </c>
      <c r="B198" s="1" t="s">
        <v>864</v>
      </c>
      <c r="C198" s="1">
        <v>5.40122557969E11</v>
      </c>
      <c r="E198" s="1">
        <v>3.2177460056105E14</v>
      </c>
      <c r="F198" s="1" t="s">
        <v>42</v>
      </c>
      <c r="G198" s="3">
        <v>44461.0</v>
      </c>
      <c r="H198" s="1">
        <v>4.0</v>
      </c>
      <c r="I198" s="1" t="s">
        <v>43</v>
      </c>
      <c r="J198" s="1" t="s">
        <v>1476</v>
      </c>
      <c r="K198" s="1" t="s">
        <v>1256</v>
      </c>
      <c r="L198" s="1" t="s">
        <v>121</v>
      </c>
      <c r="O198" s="1" t="s">
        <v>1477</v>
      </c>
      <c r="W198" s="1" t="s">
        <v>1478</v>
      </c>
      <c r="AJ198" s="1" t="s">
        <v>1475</v>
      </c>
      <c r="AL198" s="1">
        <v>5.40122557969E11</v>
      </c>
      <c r="AN198" s="1">
        <v>1.0</v>
      </c>
    </row>
    <row r="199" ht="15.75" customHeight="1">
      <c r="A199" s="1" t="s">
        <v>1479</v>
      </c>
      <c r="B199" s="1" t="s">
        <v>41</v>
      </c>
      <c r="C199" s="1">
        <v>9.73401729E9</v>
      </c>
      <c r="D199" s="1">
        <v>7.73401001E8</v>
      </c>
      <c r="E199" s="1">
        <v>1.257700392487E12</v>
      </c>
      <c r="F199" s="1" t="s">
        <v>42</v>
      </c>
      <c r="G199" s="3">
        <v>45903.0</v>
      </c>
      <c r="H199" s="1">
        <v>0.0</v>
      </c>
      <c r="I199" s="1" t="s">
        <v>43</v>
      </c>
      <c r="J199" s="1" t="s">
        <v>1480</v>
      </c>
      <c r="K199" s="1" t="s">
        <v>1481</v>
      </c>
      <c r="L199" s="1" t="s">
        <v>121</v>
      </c>
      <c r="M199" s="1">
        <v>123060.0</v>
      </c>
      <c r="N199" s="1" t="s">
        <v>121</v>
      </c>
      <c r="O199" s="1" t="s">
        <v>1482</v>
      </c>
      <c r="AC199" s="1" t="s">
        <v>1483</v>
      </c>
      <c r="AJ199" s="1" t="s">
        <v>1484</v>
      </c>
      <c r="AK199" s="1" t="s">
        <v>61</v>
      </c>
      <c r="AL199" s="1">
        <v>6.72704921147E11</v>
      </c>
      <c r="AM199" s="3">
        <v>45903.0</v>
      </c>
      <c r="AN199" s="1">
        <v>1.0</v>
      </c>
    </row>
    <row r="200" ht="15.75" customHeight="1"/>
    <row r="201" ht="15.75" customHeight="1"/>
    <row r="202" ht="15.75" customHeight="1"/>
    <row r="203" ht="15.75" customHeight="1"/>
    <row r="204" ht="15.75" customHeight="1"/>
    <row r="205" ht="15.75" customHeight="1">
      <c r="O205" s="4" t="s">
        <v>1485</v>
      </c>
    </row>
    <row r="206" ht="15.75" customHeight="1">
      <c r="O206" s="4" t="s">
        <v>1486</v>
      </c>
    </row>
    <row r="207" ht="15.75" customHeight="1">
      <c r="O207" s="4" t="s">
        <v>1487</v>
      </c>
    </row>
    <row r="208" ht="15.75" customHeight="1">
      <c r="O208" s="4" t="s">
        <v>1488</v>
      </c>
    </row>
    <row r="209" ht="15.75" customHeight="1">
      <c r="O209" s="4" t="s">
        <v>1489</v>
      </c>
    </row>
    <row r="210" ht="15.75" customHeight="1">
      <c r="O210" s="4" t="s">
        <v>1490</v>
      </c>
    </row>
    <row r="211" ht="15.75" customHeight="1">
      <c r="O211" s="4" t="s">
        <v>1491</v>
      </c>
    </row>
    <row r="212" ht="15.75" customHeight="1">
      <c r="O212" s="4" t="s">
        <v>1492</v>
      </c>
    </row>
    <row r="213" ht="15.75" customHeight="1">
      <c r="O213" s="4" t="s">
        <v>1493</v>
      </c>
    </row>
    <row r="214" ht="15.75" customHeight="1">
      <c r="O214" s="4" t="s">
        <v>1494</v>
      </c>
    </row>
    <row r="215" ht="15.75" customHeight="1">
      <c r="O215" s="4" t="s">
        <v>1495</v>
      </c>
    </row>
    <row r="216" ht="15.75" customHeight="1">
      <c r="O216" s="4" t="s">
        <v>1496</v>
      </c>
    </row>
    <row r="217" ht="15.75" customHeight="1">
      <c r="O217" s="4" t="s">
        <v>1497</v>
      </c>
    </row>
    <row r="218" ht="15.75" customHeight="1">
      <c r="O218" s="4" t="s">
        <v>1498</v>
      </c>
    </row>
    <row r="219" ht="15.75" customHeight="1">
      <c r="O219" s="4" t="s">
        <v>1499</v>
      </c>
    </row>
    <row r="220" ht="15.75" customHeight="1">
      <c r="O220" s="4" t="s">
        <v>1500</v>
      </c>
    </row>
    <row r="221" ht="15.75" customHeight="1">
      <c r="O221" s="4" t="s">
        <v>1501</v>
      </c>
    </row>
    <row r="222" ht="15.75" customHeight="1">
      <c r="O222" s="4" t="s">
        <v>1502</v>
      </c>
    </row>
    <row r="223" ht="15.75" customHeight="1">
      <c r="O223" s="4" t="s">
        <v>1503</v>
      </c>
    </row>
    <row r="224" ht="15.75" customHeight="1">
      <c r="O224" s="4" t="s">
        <v>1504</v>
      </c>
    </row>
    <row r="225" ht="15.75" customHeight="1">
      <c r="O225" s="4" t="s">
        <v>1505</v>
      </c>
    </row>
    <row r="226" ht="15.75" customHeight="1">
      <c r="O226" s="4" t="s">
        <v>1506</v>
      </c>
    </row>
    <row r="227" ht="15.75" customHeight="1">
      <c r="O227" s="4" t="s">
        <v>1507</v>
      </c>
    </row>
    <row r="228" ht="15.75" customHeight="1">
      <c r="O228" s="4" t="s">
        <v>1508</v>
      </c>
    </row>
    <row r="229" ht="15.75" customHeight="1">
      <c r="O229" s="4" t="s">
        <v>1509</v>
      </c>
    </row>
    <row r="230" ht="15.75" customHeight="1">
      <c r="O230" s="4" t="s">
        <v>1510</v>
      </c>
    </row>
    <row r="231" ht="15.75" customHeight="1">
      <c r="O231" s="4" t="s">
        <v>1511</v>
      </c>
    </row>
    <row r="232" ht="15.75" customHeight="1">
      <c r="O232" s="4" t="s">
        <v>1512</v>
      </c>
    </row>
    <row r="233" ht="15.75" customHeight="1">
      <c r="O233" s="4" t="s">
        <v>1513</v>
      </c>
    </row>
    <row r="234" ht="15.75" customHeight="1">
      <c r="O234" s="4" t="s">
        <v>1514</v>
      </c>
    </row>
    <row r="235" ht="15.75" customHeight="1">
      <c r="O235" s="4" t="s">
        <v>1515</v>
      </c>
    </row>
    <row r="236" ht="15.75" customHeight="1">
      <c r="O236" s="4" t="s">
        <v>1516</v>
      </c>
    </row>
    <row r="237" ht="15.75" customHeight="1">
      <c r="O237" s="4" t="s">
        <v>1517</v>
      </c>
    </row>
    <row r="238" ht="15.75" customHeight="1">
      <c r="O238" s="4" t="s">
        <v>1518</v>
      </c>
    </row>
    <row r="239" ht="15.75" customHeight="1">
      <c r="O239" s="4" t="s">
        <v>1519</v>
      </c>
    </row>
    <row r="240" ht="15.75" customHeight="1">
      <c r="O240" s="4" t="s">
        <v>1520</v>
      </c>
    </row>
    <row r="241" ht="15.75" customHeight="1">
      <c r="O241" s="4" t="s">
        <v>1521</v>
      </c>
    </row>
    <row r="242" ht="15.75" customHeight="1">
      <c r="O242" s="4" t="s">
        <v>1522</v>
      </c>
    </row>
    <row r="243" ht="15.75" customHeight="1">
      <c r="O243" s="4" t="s">
        <v>1523</v>
      </c>
    </row>
    <row r="244" ht="15.75" customHeight="1">
      <c r="O244" s="4" t="s">
        <v>1524</v>
      </c>
    </row>
    <row r="245" ht="15.75" customHeight="1">
      <c r="O245" s="4" t="s">
        <v>1525</v>
      </c>
    </row>
    <row r="246" ht="15.75" customHeight="1">
      <c r="O246" s="4" t="s">
        <v>1526</v>
      </c>
    </row>
    <row r="247" ht="15.75" customHeight="1">
      <c r="O247" s="4" t="s">
        <v>1527</v>
      </c>
    </row>
    <row r="248" ht="15.75" customHeight="1">
      <c r="O248" s="4" t="s">
        <v>1528</v>
      </c>
    </row>
    <row r="249" ht="15.75" customHeight="1">
      <c r="O249" s="4" t="s">
        <v>1529</v>
      </c>
    </row>
    <row r="250" ht="15.75" customHeight="1">
      <c r="O250" s="4" t="s">
        <v>1530</v>
      </c>
    </row>
    <row r="251" ht="15.75" customHeight="1">
      <c r="O251" s="4" t="s">
        <v>1531</v>
      </c>
    </row>
    <row r="252" ht="15.75" customHeight="1">
      <c r="O252" s="4" t="s">
        <v>1532</v>
      </c>
    </row>
    <row r="253" ht="15.75" customHeight="1">
      <c r="O253" s="4" t="s">
        <v>1533</v>
      </c>
    </row>
    <row r="254" ht="15.75" customHeight="1">
      <c r="O254" s="4" t="s">
        <v>1534</v>
      </c>
    </row>
    <row r="255" ht="15.75" customHeight="1">
      <c r="O255" s="4" t="s">
        <v>1535</v>
      </c>
    </row>
    <row r="256" ht="15.75" customHeight="1">
      <c r="O256" s="4" t="s">
        <v>1536</v>
      </c>
    </row>
    <row r="257" ht="15.75" customHeight="1">
      <c r="O257" s="4" t="s">
        <v>1537</v>
      </c>
    </row>
    <row r="258" ht="15.75" customHeight="1">
      <c r="O258" s="4" t="s">
        <v>1538</v>
      </c>
    </row>
    <row r="259" ht="15.75" customHeight="1">
      <c r="O259" s="4" t="s">
        <v>1539</v>
      </c>
    </row>
    <row r="260" ht="15.75" customHeight="1">
      <c r="O260" s="4" t="s">
        <v>1540</v>
      </c>
    </row>
    <row r="261" ht="15.75" customHeight="1">
      <c r="O261" s="4" t="s">
        <v>1541</v>
      </c>
    </row>
    <row r="262" ht="15.75" customHeight="1">
      <c r="O262" s="4" t="s">
        <v>1542</v>
      </c>
    </row>
    <row r="263" ht="15.75" customHeight="1">
      <c r="O263" s="4" t="s">
        <v>1543</v>
      </c>
    </row>
    <row r="264" ht="15.75" customHeight="1">
      <c r="O264" s="4" t="s">
        <v>1544</v>
      </c>
    </row>
    <row r="265" ht="15.75" customHeight="1">
      <c r="O265" s="4" t="s">
        <v>1545</v>
      </c>
    </row>
    <row r="266" ht="15.75" customHeight="1">
      <c r="O266" s="4" t="s">
        <v>1546</v>
      </c>
    </row>
    <row r="267" ht="15.75" customHeight="1">
      <c r="O267" s="4" t="s">
        <v>1547</v>
      </c>
    </row>
    <row r="268" ht="15.75" customHeight="1">
      <c r="O268" s="4" t="s">
        <v>1548</v>
      </c>
    </row>
    <row r="269" ht="15.75" customHeight="1">
      <c r="O269" s="4" t="s">
        <v>1549</v>
      </c>
    </row>
    <row r="270" ht="15.75" customHeight="1">
      <c r="O270" s="4" t="s">
        <v>1550</v>
      </c>
    </row>
    <row r="271" ht="15.75" customHeight="1">
      <c r="O271" s="4" t="s">
        <v>1551</v>
      </c>
    </row>
    <row r="272" ht="15.75" customHeight="1">
      <c r="O272" s="4" t="s">
        <v>1552</v>
      </c>
    </row>
    <row r="273" ht="15.75" customHeight="1">
      <c r="O273" s="4" t="s">
        <v>1553</v>
      </c>
    </row>
    <row r="274" ht="15.75" customHeight="1">
      <c r="O274" s="4" t="s">
        <v>1554</v>
      </c>
    </row>
    <row r="275" ht="15.75" customHeight="1">
      <c r="O275" s="4" t="s">
        <v>1555</v>
      </c>
    </row>
    <row r="276" ht="15.75" customHeight="1">
      <c r="O276" s="4" t="s">
        <v>1556</v>
      </c>
    </row>
    <row r="277" ht="15.75" customHeight="1">
      <c r="O277" s="4" t="s">
        <v>1557</v>
      </c>
    </row>
    <row r="278" ht="15.75" customHeight="1">
      <c r="O278" s="4" t="s">
        <v>1558</v>
      </c>
    </row>
    <row r="279" ht="15.75" customHeight="1">
      <c r="O279" s="4" t="s">
        <v>1559</v>
      </c>
    </row>
    <row r="280" ht="15.75" customHeight="1">
      <c r="O280" s="4" t="s">
        <v>1560</v>
      </c>
    </row>
    <row r="281" ht="15.75" customHeight="1">
      <c r="O281" s="4" t="s">
        <v>1561</v>
      </c>
    </row>
    <row r="282" ht="15.75" customHeight="1">
      <c r="O282" s="4" t="s">
        <v>1562</v>
      </c>
    </row>
    <row r="283" ht="15.75" customHeight="1">
      <c r="O283" s="4" t="s">
        <v>1563</v>
      </c>
    </row>
    <row r="284" ht="15.75" customHeight="1">
      <c r="O284" s="4" t="s">
        <v>1564</v>
      </c>
    </row>
    <row r="285" ht="15.75" customHeight="1">
      <c r="O285" s="4" t="s">
        <v>1565</v>
      </c>
    </row>
    <row r="286" ht="15.75" customHeight="1">
      <c r="O286" s="4" t="s">
        <v>1566</v>
      </c>
    </row>
    <row r="287" ht="15.75" customHeight="1">
      <c r="O287" s="4" t="s">
        <v>1567</v>
      </c>
    </row>
    <row r="288" ht="15.75" customHeight="1">
      <c r="O288" s="4" t="s">
        <v>1568</v>
      </c>
    </row>
    <row r="289" ht="15.75" customHeight="1">
      <c r="O289" s="4" t="s">
        <v>1569</v>
      </c>
    </row>
    <row r="290" ht="15.75" customHeight="1">
      <c r="O290" s="4" t="s">
        <v>1570</v>
      </c>
    </row>
    <row r="291" ht="15.75" customHeight="1">
      <c r="O291" s="4" t="s">
        <v>1571</v>
      </c>
    </row>
    <row r="292" ht="15.75" customHeight="1">
      <c r="O292" s="4" t="s">
        <v>1572</v>
      </c>
    </row>
    <row r="293" ht="15.75" customHeight="1">
      <c r="O293" s="4" t="s">
        <v>1573</v>
      </c>
    </row>
    <row r="294" ht="15.75" customHeight="1">
      <c r="O294" s="4" t="s">
        <v>1574</v>
      </c>
    </row>
    <row r="295" ht="15.75" customHeight="1">
      <c r="O295" s="4" t="s">
        <v>1575</v>
      </c>
    </row>
    <row r="296" ht="15.75" customHeight="1">
      <c r="O296" s="4" t="s">
        <v>1576</v>
      </c>
    </row>
    <row r="297" ht="15.75" customHeight="1">
      <c r="O297" s="4" t="s">
        <v>1577</v>
      </c>
    </row>
    <row r="298" ht="15.75" customHeight="1">
      <c r="O298" s="4" t="s">
        <v>1578</v>
      </c>
    </row>
    <row r="299" ht="15.75" customHeight="1">
      <c r="O299" s="4" t="s">
        <v>1579</v>
      </c>
    </row>
    <row r="300" ht="15.75" customHeight="1">
      <c r="O300" s="4" t="s">
        <v>1580</v>
      </c>
    </row>
    <row r="301" ht="15.75" customHeight="1">
      <c r="O301" s="4" t="s">
        <v>1581</v>
      </c>
    </row>
    <row r="302" ht="15.75" customHeight="1">
      <c r="O302" s="4" t="s">
        <v>1582</v>
      </c>
    </row>
    <row r="303" ht="15.75" customHeight="1">
      <c r="O303" s="4" t="s">
        <v>1583</v>
      </c>
    </row>
    <row r="304" ht="15.75" customHeight="1">
      <c r="O304" s="4" t="s">
        <v>1584</v>
      </c>
    </row>
    <row r="305" ht="15.75" customHeight="1">
      <c r="O305" s="4" t="s">
        <v>1585</v>
      </c>
    </row>
    <row r="306" ht="15.75" customHeight="1">
      <c r="O306" s="4" t="s">
        <v>1586</v>
      </c>
    </row>
    <row r="307" ht="15.75" customHeight="1">
      <c r="O307" s="4" t="s">
        <v>1587</v>
      </c>
    </row>
    <row r="308" ht="15.75" customHeight="1">
      <c r="O308" s="4" t="s">
        <v>1588</v>
      </c>
    </row>
    <row r="309" ht="15.75" customHeight="1">
      <c r="O309" s="4" t="s">
        <v>1589</v>
      </c>
    </row>
    <row r="310" ht="15.75" customHeight="1">
      <c r="O310" s="4" t="s">
        <v>1590</v>
      </c>
    </row>
    <row r="311" ht="15.75" customHeight="1">
      <c r="O311" s="4" t="s">
        <v>1591</v>
      </c>
    </row>
    <row r="312" ht="15.75" customHeight="1">
      <c r="O312" s="4" t="s">
        <v>1592</v>
      </c>
    </row>
    <row r="313" ht="15.75" customHeight="1">
      <c r="O313" s="4" t="s">
        <v>1593</v>
      </c>
    </row>
    <row r="314" ht="15.75" customHeight="1">
      <c r="O314" s="4" t="s">
        <v>1594</v>
      </c>
    </row>
    <row r="315" ht="15.75" customHeight="1">
      <c r="O315" s="4" t="s">
        <v>1595</v>
      </c>
    </row>
    <row r="316" ht="15.75" customHeight="1">
      <c r="O316" s="4" t="s">
        <v>1596</v>
      </c>
    </row>
    <row r="317" ht="15.75" customHeight="1">
      <c r="O317" s="4" t="s">
        <v>1597</v>
      </c>
    </row>
    <row r="318" ht="15.75" customHeight="1">
      <c r="O318" s="4" t="s">
        <v>1598</v>
      </c>
    </row>
    <row r="319" ht="15.75" customHeight="1">
      <c r="O319" s="4" t="s">
        <v>1599</v>
      </c>
    </row>
    <row r="320" ht="15.75" customHeight="1">
      <c r="O320" s="4" t="s">
        <v>1600</v>
      </c>
    </row>
    <row r="321" ht="15.75" customHeight="1">
      <c r="O321" s="4" t="s">
        <v>1601</v>
      </c>
    </row>
    <row r="322" ht="15.75" customHeight="1">
      <c r="O322" s="4" t="s">
        <v>1602</v>
      </c>
    </row>
    <row r="323" ht="15.75" customHeight="1">
      <c r="O323" s="4" t="s">
        <v>1603</v>
      </c>
    </row>
    <row r="324" ht="15.75" customHeight="1">
      <c r="O324" s="4" t="s">
        <v>1604</v>
      </c>
    </row>
    <row r="325" ht="15.75" customHeight="1">
      <c r="O325" s="4" t="s">
        <v>1605</v>
      </c>
    </row>
    <row r="326" ht="15.75" customHeight="1">
      <c r="O326" s="4" t="s">
        <v>1606</v>
      </c>
    </row>
    <row r="327" ht="15.75" customHeight="1">
      <c r="O327" s="4" t="s">
        <v>1607</v>
      </c>
    </row>
    <row r="328" ht="15.75" customHeight="1">
      <c r="O328" s="4" t="s">
        <v>1608</v>
      </c>
    </row>
    <row r="329" ht="15.75" customHeight="1">
      <c r="O329" s="4" t="s">
        <v>1609</v>
      </c>
    </row>
    <row r="330" ht="15.75" customHeight="1">
      <c r="O330" s="4" t="s">
        <v>1610</v>
      </c>
    </row>
    <row r="331" ht="15.75" customHeight="1">
      <c r="O331" s="4" t="s">
        <v>1611</v>
      </c>
    </row>
    <row r="332" ht="15.75" customHeight="1">
      <c r="O332" s="4" t="s">
        <v>1612</v>
      </c>
    </row>
    <row r="333" ht="15.75" customHeight="1">
      <c r="O333" s="4" t="s">
        <v>1613</v>
      </c>
    </row>
    <row r="334" ht="15.75" customHeight="1">
      <c r="O334" s="4" t="s">
        <v>1614</v>
      </c>
    </row>
    <row r="335" ht="15.75" customHeight="1">
      <c r="O335" s="4" t="s">
        <v>1615</v>
      </c>
    </row>
    <row r="336" ht="15.75" customHeight="1">
      <c r="O336" s="4" t="s">
        <v>1616</v>
      </c>
    </row>
    <row r="337" ht="15.75" customHeight="1">
      <c r="O337" s="4" t="s">
        <v>1617</v>
      </c>
    </row>
    <row r="338" ht="15.75" customHeight="1">
      <c r="O338" s="4" t="s">
        <v>1618</v>
      </c>
    </row>
    <row r="339" ht="15.75" customHeight="1">
      <c r="O339" s="4" t="s">
        <v>1619</v>
      </c>
    </row>
    <row r="340" ht="15.75" customHeight="1">
      <c r="O340" s="4" t="s">
        <v>1620</v>
      </c>
    </row>
    <row r="341" ht="15.75" customHeight="1">
      <c r="O341" s="4" t="s">
        <v>1621</v>
      </c>
    </row>
    <row r="342" ht="15.75" customHeight="1">
      <c r="O342" s="4" t="s">
        <v>1622</v>
      </c>
    </row>
    <row r="343" ht="15.75" customHeight="1">
      <c r="O343" s="4" t="s">
        <v>1623</v>
      </c>
    </row>
    <row r="344" ht="15.75" customHeight="1">
      <c r="O344" s="4" t="s">
        <v>1624</v>
      </c>
    </row>
    <row r="345" ht="15.75" customHeight="1">
      <c r="O345" s="4" t="s">
        <v>1625</v>
      </c>
    </row>
    <row r="346" ht="15.75" customHeight="1">
      <c r="O346" s="4" t="s">
        <v>1626</v>
      </c>
    </row>
    <row r="347" ht="15.75" customHeight="1">
      <c r="O347" s="4" t="s">
        <v>1627</v>
      </c>
    </row>
    <row r="348" ht="15.75" customHeight="1">
      <c r="O348" s="4" t="s">
        <v>1628</v>
      </c>
    </row>
    <row r="349" ht="15.75" customHeight="1">
      <c r="O349" s="4" t="s">
        <v>1629</v>
      </c>
    </row>
    <row r="350" ht="15.75" customHeight="1">
      <c r="O350" s="4" t="s">
        <v>1630</v>
      </c>
    </row>
    <row r="351" ht="15.75" customHeight="1">
      <c r="O351" s="4" t="s">
        <v>1631</v>
      </c>
    </row>
    <row r="352" ht="15.75" customHeight="1">
      <c r="O352" s="4" t="s">
        <v>1632</v>
      </c>
    </row>
    <row r="353" ht="15.75" customHeight="1">
      <c r="O353" s="4" t="s">
        <v>1633</v>
      </c>
    </row>
    <row r="354" ht="15.75" customHeight="1">
      <c r="O354" s="4" t="s">
        <v>1634</v>
      </c>
    </row>
    <row r="355" ht="15.75" customHeight="1">
      <c r="O355" s="4" t="s">
        <v>1635</v>
      </c>
    </row>
    <row r="356" ht="15.75" customHeight="1">
      <c r="O356" s="4" t="s">
        <v>1636</v>
      </c>
    </row>
    <row r="357" ht="15.75" customHeight="1">
      <c r="O357" s="4" t="s">
        <v>1637</v>
      </c>
    </row>
    <row r="358" ht="15.75" customHeight="1">
      <c r="O358" s="4" t="s">
        <v>1638</v>
      </c>
    </row>
    <row r="359" ht="15.75" customHeight="1">
      <c r="O359" s="4" t="s">
        <v>1639</v>
      </c>
    </row>
    <row r="360" ht="15.75" customHeight="1">
      <c r="O360" s="4" t="s">
        <v>1640</v>
      </c>
    </row>
    <row r="361" ht="15.75" customHeight="1">
      <c r="O361" s="4" t="s">
        <v>1641</v>
      </c>
    </row>
    <row r="362" ht="15.75" customHeight="1">
      <c r="O362" s="4" t="s">
        <v>1642</v>
      </c>
    </row>
    <row r="363" ht="15.75" customHeight="1">
      <c r="O363" s="4" t="s">
        <v>1643</v>
      </c>
    </row>
    <row r="364" ht="15.75" customHeight="1">
      <c r="O364" s="4" t="s">
        <v>1644</v>
      </c>
    </row>
    <row r="365" ht="15.75" customHeight="1">
      <c r="O365" s="4" t="s">
        <v>1645</v>
      </c>
    </row>
    <row r="366" ht="15.75" customHeight="1">
      <c r="O366" s="4" t="s">
        <v>1646</v>
      </c>
    </row>
    <row r="367" ht="15.75" customHeight="1">
      <c r="O367" s="4" t="s">
        <v>1647</v>
      </c>
    </row>
    <row r="368" ht="15.75" customHeight="1">
      <c r="O368" s="4" t="s">
        <v>1648</v>
      </c>
    </row>
    <row r="369" ht="15.75" customHeight="1">
      <c r="O369" s="4" t="s">
        <v>1649</v>
      </c>
    </row>
    <row r="370" ht="15.75" customHeight="1">
      <c r="O370" s="4" t="s">
        <v>1650</v>
      </c>
    </row>
    <row r="371" ht="15.75" customHeight="1">
      <c r="O371" s="4" t="s">
        <v>1651</v>
      </c>
    </row>
    <row r="372" ht="15.75" customHeight="1">
      <c r="O372" s="4" t="s">
        <v>1652</v>
      </c>
    </row>
    <row r="373" ht="15.75" customHeight="1">
      <c r="O373" s="4" t="s">
        <v>1653</v>
      </c>
    </row>
    <row r="374" ht="15.75" customHeight="1">
      <c r="O374" s="4" t="s">
        <v>1654</v>
      </c>
    </row>
    <row r="375" ht="15.75" customHeight="1">
      <c r="O375" s="4" t="s">
        <v>1655</v>
      </c>
    </row>
    <row r="376" ht="15.75" customHeight="1">
      <c r="O376" s="4" t="s">
        <v>1656</v>
      </c>
    </row>
    <row r="377" ht="15.75" customHeight="1">
      <c r="O377" s="4" t="s">
        <v>1657</v>
      </c>
    </row>
    <row r="378" ht="15.75" customHeight="1">
      <c r="O378" s="4" t="s">
        <v>1658</v>
      </c>
    </row>
    <row r="379" ht="15.75" customHeight="1">
      <c r="O379" s="4" t="s">
        <v>1659</v>
      </c>
    </row>
    <row r="380" ht="15.75" customHeight="1">
      <c r="O380" s="4" t="s">
        <v>1660</v>
      </c>
    </row>
    <row r="381" ht="15.75" customHeight="1">
      <c r="O381" s="4" t="s">
        <v>1661</v>
      </c>
    </row>
    <row r="382" ht="15.75" customHeight="1">
      <c r="O382" s="4" t="s">
        <v>1662</v>
      </c>
    </row>
    <row r="383" ht="15.75" customHeight="1">
      <c r="O383" s="4" t="s">
        <v>1663</v>
      </c>
    </row>
    <row r="384" ht="15.75" customHeight="1">
      <c r="O384" s="4" t="s">
        <v>1664</v>
      </c>
    </row>
    <row r="385" ht="15.75" customHeight="1">
      <c r="O385" s="4" t="s">
        <v>1665</v>
      </c>
    </row>
    <row r="386" ht="15.75" customHeight="1">
      <c r="O386" s="4" t="s">
        <v>1666</v>
      </c>
    </row>
    <row r="387" ht="15.75" customHeight="1">
      <c r="O387" s="4" t="s">
        <v>1667</v>
      </c>
    </row>
    <row r="388" ht="15.75" customHeight="1">
      <c r="O388" s="4" t="s">
        <v>1668</v>
      </c>
    </row>
    <row r="389" ht="15.75" customHeight="1">
      <c r="O389" s="4" t="s">
        <v>1669</v>
      </c>
    </row>
    <row r="390" ht="15.75" customHeight="1">
      <c r="O390" s="4" t="s">
        <v>1670</v>
      </c>
    </row>
    <row r="391" ht="15.75" customHeight="1">
      <c r="O391" s="4" t="s">
        <v>1671</v>
      </c>
    </row>
    <row r="392" ht="15.75" customHeight="1">
      <c r="O392" s="4" t="s">
        <v>1672</v>
      </c>
    </row>
    <row r="393" ht="15.75" customHeight="1">
      <c r="O393" s="4" t="s">
        <v>1673</v>
      </c>
    </row>
    <row r="394" ht="15.75" customHeight="1">
      <c r="O394" s="4" t="s">
        <v>1674</v>
      </c>
    </row>
    <row r="395" ht="15.75" customHeight="1">
      <c r="O395" s="4" t="s">
        <v>1675</v>
      </c>
    </row>
    <row r="396" ht="15.75" customHeight="1">
      <c r="O396" s="4" t="s">
        <v>1676</v>
      </c>
    </row>
    <row r="397" ht="15.75" customHeight="1">
      <c r="O397" s="4" t="s">
        <v>1677</v>
      </c>
    </row>
    <row r="398" ht="15.75" customHeight="1">
      <c r="O398" s="4" t="s">
        <v>1678</v>
      </c>
    </row>
    <row r="399" ht="15.75" customHeight="1">
      <c r="O399" s="4" t="s">
        <v>1679</v>
      </c>
    </row>
    <row r="400" ht="15.75" customHeight="1">
      <c r="O400" s="4" t="s">
        <v>1680</v>
      </c>
    </row>
    <row r="401" ht="15.75" customHeight="1">
      <c r="O401" s="4" t="s">
        <v>1681</v>
      </c>
    </row>
    <row r="402" ht="15.75" customHeight="1">
      <c r="O402" s="4" t="s">
        <v>1682</v>
      </c>
    </row>
    <row r="403" ht="15.75" customHeight="1">
      <c r="O403" s="4" t="s">
        <v>1683</v>
      </c>
    </row>
    <row r="404" ht="15.75" customHeight="1">
      <c r="O404" s="4" t="s">
        <v>1684</v>
      </c>
    </row>
    <row r="405" ht="15.75" customHeight="1">
      <c r="O405" s="4" t="s">
        <v>1685</v>
      </c>
    </row>
    <row r="406" ht="15.75" customHeight="1">
      <c r="O406" s="4" t="s">
        <v>1686</v>
      </c>
    </row>
    <row r="407" ht="15.75" customHeight="1">
      <c r="O407" s="4" t="s">
        <v>1687</v>
      </c>
    </row>
    <row r="408" ht="15.75" customHeight="1">
      <c r="O408" s="4" t="s">
        <v>1688</v>
      </c>
    </row>
    <row r="409" ht="15.75" customHeight="1">
      <c r="O409" s="4" t="s">
        <v>1689</v>
      </c>
    </row>
    <row r="410" ht="15.75" customHeight="1">
      <c r="O410" s="4" t="s">
        <v>1690</v>
      </c>
    </row>
    <row r="411" ht="15.75" customHeight="1">
      <c r="O411" s="4" t="s">
        <v>1691</v>
      </c>
    </row>
    <row r="412" ht="15.75" customHeight="1">
      <c r="O412" s="4" t="s">
        <v>1692</v>
      </c>
    </row>
    <row r="413" ht="15.75" customHeight="1">
      <c r="O413" s="4" t="s">
        <v>1693</v>
      </c>
    </row>
    <row r="414" ht="15.75" customHeight="1">
      <c r="O414" s="4" t="s">
        <v>1694</v>
      </c>
    </row>
    <row r="415" ht="15.75" customHeight="1">
      <c r="O415" s="4" t="s">
        <v>1695</v>
      </c>
    </row>
    <row r="416" ht="15.75" customHeight="1">
      <c r="O416" s="4" t="s">
        <v>1696</v>
      </c>
    </row>
    <row r="417" ht="15.75" customHeight="1">
      <c r="O417" s="4" t="s">
        <v>1697</v>
      </c>
    </row>
    <row r="418" ht="15.75" customHeight="1">
      <c r="O418" s="4" t="s">
        <v>1698</v>
      </c>
    </row>
    <row r="419" ht="15.75" customHeight="1">
      <c r="O419" s="4" t="s">
        <v>1699</v>
      </c>
    </row>
    <row r="420" ht="15.75" customHeight="1">
      <c r="O420" s="4" t="s">
        <v>1700</v>
      </c>
    </row>
    <row r="421" ht="15.75" customHeight="1">
      <c r="O421" s="4" t="s">
        <v>1701</v>
      </c>
    </row>
    <row r="422" ht="15.75" customHeight="1">
      <c r="O422" s="4" t="s">
        <v>1702</v>
      </c>
    </row>
    <row r="423" ht="15.75" customHeight="1">
      <c r="O423" s="4" t="s">
        <v>1703</v>
      </c>
    </row>
    <row r="424" ht="15.75" customHeight="1">
      <c r="O424" s="4" t="s">
        <v>1704</v>
      </c>
    </row>
    <row r="425" ht="15.75" customHeight="1">
      <c r="O425" s="4" t="s">
        <v>1705</v>
      </c>
    </row>
    <row r="426" ht="15.75" customHeight="1">
      <c r="O426" s="4" t="s">
        <v>1706</v>
      </c>
    </row>
    <row r="427" ht="15.75" customHeight="1">
      <c r="O427" s="4" t="s">
        <v>1707</v>
      </c>
    </row>
    <row r="428" ht="15.75" customHeight="1">
      <c r="O428" s="4" t="s">
        <v>1708</v>
      </c>
    </row>
    <row r="429" ht="15.75" customHeight="1">
      <c r="O429" s="4" t="s">
        <v>1709</v>
      </c>
    </row>
    <row r="430" ht="15.75" customHeight="1">
      <c r="O430" s="4" t="s">
        <v>1710</v>
      </c>
    </row>
    <row r="431" ht="15.75" customHeight="1">
      <c r="O431" s="4" t="s">
        <v>1711</v>
      </c>
    </row>
    <row r="432" ht="15.75" customHeight="1">
      <c r="O432" s="4" t="s">
        <v>1712</v>
      </c>
    </row>
    <row r="433" ht="15.75" customHeight="1">
      <c r="O433" s="4" t="s">
        <v>1713</v>
      </c>
    </row>
    <row r="434" ht="15.75" customHeight="1">
      <c r="O434" s="4" t="s">
        <v>1714</v>
      </c>
    </row>
    <row r="435" ht="15.75" customHeight="1">
      <c r="O435" s="4" t="s">
        <v>1715</v>
      </c>
    </row>
    <row r="436" ht="15.75" customHeight="1">
      <c r="O436" s="4" t="s">
        <v>1716</v>
      </c>
    </row>
    <row r="437" ht="15.75" customHeight="1">
      <c r="O437" s="4" t="s">
        <v>1717</v>
      </c>
    </row>
    <row r="438" ht="15.75" customHeight="1">
      <c r="O438" s="4" t="s">
        <v>1718</v>
      </c>
    </row>
    <row r="439" ht="15.75" customHeight="1">
      <c r="O439" s="4" t="s">
        <v>1719</v>
      </c>
    </row>
    <row r="440" ht="15.75" customHeight="1">
      <c r="O440" s="4" t="s">
        <v>1720</v>
      </c>
    </row>
    <row r="441" ht="15.75" customHeight="1">
      <c r="O441" s="4" t="s">
        <v>1721</v>
      </c>
    </row>
    <row r="442" ht="15.75" customHeight="1">
      <c r="O442" s="4" t="s">
        <v>1722</v>
      </c>
    </row>
    <row r="443" ht="15.75" customHeight="1">
      <c r="O443" s="4" t="s">
        <v>1723</v>
      </c>
    </row>
    <row r="444" ht="15.75" customHeight="1">
      <c r="O444" s="4" t="s">
        <v>1724</v>
      </c>
    </row>
    <row r="445" ht="15.75" customHeight="1">
      <c r="O445" s="4" t="s">
        <v>1725</v>
      </c>
    </row>
    <row r="446" ht="15.75" customHeight="1">
      <c r="O446" s="4" t="s">
        <v>1726</v>
      </c>
    </row>
    <row r="447" ht="15.75" customHeight="1">
      <c r="O447" s="4" t="s">
        <v>1727</v>
      </c>
    </row>
    <row r="448" ht="15.75" customHeight="1">
      <c r="O448" s="4" t="s">
        <v>1728</v>
      </c>
    </row>
    <row r="449" ht="15.75" customHeight="1">
      <c r="O449" s="4" t="s">
        <v>1729</v>
      </c>
    </row>
    <row r="450" ht="15.75" customHeight="1">
      <c r="O450" s="4" t="s">
        <v>1730</v>
      </c>
    </row>
    <row r="451" ht="15.75" customHeight="1">
      <c r="O451" s="4" t="s">
        <v>1731</v>
      </c>
    </row>
    <row r="452" ht="15.75" customHeight="1">
      <c r="O452" s="4" t="s">
        <v>1732</v>
      </c>
    </row>
    <row r="453" ht="15.75" customHeight="1">
      <c r="O453" s="4" t="s">
        <v>1733</v>
      </c>
    </row>
    <row r="454" ht="15.75" customHeight="1">
      <c r="O454" s="4" t="s">
        <v>1734</v>
      </c>
    </row>
    <row r="455" ht="15.75" customHeight="1">
      <c r="O455" s="4" t="s">
        <v>1735</v>
      </c>
    </row>
    <row r="456" ht="15.75" customHeight="1">
      <c r="O456" s="4" t="s">
        <v>1736</v>
      </c>
    </row>
    <row r="457" ht="15.75" customHeight="1">
      <c r="O457" s="4" t="s">
        <v>1737</v>
      </c>
    </row>
    <row r="458" ht="15.75" customHeight="1">
      <c r="O458" s="4" t="s">
        <v>1738</v>
      </c>
    </row>
    <row r="459" ht="15.75" customHeight="1">
      <c r="O459" s="4" t="s">
        <v>1739</v>
      </c>
    </row>
    <row r="460" ht="15.75" customHeight="1">
      <c r="O460" s="4" t="s">
        <v>1740</v>
      </c>
    </row>
    <row r="461" ht="15.75" customHeight="1">
      <c r="O461" s="4" t="s">
        <v>1741</v>
      </c>
    </row>
    <row r="462" ht="15.75" customHeight="1">
      <c r="O462" s="4" t="s">
        <v>1742</v>
      </c>
    </row>
    <row r="463" ht="15.75" customHeight="1">
      <c r="O463" s="4" t="s">
        <v>1743</v>
      </c>
    </row>
    <row r="464" ht="15.75" customHeight="1">
      <c r="O464" s="4" t="s">
        <v>1744</v>
      </c>
    </row>
    <row r="465" ht="15.75" customHeight="1">
      <c r="O465" s="4" t="s">
        <v>1745</v>
      </c>
    </row>
    <row r="466" ht="15.75" customHeight="1">
      <c r="O466" s="4" t="s">
        <v>1746</v>
      </c>
    </row>
    <row r="467" ht="15.75" customHeight="1">
      <c r="O467" s="4" t="s">
        <v>1747</v>
      </c>
    </row>
    <row r="468" ht="15.75" customHeight="1">
      <c r="O468" s="4" t="s">
        <v>1748</v>
      </c>
    </row>
    <row r="469" ht="15.75" customHeight="1">
      <c r="O469" s="4" t="s">
        <v>1749</v>
      </c>
    </row>
    <row r="470" ht="15.75" customHeight="1">
      <c r="O470" s="4" t="s">
        <v>1750</v>
      </c>
    </row>
    <row r="471" ht="15.75" customHeight="1">
      <c r="O471" s="4" t="s">
        <v>1751</v>
      </c>
    </row>
    <row r="472" ht="15.75" customHeight="1">
      <c r="O472" s="4" t="s">
        <v>1752</v>
      </c>
    </row>
    <row r="473" ht="15.75" customHeight="1">
      <c r="O473" s="4" t="s">
        <v>1753</v>
      </c>
    </row>
    <row r="474" ht="15.75" customHeight="1">
      <c r="O474" s="4" t="s">
        <v>1754</v>
      </c>
    </row>
    <row r="475" ht="15.75" customHeight="1">
      <c r="O475" s="4" t="s">
        <v>1755</v>
      </c>
    </row>
    <row r="476" ht="15.75" customHeight="1">
      <c r="O476" s="4" t="s">
        <v>1756</v>
      </c>
    </row>
    <row r="477" ht="15.75" customHeight="1">
      <c r="O477" s="4" t="s">
        <v>1757</v>
      </c>
    </row>
    <row r="478" ht="15.75" customHeight="1">
      <c r="O478" s="4" t="s">
        <v>1758</v>
      </c>
    </row>
    <row r="479" ht="15.75" customHeight="1">
      <c r="O479" s="4" t="s">
        <v>1759</v>
      </c>
    </row>
    <row r="480" ht="15.75" customHeight="1">
      <c r="O480" s="4" t="s">
        <v>1760</v>
      </c>
    </row>
    <row r="481" ht="15.75" customHeight="1">
      <c r="O481" s="4" t="s">
        <v>1761</v>
      </c>
    </row>
    <row r="482" ht="15.75" customHeight="1">
      <c r="O482" s="4" t="s">
        <v>1762</v>
      </c>
    </row>
    <row r="483" ht="15.75" customHeight="1">
      <c r="O483" s="4" t="s">
        <v>1763</v>
      </c>
    </row>
    <row r="484" ht="15.75" customHeight="1">
      <c r="O484" s="4" t="s">
        <v>1764</v>
      </c>
    </row>
    <row r="485" ht="15.75" customHeight="1">
      <c r="O485" s="4" t="s">
        <v>1765</v>
      </c>
    </row>
    <row r="486" ht="15.75" customHeight="1">
      <c r="O486" s="4" t="s">
        <v>1766</v>
      </c>
    </row>
    <row r="487" ht="15.75" customHeight="1">
      <c r="O487" s="4" t="s">
        <v>1767</v>
      </c>
    </row>
    <row r="488" ht="15.75" customHeight="1">
      <c r="O488" s="4" t="s">
        <v>1768</v>
      </c>
    </row>
    <row r="489" ht="15.75" customHeight="1">
      <c r="O489" s="4" t="s">
        <v>1769</v>
      </c>
    </row>
    <row r="490" ht="15.75" customHeight="1">
      <c r="O490" s="4" t="s">
        <v>1770</v>
      </c>
    </row>
    <row r="491" ht="15.75" customHeight="1">
      <c r="O491" s="4" t="s">
        <v>1771</v>
      </c>
    </row>
    <row r="492" ht="15.75" customHeight="1">
      <c r="O492" s="4" t="s">
        <v>1772</v>
      </c>
    </row>
    <row r="493" ht="15.75" customHeight="1">
      <c r="O493" s="4" t="s">
        <v>1773</v>
      </c>
    </row>
    <row r="494" ht="15.75" customHeight="1">
      <c r="O494" s="4" t="s">
        <v>1774</v>
      </c>
    </row>
    <row r="495" ht="15.75" customHeight="1">
      <c r="O495" s="4" t="s">
        <v>1775</v>
      </c>
    </row>
    <row r="496" ht="15.75" customHeight="1">
      <c r="O496" s="4" t="s">
        <v>1776</v>
      </c>
    </row>
    <row r="497" ht="15.75" customHeight="1">
      <c r="O497" s="4" t="s">
        <v>1777</v>
      </c>
    </row>
    <row r="498" ht="15.75" customHeight="1">
      <c r="O498" s="4" t="s">
        <v>1778</v>
      </c>
    </row>
    <row r="499" ht="15.75" customHeight="1">
      <c r="O499" s="4" t="s">
        <v>1779</v>
      </c>
    </row>
    <row r="500" ht="15.75" customHeight="1">
      <c r="O500" s="4" t="s">
        <v>1780</v>
      </c>
    </row>
    <row r="501" ht="15.75" customHeight="1">
      <c r="O501" s="4" t="s">
        <v>1781</v>
      </c>
    </row>
    <row r="502" ht="15.75" customHeight="1">
      <c r="O502" s="4" t="s">
        <v>1782</v>
      </c>
    </row>
    <row r="503" ht="15.75" customHeight="1">
      <c r="O503" s="4" t="s">
        <v>1783</v>
      </c>
    </row>
    <row r="504" ht="15.75" customHeight="1">
      <c r="O504" s="4" t="s">
        <v>1784</v>
      </c>
    </row>
    <row r="505" ht="15.75" customHeight="1">
      <c r="O505" s="4" t="s">
        <v>1785</v>
      </c>
    </row>
    <row r="506" ht="15.75" customHeight="1">
      <c r="O506" s="4" t="s">
        <v>1786</v>
      </c>
    </row>
    <row r="507" ht="15.75" customHeight="1">
      <c r="O507" s="4" t="s">
        <v>1787</v>
      </c>
    </row>
    <row r="508" ht="15.75" customHeight="1">
      <c r="O508" s="4" t="s">
        <v>1788</v>
      </c>
    </row>
    <row r="509" ht="15.75" customHeight="1">
      <c r="O509" s="4" t="s">
        <v>1789</v>
      </c>
    </row>
    <row r="510" ht="15.75" customHeight="1">
      <c r="O510" s="4" t="s">
        <v>1790</v>
      </c>
    </row>
    <row r="511" ht="15.75" customHeight="1">
      <c r="O511" s="4" t="s">
        <v>1791</v>
      </c>
    </row>
    <row r="512" ht="15.75" customHeight="1">
      <c r="O512" s="4" t="s">
        <v>1792</v>
      </c>
    </row>
    <row r="513" ht="15.75" customHeight="1">
      <c r="O513" s="4" t="s">
        <v>1793</v>
      </c>
    </row>
    <row r="514" ht="15.75" customHeight="1">
      <c r="O514" s="4" t="s">
        <v>1794</v>
      </c>
    </row>
    <row r="515" ht="15.75" customHeight="1">
      <c r="O515" s="4" t="s">
        <v>1795</v>
      </c>
    </row>
    <row r="516" ht="15.75" customHeight="1">
      <c r="O516" s="4" t="s">
        <v>1796</v>
      </c>
    </row>
    <row r="517" ht="15.75" customHeight="1">
      <c r="O517" s="4" t="s">
        <v>1797</v>
      </c>
    </row>
    <row r="518" ht="15.75" customHeight="1">
      <c r="O518" s="4" t="s">
        <v>1798</v>
      </c>
    </row>
    <row r="519" ht="15.75" customHeight="1">
      <c r="O519" s="4" t="s">
        <v>1799</v>
      </c>
    </row>
    <row r="520" ht="15.75" customHeight="1">
      <c r="O520" s="4" t="s">
        <v>1800</v>
      </c>
    </row>
    <row r="521" ht="15.75" customHeight="1">
      <c r="O521" s="4" t="s">
        <v>1801</v>
      </c>
    </row>
    <row r="522" ht="15.75" customHeight="1">
      <c r="O522" s="4" t="s">
        <v>1802</v>
      </c>
    </row>
    <row r="523" ht="15.75" customHeight="1">
      <c r="O523" s="4" t="s">
        <v>1803</v>
      </c>
    </row>
    <row r="524" ht="15.75" customHeight="1">
      <c r="O524" s="4" t="s">
        <v>1804</v>
      </c>
    </row>
    <row r="525" ht="15.75" customHeight="1">
      <c r="O525" s="4" t="s">
        <v>1805</v>
      </c>
    </row>
    <row r="526" ht="15.75" customHeight="1">
      <c r="O526" s="4" t="s">
        <v>1806</v>
      </c>
    </row>
    <row r="527" ht="15.75" customHeight="1">
      <c r="O527" s="4" t="s">
        <v>1807</v>
      </c>
    </row>
    <row r="528" ht="15.75" customHeight="1">
      <c r="O528" s="4" t="s">
        <v>1808</v>
      </c>
    </row>
    <row r="529" ht="15.75" customHeight="1">
      <c r="O529" s="4" t="s">
        <v>1809</v>
      </c>
    </row>
    <row r="530" ht="15.75" customHeight="1">
      <c r="O530" s="4" t="s">
        <v>1810</v>
      </c>
    </row>
    <row r="531" ht="15.75" customHeight="1">
      <c r="O531" s="4" t="s">
        <v>1811</v>
      </c>
    </row>
    <row r="532" ht="15.75" customHeight="1">
      <c r="O532" s="4" t="s">
        <v>1812</v>
      </c>
    </row>
    <row r="533" ht="15.75" customHeight="1">
      <c r="O533" s="4" t="s">
        <v>1813</v>
      </c>
    </row>
    <row r="534" ht="15.75" customHeight="1">
      <c r="O534" s="4" t="s">
        <v>1814</v>
      </c>
    </row>
    <row r="535" ht="15.75" customHeight="1">
      <c r="O535" s="4" t="s">
        <v>1815</v>
      </c>
    </row>
    <row r="536" ht="15.75" customHeight="1">
      <c r="O536" s="4" t="s">
        <v>1816</v>
      </c>
    </row>
    <row r="537" ht="15.75" customHeight="1">
      <c r="O537" s="4" t="s">
        <v>1817</v>
      </c>
    </row>
    <row r="538" ht="15.75" customHeight="1">
      <c r="O538" s="4" t="s">
        <v>1818</v>
      </c>
    </row>
    <row r="539" ht="15.75" customHeight="1">
      <c r="O539" s="4" t="s">
        <v>1819</v>
      </c>
    </row>
    <row r="540" ht="15.75" customHeight="1">
      <c r="O540" s="4" t="s">
        <v>1820</v>
      </c>
    </row>
    <row r="541" ht="15.75" customHeight="1">
      <c r="O541" s="4" t="s">
        <v>1821</v>
      </c>
    </row>
    <row r="542" ht="15.75" customHeight="1">
      <c r="O542" s="4" t="s">
        <v>1822</v>
      </c>
    </row>
    <row r="543" ht="15.75" customHeight="1">
      <c r="O543" s="4" t="s">
        <v>1823</v>
      </c>
    </row>
    <row r="544" ht="15.75" customHeight="1">
      <c r="O544" s="4" t="s">
        <v>1824</v>
      </c>
    </row>
    <row r="545" ht="15.75" customHeight="1">
      <c r="O545" s="4" t="s">
        <v>1825</v>
      </c>
    </row>
    <row r="546" ht="15.75" customHeight="1">
      <c r="O546" s="4" t="s">
        <v>1826</v>
      </c>
    </row>
    <row r="547" ht="15.75" customHeight="1">
      <c r="O547" s="4" t="s">
        <v>1827</v>
      </c>
    </row>
    <row r="548" ht="15.75" customHeight="1">
      <c r="O548" s="4" t="s">
        <v>1828</v>
      </c>
    </row>
    <row r="549" ht="15.75" customHeight="1">
      <c r="O549" s="4" t="s">
        <v>1829</v>
      </c>
    </row>
    <row r="550" ht="15.75" customHeight="1">
      <c r="O550" s="4" t="s">
        <v>1830</v>
      </c>
    </row>
    <row r="551" ht="15.75" customHeight="1">
      <c r="O551" s="4" t="s">
        <v>1831</v>
      </c>
    </row>
    <row r="552" ht="15.75" customHeight="1">
      <c r="O552" s="4" t="s">
        <v>1832</v>
      </c>
    </row>
    <row r="553" ht="15.75" customHeight="1">
      <c r="O553" s="4" t="s">
        <v>1833</v>
      </c>
    </row>
    <row r="554" ht="15.75" customHeight="1">
      <c r="O554" s="4" t="s">
        <v>1834</v>
      </c>
    </row>
    <row r="555" ht="15.75" customHeight="1">
      <c r="O555" s="4" t="s">
        <v>1835</v>
      </c>
    </row>
    <row r="556" ht="15.75" customHeight="1">
      <c r="O556" s="4" t="s">
        <v>1836</v>
      </c>
    </row>
    <row r="557" ht="15.75" customHeight="1">
      <c r="O557" s="4" t="s">
        <v>1837</v>
      </c>
    </row>
    <row r="558" ht="15.75" customHeight="1">
      <c r="O558" s="4" t="s">
        <v>1838</v>
      </c>
    </row>
    <row r="559" ht="15.75" customHeight="1">
      <c r="O559" s="4" t="s">
        <v>1839</v>
      </c>
    </row>
    <row r="560" ht="15.75" customHeight="1">
      <c r="O560" s="4" t="s">
        <v>1840</v>
      </c>
    </row>
    <row r="561" ht="15.75" customHeight="1">
      <c r="O561" s="4" t="s">
        <v>1841</v>
      </c>
    </row>
    <row r="562" ht="15.75" customHeight="1">
      <c r="O562" s="4" t="s">
        <v>1842</v>
      </c>
    </row>
    <row r="563" ht="15.75" customHeight="1">
      <c r="O563" s="4" t="s">
        <v>1843</v>
      </c>
    </row>
    <row r="564" ht="15.75" customHeight="1">
      <c r="O564" s="4" t="s">
        <v>1844</v>
      </c>
    </row>
    <row r="565" ht="15.75" customHeight="1">
      <c r="O565" s="4" t="s">
        <v>1845</v>
      </c>
    </row>
    <row r="566" ht="15.75" customHeight="1">
      <c r="O566" s="4" t="s">
        <v>1846</v>
      </c>
    </row>
    <row r="567" ht="15.75" customHeight="1">
      <c r="O567" s="4" t="s">
        <v>1847</v>
      </c>
    </row>
    <row r="568" ht="15.75" customHeight="1">
      <c r="O568" s="4" t="s">
        <v>1848</v>
      </c>
    </row>
    <row r="569" ht="15.75" customHeight="1">
      <c r="O569" s="4" t="s">
        <v>1849</v>
      </c>
    </row>
    <row r="570" ht="15.75" customHeight="1">
      <c r="O570" s="4" t="s">
        <v>1850</v>
      </c>
    </row>
    <row r="571" ht="15.75" customHeight="1">
      <c r="O571" s="4" t="s">
        <v>1851</v>
      </c>
    </row>
    <row r="572" ht="15.75" customHeight="1">
      <c r="O572" s="4" t="s">
        <v>1852</v>
      </c>
    </row>
    <row r="573" ht="15.75" customHeight="1">
      <c r="O573" s="4" t="s">
        <v>1853</v>
      </c>
    </row>
    <row r="574" ht="15.75" customHeight="1">
      <c r="O574" s="4" t="s">
        <v>1854</v>
      </c>
    </row>
    <row r="575" ht="15.75" customHeight="1">
      <c r="O575" s="4" t="s">
        <v>1855</v>
      </c>
    </row>
    <row r="576" ht="15.75" customHeight="1">
      <c r="O576" s="4" t="s">
        <v>1856</v>
      </c>
    </row>
    <row r="577" ht="15.75" customHeight="1">
      <c r="O577" s="4" t="s">
        <v>1857</v>
      </c>
    </row>
    <row r="578" ht="15.75" customHeight="1">
      <c r="O578" s="4" t="s">
        <v>1858</v>
      </c>
    </row>
    <row r="579" ht="15.75" customHeight="1">
      <c r="O579" s="4" t="s">
        <v>1859</v>
      </c>
    </row>
    <row r="580" ht="15.75" customHeight="1">
      <c r="O580" s="4" t="s">
        <v>1860</v>
      </c>
    </row>
    <row r="581" ht="15.75" customHeight="1">
      <c r="O581" s="4" t="s">
        <v>1861</v>
      </c>
    </row>
    <row r="582" ht="15.75" customHeight="1">
      <c r="O582" s="4" t="s">
        <v>1862</v>
      </c>
    </row>
    <row r="583" ht="15.75" customHeight="1">
      <c r="O583" s="4" t="s">
        <v>1863</v>
      </c>
    </row>
    <row r="584" ht="15.75" customHeight="1">
      <c r="O584" s="4" t="s">
        <v>1864</v>
      </c>
    </row>
    <row r="585" ht="15.75" customHeight="1">
      <c r="O585" s="4" t="s">
        <v>1865</v>
      </c>
    </row>
    <row r="586" ht="15.75" customHeight="1">
      <c r="O586" s="4" t="s">
        <v>1866</v>
      </c>
    </row>
    <row r="587" ht="15.75" customHeight="1">
      <c r="O587" s="4" t="s">
        <v>1867</v>
      </c>
    </row>
    <row r="588" ht="15.75" customHeight="1">
      <c r="O588" s="4" t="s">
        <v>1868</v>
      </c>
    </row>
    <row r="589" ht="15.75" customHeight="1">
      <c r="O589" s="4" t="s">
        <v>1869</v>
      </c>
    </row>
    <row r="590" ht="15.75" customHeight="1">
      <c r="O590" s="4" t="s">
        <v>1870</v>
      </c>
    </row>
    <row r="591" ht="15.75" customHeight="1">
      <c r="O591" s="4" t="s">
        <v>1871</v>
      </c>
    </row>
    <row r="592" ht="15.75" customHeight="1">
      <c r="O592" s="4" t="s">
        <v>1872</v>
      </c>
    </row>
    <row r="593" ht="15.75" customHeight="1">
      <c r="O593" s="4" t="s">
        <v>1873</v>
      </c>
    </row>
    <row r="594" ht="15.75" customHeight="1">
      <c r="O594" s="4" t="s">
        <v>1874</v>
      </c>
    </row>
    <row r="595" ht="15.75" customHeight="1">
      <c r="O595" s="4" t="s">
        <v>1875</v>
      </c>
    </row>
    <row r="596" ht="15.75" customHeight="1">
      <c r="O596" s="4" t="s">
        <v>1876</v>
      </c>
    </row>
    <row r="597" ht="15.75" customHeight="1">
      <c r="O597" s="4" t="s">
        <v>1877</v>
      </c>
    </row>
    <row r="598" ht="15.75" customHeight="1">
      <c r="O598" s="4" t="s">
        <v>1878</v>
      </c>
    </row>
    <row r="599" ht="15.75" customHeight="1">
      <c r="O599" s="4" t="s">
        <v>1879</v>
      </c>
    </row>
    <row r="600" ht="15.75" customHeight="1">
      <c r="O600" s="4" t="s">
        <v>1880</v>
      </c>
    </row>
    <row r="601" ht="15.75" customHeight="1">
      <c r="O601" s="4" t="s">
        <v>1881</v>
      </c>
    </row>
    <row r="602" ht="15.75" customHeight="1">
      <c r="O602" s="4" t="s">
        <v>1882</v>
      </c>
    </row>
    <row r="603" ht="15.75" customHeight="1">
      <c r="O603" s="4" t="s">
        <v>1883</v>
      </c>
    </row>
    <row r="604" ht="15.75" customHeight="1">
      <c r="O604" s="4" t="s">
        <v>1884</v>
      </c>
    </row>
    <row r="605" ht="15.75" customHeight="1">
      <c r="O605" s="4" t="s">
        <v>1885</v>
      </c>
    </row>
    <row r="606" ht="15.75" customHeight="1">
      <c r="O606" s="4" t="s">
        <v>1886</v>
      </c>
    </row>
    <row r="607" ht="15.75" customHeight="1">
      <c r="O607" s="4" t="s">
        <v>1887</v>
      </c>
    </row>
    <row r="608" ht="15.75" customHeight="1">
      <c r="O608" s="4" t="s">
        <v>1888</v>
      </c>
    </row>
    <row r="609" ht="15.75" customHeight="1">
      <c r="O609" s="4" t="s">
        <v>1889</v>
      </c>
    </row>
    <row r="610" ht="15.75" customHeight="1">
      <c r="O610" s="4" t="s">
        <v>1890</v>
      </c>
    </row>
    <row r="611" ht="15.75" customHeight="1">
      <c r="O611" s="4" t="s">
        <v>1891</v>
      </c>
    </row>
    <row r="612" ht="15.75" customHeight="1">
      <c r="O612" s="4" t="s">
        <v>1892</v>
      </c>
    </row>
    <row r="613" ht="15.75" customHeight="1">
      <c r="O613" s="4" t="s">
        <v>1893</v>
      </c>
    </row>
    <row r="614" ht="15.75" customHeight="1">
      <c r="O614" s="4" t="s">
        <v>1894</v>
      </c>
    </row>
    <row r="615" ht="15.75" customHeight="1">
      <c r="O615" s="4" t="s">
        <v>1895</v>
      </c>
    </row>
    <row r="616" ht="15.75" customHeight="1">
      <c r="O616" s="4" t="s">
        <v>1896</v>
      </c>
    </row>
    <row r="617" ht="15.75" customHeight="1">
      <c r="O617" s="4" t="s">
        <v>1897</v>
      </c>
    </row>
    <row r="618" ht="15.75" customHeight="1">
      <c r="O618" s="4" t="s">
        <v>1898</v>
      </c>
    </row>
    <row r="619" ht="15.75" customHeight="1">
      <c r="O619" s="4" t="s">
        <v>1899</v>
      </c>
    </row>
    <row r="620" ht="15.75" customHeight="1">
      <c r="O620" s="4" t="s">
        <v>1900</v>
      </c>
    </row>
    <row r="621" ht="15.75" customHeight="1">
      <c r="O621" s="4" t="s">
        <v>1901</v>
      </c>
    </row>
    <row r="622" ht="15.75" customHeight="1">
      <c r="O622" s="4" t="s">
        <v>1902</v>
      </c>
    </row>
    <row r="623" ht="15.75" customHeight="1">
      <c r="O623" s="4" t="s">
        <v>1903</v>
      </c>
    </row>
    <row r="624" ht="15.75" customHeight="1">
      <c r="O624" s="4" t="s">
        <v>1904</v>
      </c>
    </row>
    <row r="625" ht="15.75" customHeight="1">
      <c r="O625" s="4" t="s">
        <v>1905</v>
      </c>
    </row>
    <row r="626" ht="15.75" customHeight="1">
      <c r="O626" s="4" t="s">
        <v>1906</v>
      </c>
    </row>
    <row r="627" ht="15.75" customHeight="1">
      <c r="O627" s="4" t="s">
        <v>1907</v>
      </c>
    </row>
    <row r="628" ht="15.75" customHeight="1">
      <c r="O628" s="4" t="s">
        <v>1908</v>
      </c>
    </row>
    <row r="629" ht="15.75" customHeight="1">
      <c r="O629" s="4" t="s">
        <v>1909</v>
      </c>
    </row>
    <row r="630" ht="15.75" customHeight="1">
      <c r="O630" s="4" t="s">
        <v>1910</v>
      </c>
    </row>
    <row r="631" ht="15.75" customHeight="1">
      <c r="O631" s="4" t="s">
        <v>1911</v>
      </c>
    </row>
    <row r="632" ht="15.75" customHeight="1">
      <c r="O632" s="4" t="s">
        <v>1912</v>
      </c>
    </row>
    <row r="633" ht="15.75" customHeight="1">
      <c r="O633" s="4" t="s">
        <v>1913</v>
      </c>
    </row>
    <row r="634" ht="15.75" customHeight="1">
      <c r="O634" s="4" t="s">
        <v>1914</v>
      </c>
    </row>
    <row r="635" ht="15.75" customHeight="1">
      <c r="O635" s="4" t="s">
        <v>1915</v>
      </c>
    </row>
    <row r="636" ht="15.75" customHeight="1">
      <c r="O636" s="4" t="s">
        <v>1916</v>
      </c>
    </row>
    <row r="637" ht="15.75" customHeight="1">
      <c r="O637" s="4" t="s">
        <v>1917</v>
      </c>
    </row>
    <row r="638" ht="15.75" customHeight="1">
      <c r="O638" s="4" t="s">
        <v>1918</v>
      </c>
    </row>
    <row r="639" ht="15.75" customHeight="1">
      <c r="O639" s="4" t="s">
        <v>1919</v>
      </c>
    </row>
    <row r="640" ht="15.75" customHeight="1">
      <c r="O640" s="4" t="s">
        <v>1920</v>
      </c>
    </row>
    <row r="641" ht="15.75" customHeight="1">
      <c r="O641" s="4" t="s">
        <v>1921</v>
      </c>
    </row>
    <row r="642" ht="15.75" customHeight="1">
      <c r="O642" s="4" t="s">
        <v>1922</v>
      </c>
    </row>
    <row r="643" ht="15.75" customHeight="1">
      <c r="O643" s="4" t="s">
        <v>1923</v>
      </c>
    </row>
    <row r="644" ht="15.75" customHeight="1">
      <c r="O644" s="4" t="s">
        <v>1924</v>
      </c>
    </row>
    <row r="645" ht="15.75" customHeight="1">
      <c r="O645" s="4" t="s">
        <v>1925</v>
      </c>
    </row>
    <row r="646" ht="15.75" customHeight="1">
      <c r="O646" s="4" t="s">
        <v>1926</v>
      </c>
    </row>
    <row r="647" ht="15.75" customHeight="1">
      <c r="O647" s="4" t="s">
        <v>1927</v>
      </c>
    </row>
    <row r="648" ht="15.75" customHeight="1">
      <c r="O648" s="4" t="s">
        <v>1928</v>
      </c>
    </row>
    <row r="649" ht="15.75" customHeight="1">
      <c r="O649" s="4" t="s">
        <v>1929</v>
      </c>
    </row>
    <row r="650" ht="15.75" customHeight="1">
      <c r="O650" s="4" t="s">
        <v>1930</v>
      </c>
    </row>
    <row r="651" ht="15.75" customHeight="1">
      <c r="O651" s="4" t="s">
        <v>1931</v>
      </c>
    </row>
    <row r="652" ht="15.75" customHeight="1">
      <c r="O652" s="4" t="s">
        <v>1932</v>
      </c>
    </row>
    <row r="653" ht="15.75" customHeight="1">
      <c r="O653" s="4" t="s">
        <v>1933</v>
      </c>
    </row>
    <row r="654" ht="15.75" customHeight="1">
      <c r="O654" s="4" t="s">
        <v>1934</v>
      </c>
    </row>
    <row r="655" ht="15.75" customHeight="1">
      <c r="O655" s="4" t="s">
        <v>1935</v>
      </c>
    </row>
    <row r="656" ht="15.75" customHeight="1">
      <c r="O656" s="4" t="s">
        <v>1936</v>
      </c>
    </row>
    <row r="657" ht="15.75" customHeight="1">
      <c r="O657" s="4" t="s">
        <v>1937</v>
      </c>
    </row>
    <row r="658" ht="15.75" customHeight="1">
      <c r="O658" s="4" t="s">
        <v>1938</v>
      </c>
    </row>
    <row r="659" ht="15.75" customHeight="1">
      <c r="O659" s="4" t="s">
        <v>1939</v>
      </c>
    </row>
    <row r="660" ht="15.75" customHeight="1">
      <c r="O660" s="4" t="s">
        <v>1940</v>
      </c>
    </row>
    <row r="661" ht="15.75" customHeight="1">
      <c r="O661" s="4" t="s">
        <v>1941</v>
      </c>
    </row>
    <row r="662" ht="15.75" customHeight="1">
      <c r="O662" s="4" t="s">
        <v>1942</v>
      </c>
    </row>
    <row r="663" ht="15.75" customHeight="1">
      <c r="O663" s="4" t="s">
        <v>1943</v>
      </c>
    </row>
    <row r="664" ht="15.75" customHeight="1">
      <c r="O664" s="4" t="s">
        <v>1944</v>
      </c>
    </row>
    <row r="665" ht="15.75" customHeight="1">
      <c r="O665" s="4" t="s">
        <v>1945</v>
      </c>
    </row>
    <row r="666" ht="15.75" customHeight="1">
      <c r="O666" s="4" t="s">
        <v>1946</v>
      </c>
    </row>
    <row r="667" ht="15.75" customHeight="1">
      <c r="O667" s="4" t="s">
        <v>1947</v>
      </c>
    </row>
    <row r="668" ht="15.75" customHeight="1">
      <c r="O668" s="4" t="s">
        <v>1948</v>
      </c>
    </row>
    <row r="669" ht="15.75" customHeight="1">
      <c r="O669" s="4" t="s">
        <v>1949</v>
      </c>
    </row>
    <row r="670" ht="15.75" customHeight="1">
      <c r="O670" s="4" t="s">
        <v>1950</v>
      </c>
    </row>
    <row r="671" ht="15.75" customHeight="1">
      <c r="O671" s="4" t="s">
        <v>1951</v>
      </c>
    </row>
    <row r="672" ht="15.75" customHeight="1">
      <c r="O672" s="4" t="s">
        <v>1952</v>
      </c>
    </row>
    <row r="673" ht="15.75" customHeight="1">
      <c r="O673" s="4" t="s">
        <v>1953</v>
      </c>
    </row>
    <row r="674" ht="15.75" customHeight="1">
      <c r="O674" s="4" t="s">
        <v>1954</v>
      </c>
    </row>
    <row r="675" ht="15.75" customHeight="1">
      <c r="O675" s="4" t="s">
        <v>1955</v>
      </c>
    </row>
    <row r="676" ht="15.75" customHeight="1">
      <c r="O676" s="4" t="s">
        <v>1956</v>
      </c>
    </row>
    <row r="677" ht="15.75" customHeight="1">
      <c r="O677" s="4" t="s">
        <v>1957</v>
      </c>
    </row>
    <row r="678" ht="15.75" customHeight="1">
      <c r="O678" s="4" t="s">
        <v>1958</v>
      </c>
    </row>
    <row r="679" ht="15.75" customHeight="1">
      <c r="O679" s="4" t="s">
        <v>1959</v>
      </c>
    </row>
    <row r="680" ht="15.75" customHeight="1">
      <c r="O680" s="4" t="s">
        <v>1960</v>
      </c>
    </row>
    <row r="681" ht="15.75" customHeight="1">
      <c r="O681" s="4" t="s">
        <v>1961</v>
      </c>
    </row>
    <row r="682" ht="15.75" customHeight="1">
      <c r="O682" s="4" t="s">
        <v>1962</v>
      </c>
    </row>
    <row r="683" ht="15.75" customHeight="1">
      <c r="O683" s="4" t="s">
        <v>1963</v>
      </c>
    </row>
    <row r="684" ht="15.75" customHeight="1">
      <c r="O684" s="4" t="s">
        <v>1964</v>
      </c>
    </row>
    <row r="685" ht="15.75" customHeight="1">
      <c r="O685" s="4" t="s">
        <v>1965</v>
      </c>
    </row>
    <row r="686" ht="15.75" customHeight="1">
      <c r="O686" s="4" t="s">
        <v>1966</v>
      </c>
    </row>
    <row r="687" ht="15.75" customHeight="1">
      <c r="O687" s="4" t="s">
        <v>1967</v>
      </c>
    </row>
    <row r="688" ht="15.75" customHeight="1">
      <c r="O688" s="4" t="s">
        <v>1968</v>
      </c>
    </row>
    <row r="689" ht="15.75" customHeight="1">
      <c r="O689" s="4" t="s">
        <v>1969</v>
      </c>
    </row>
    <row r="690" ht="15.75" customHeight="1">
      <c r="O690" s="4" t="s">
        <v>1970</v>
      </c>
    </row>
    <row r="691" ht="15.75" customHeight="1">
      <c r="O691" s="4" t="s">
        <v>1971</v>
      </c>
    </row>
    <row r="692" ht="15.75" customHeight="1">
      <c r="O692" s="4" t="s">
        <v>1972</v>
      </c>
    </row>
    <row r="693" ht="15.75" customHeight="1">
      <c r="O693" s="4" t="s">
        <v>1973</v>
      </c>
    </row>
    <row r="694" ht="15.75" customHeight="1">
      <c r="O694" s="4" t="s">
        <v>1974</v>
      </c>
    </row>
    <row r="695" ht="15.75" customHeight="1">
      <c r="O695" s="4" t="s">
        <v>1975</v>
      </c>
    </row>
    <row r="696" ht="15.75" customHeight="1">
      <c r="O696" s="4" t="s">
        <v>1976</v>
      </c>
    </row>
    <row r="697" ht="15.75" customHeight="1">
      <c r="O697" s="4" t="s">
        <v>1977</v>
      </c>
    </row>
    <row r="698" ht="15.75" customHeight="1">
      <c r="O698" s="4" t="s">
        <v>1978</v>
      </c>
    </row>
    <row r="699" ht="15.75" customHeight="1">
      <c r="O699" s="4" t="s">
        <v>1979</v>
      </c>
    </row>
    <row r="700" ht="15.75" customHeight="1">
      <c r="O700" s="4" t="s">
        <v>1980</v>
      </c>
    </row>
    <row r="701" ht="15.75" customHeight="1">
      <c r="O701" s="4" t="s">
        <v>1981</v>
      </c>
    </row>
    <row r="702" ht="15.75" customHeight="1">
      <c r="O702" s="4" t="s">
        <v>1982</v>
      </c>
    </row>
    <row r="703" ht="15.75" customHeight="1">
      <c r="O703" s="4" t="s">
        <v>1983</v>
      </c>
    </row>
    <row r="704" ht="15.75" customHeight="1">
      <c r="O704" s="4" t="s">
        <v>1984</v>
      </c>
    </row>
    <row r="705" ht="15.75" customHeight="1">
      <c r="O705" s="4" t="s">
        <v>1985</v>
      </c>
    </row>
    <row r="706" ht="15.75" customHeight="1">
      <c r="O706" s="4" t="s">
        <v>1986</v>
      </c>
    </row>
    <row r="707" ht="15.75" customHeight="1">
      <c r="O707" s="4" t="s">
        <v>1987</v>
      </c>
    </row>
    <row r="708" ht="15.75" customHeight="1">
      <c r="O708" s="4" t="s">
        <v>1988</v>
      </c>
    </row>
    <row r="709" ht="15.75" customHeight="1">
      <c r="O709" s="4" t="s">
        <v>1989</v>
      </c>
    </row>
    <row r="710" ht="15.75" customHeight="1">
      <c r="O710" s="4" t="s">
        <v>1990</v>
      </c>
    </row>
    <row r="711" ht="15.75" customHeight="1">
      <c r="O711" s="4" t="s">
        <v>1991</v>
      </c>
    </row>
    <row r="712" ht="15.75" customHeight="1">
      <c r="O712" s="4" t="s">
        <v>1992</v>
      </c>
    </row>
    <row r="713" ht="15.75" customHeight="1">
      <c r="O713" s="4" t="s">
        <v>1993</v>
      </c>
    </row>
    <row r="714" ht="15.75" customHeight="1">
      <c r="O714" s="4" t="s">
        <v>1994</v>
      </c>
    </row>
    <row r="715" ht="15.75" customHeight="1">
      <c r="O715" s="4" t="s">
        <v>1995</v>
      </c>
    </row>
    <row r="716" ht="15.75" customHeight="1">
      <c r="O716" s="4" t="s">
        <v>1996</v>
      </c>
    </row>
    <row r="717" ht="15.75" customHeight="1">
      <c r="O717" s="4" t="s">
        <v>1997</v>
      </c>
    </row>
    <row r="718" ht="15.75" customHeight="1">
      <c r="O718" s="4" t="s">
        <v>1998</v>
      </c>
    </row>
    <row r="719" ht="15.75" customHeight="1">
      <c r="O719" s="4" t="s">
        <v>1999</v>
      </c>
    </row>
    <row r="720" ht="15.75" customHeight="1">
      <c r="O720" s="4" t="s">
        <v>2000</v>
      </c>
    </row>
    <row r="721" ht="15.75" customHeight="1">
      <c r="O721" s="4" t="s">
        <v>2001</v>
      </c>
    </row>
    <row r="722" ht="15.75" customHeight="1">
      <c r="O722" s="4" t="s">
        <v>2002</v>
      </c>
    </row>
    <row r="723" ht="15.75" customHeight="1">
      <c r="O723" s="4" t="s">
        <v>2003</v>
      </c>
    </row>
    <row r="724" ht="15.75" customHeight="1">
      <c r="O724" s="4" t="s">
        <v>2004</v>
      </c>
    </row>
    <row r="725" ht="15.75" customHeight="1">
      <c r="O725" s="4" t="s">
        <v>2005</v>
      </c>
    </row>
    <row r="726" ht="15.75" customHeight="1">
      <c r="O726" s="4" t="s">
        <v>2006</v>
      </c>
    </row>
    <row r="727" ht="15.75" customHeight="1">
      <c r="O727" s="4" t="s">
        <v>2007</v>
      </c>
    </row>
    <row r="728" ht="15.75" customHeight="1">
      <c r="O728" s="4" t="s">
        <v>2008</v>
      </c>
    </row>
    <row r="729" ht="15.75" customHeight="1">
      <c r="O729" s="4" t="s">
        <v>2009</v>
      </c>
    </row>
    <row r="730" ht="15.75" customHeight="1">
      <c r="O730" s="4" t="s">
        <v>2010</v>
      </c>
    </row>
    <row r="731" ht="15.75" customHeight="1">
      <c r="O731" s="4" t="s">
        <v>2011</v>
      </c>
    </row>
    <row r="732" ht="15.75" customHeight="1">
      <c r="O732" s="4" t="s">
        <v>2012</v>
      </c>
    </row>
    <row r="733" ht="15.75" customHeight="1">
      <c r="O733" s="4" t="s">
        <v>2013</v>
      </c>
    </row>
    <row r="734" ht="15.75" customHeight="1">
      <c r="O734" s="4" t="s">
        <v>2014</v>
      </c>
    </row>
    <row r="735" ht="15.75" customHeight="1">
      <c r="O735" s="4" t="s">
        <v>2015</v>
      </c>
    </row>
    <row r="736" ht="15.75" customHeight="1">
      <c r="O736" s="4" t="s">
        <v>2016</v>
      </c>
    </row>
    <row r="737" ht="15.75" customHeight="1">
      <c r="O737" s="4" t="s">
        <v>2017</v>
      </c>
    </row>
    <row r="738" ht="15.75" customHeight="1">
      <c r="O738" s="4" t="s">
        <v>2018</v>
      </c>
    </row>
    <row r="739" ht="15.75" customHeight="1">
      <c r="O739" s="4" t="s">
        <v>2019</v>
      </c>
    </row>
    <row r="740" ht="15.75" customHeight="1">
      <c r="O740" s="4" t="s">
        <v>2020</v>
      </c>
    </row>
    <row r="741" ht="15.75" customHeight="1">
      <c r="O741" s="4" t="s">
        <v>2021</v>
      </c>
    </row>
    <row r="742" ht="15.75" customHeight="1">
      <c r="O742" s="4" t="s">
        <v>2022</v>
      </c>
    </row>
    <row r="743" ht="15.75" customHeight="1">
      <c r="O743" s="4" t="s">
        <v>2023</v>
      </c>
    </row>
    <row r="744" ht="15.75" customHeight="1">
      <c r="O744" s="4" t="s">
        <v>2024</v>
      </c>
    </row>
    <row r="745" ht="15.75" customHeight="1">
      <c r="O745" s="4" t="s">
        <v>2025</v>
      </c>
    </row>
    <row r="746" ht="15.75" customHeight="1">
      <c r="O746" s="4" t="s">
        <v>2026</v>
      </c>
    </row>
    <row r="747" ht="15.75" customHeight="1">
      <c r="O747" s="4" t="s">
        <v>2027</v>
      </c>
    </row>
    <row r="748" ht="15.75" customHeight="1">
      <c r="O748" s="4" t="s">
        <v>2028</v>
      </c>
    </row>
    <row r="749" ht="15.75" customHeight="1">
      <c r="O749" s="4" t="s">
        <v>2029</v>
      </c>
    </row>
    <row r="750" ht="15.75" customHeight="1">
      <c r="O750" s="4" t="s">
        <v>2030</v>
      </c>
    </row>
    <row r="751" ht="15.75" customHeight="1">
      <c r="O751" s="4" t="s">
        <v>2031</v>
      </c>
    </row>
    <row r="752" ht="15.75" customHeight="1">
      <c r="O752" s="4" t="s">
        <v>2032</v>
      </c>
    </row>
    <row r="753" ht="15.75" customHeight="1">
      <c r="O753" s="4" t="s">
        <v>2033</v>
      </c>
    </row>
    <row r="754" ht="15.75" customHeight="1">
      <c r="O754" s="4" t="s">
        <v>2034</v>
      </c>
    </row>
    <row r="755" ht="15.75" customHeight="1">
      <c r="O755" s="4" t="s">
        <v>2035</v>
      </c>
    </row>
    <row r="756" ht="15.75" customHeight="1">
      <c r="O756" s="4" t="s">
        <v>2036</v>
      </c>
    </row>
    <row r="757" ht="15.75" customHeight="1">
      <c r="O757" s="4" t="s">
        <v>2037</v>
      </c>
    </row>
    <row r="758" ht="15.75" customHeight="1">
      <c r="O758" s="4" t="s">
        <v>2038</v>
      </c>
    </row>
    <row r="759" ht="15.75" customHeight="1">
      <c r="O759" s="4" t="s">
        <v>2039</v>
      </c>
    </row>
    <row r="760" ht="15.75" customHeight="1">
      <c r="O760" s="4" t="s">
        <v>2040</v>
      </c>
    </row>
    <row r="761" ht="15.75" customHeight="1">
      <c r="O761" s="4" t="s">
        <v>2041</v>
      </c>
    </row>
    <row r="762" ht="15.75" customHeight="1">
      <c r="O762" s="4" t="s">
        <v>2042</v>
      </c>
    </row>
    <row r="763" ht="15.75" customHeight="1">
      <c r="O763" s="4" t="s">
        <v>2043</v>
      </c>
    </row>
    <row r="764" ht="15.75" customHeight="1">
      <c r="O764" s="4" t="s">
        <v>2044</v>
      </c>
    </row>
    <row r="765" ht="15.75" customHeight="1">
      <c r="O765" s="4" t="s">
        <v>2045</v>
      </c>
    </row>
    <row r="766" ht="15.75" customHeight="1">
      <c r="O766" s="4" t="s">
        <v>2046</v>
      </c>
    </row>
    <row r="767" ht="15.75" customHeight="1">
      <c r="O767" s="4" t="s">
        <v>2047</v>
      </c>
    </row>
    <row r="768" ht="15.75" customHeight="1">
      <c r="O768" s="4" t="s">
        <v>2048</v>
      </c>
    </row>
    <row r="769" ht="15.75" customHeight="1">
      <c r="O769" s="4" t="s">
        <v>2049</v>
      </c>
    </row>
    <row r="770" ht="15.75" customHeight="1">
      <c r="O770" s="4" t="s">
        <v>2050</v>
      </c>
    </row>
    <row r="771" ht="15.75" customHeight="1">
      <c r="O771" s="4" t="s">
        <v>2051</v>
      </c>
    </row>
    <row r="772" ht="15.75" customHeight="1">
      <c r="O772" s="4" t="s">
        <v>2052</v>
      </c>
    </row>
    <row r="773" ht="15.75" customHeight="1">
      <c r="O773" s="4" t="s">
        <v>2053</v>
      </c>
    </row>
    <row r="774" ht="15.75" customHeight="1">
      <c r="O774" s="4" t="s">
        <v>2054</v>
      </c>
    </row>
    <row r="775" ht="15.75" customHeight="1">
      <c r="O775" s="4" t="s">
        <v>2055</v>
      </c>
    </row>
    <row r="776" ht="15.75" customHeight="1">
      <c r="O776" s="4" t="s">
        <v>2056</v>
      </c>
    </row>
    <row r="777" ht="15.75" customHeight="1">
      <c r="O777" s="4" t="s">
        <v>2057</v>
      </c>
    </row>
    <row r="778" ht="15.75" customHeight="1">
      <c r="O778" s="4" t="s">
        <v>2058</v>
      </c>
    </row>
    <row r="779" ht="15.75" customHeight="1">
      <c r="O779" s="4" t="s">
        <v>2059</v>
      </c>
    </row>
    <row r="780" ht="15.75" customHeight="1">
      <c r="O780" s="4" t="s">
        <v>2060</v>
      </c>
    </row>
    <row r="781" ht="15.75" customHeight="1">
      <c r="O781" s="4" t="s">
        <v>2061</v>
      </c>
    </row>
    <row r="782" ht="15.75" customHeight="1">
      <c r="O782" s="4" t="s">
        <v>2062</v>
      </c>
    </row>
    <row r="783" ht="15.75" customHeight="1">
      <c r="O783" s="4" t="s">
        <v>2063</v>
      </c>
    </row>
    <row r="784" ht="15.75" customHeight="1">
      <c r="O784" s="4" t="s">
        <v>2064</v>
      </c>
    </row>
    <row r="785" ht="15.75" customHeight="1">
      <c r="O785" s="4" t="s">
        <v>2065</v>
      </c>
    </row>
    <row r="786" ht="15.75" customHeight="1">
      <c r="O786" s="4" t="s">
        <v>2066</v>
      </c>
    </row>
    <row r="787" ht="15.75" customHeight="1">
      <c r="O787" s="4" t="s">
        <v>2067</v>
      </c>
    </row>
    <row r="788" ht="15.75" customHeight="1">
      <c r="O788" s="4" t="s">
        <v>2068</v>
      </c>
    </row>
    <row r="789" ht="15.75" customHeight="1">
      <c r="O789" s="4" t="s">
        <v>2069</v>
      </c>
    </row>
    <row r="790" ht="15.75" customHeight="1">
      <c r="O790" s="4" t="s">
        <v>2070</v>
      </c>
    </row>
    <row r="791" ht="15.75" customHeight="1">
      <c r="O791" s="4" t="s">
        <v>2071</v>
      </c>
    </row>
    <row r="792" ht="15.75" customHeight="1">
      <c r="O792" s="4" t="s">
        <v>2072</v>
      </c>
    </row>
    <row r="793" ht="15.75" customHeight="1">
      <c r="O793" s="4" t="s">
        <v>2073</v>
      </c>
    </row>
    <row r="794" ht="15.75" customHeight="1">
      <c r="O794" s="4" t="s">
        <v>2074</v>
      </c>
    </row>
    <row r="795" ht="15.75" customHeight="1">
      <c r="O795" s="4" t="s">
        <v>2075</v>
      </c>
    </row>
    <row r="796" ht="15.75" customHeight="1">
      <c r="O796" s="4" t="s">
        <v>2076</v>
      </c>
    </row>
    <row r="797" ht="15.75" customHeight="1">
      <c r="O797" s="4" t="s">
        <v>2077</v>
      </c>
    </row>
    <row r="798" ht="15.75" customHeight="1">
      <c r="O798" s="4" t="s">
        <v>2078</v>
      </c>
    </row>
    <row r="799" ht="15.75" customHeight="1">
      <c r="O799" s="4" t="s">
        <v>2079</v>
      </c>
    </row>
    <row r="800" ht="15.75" customHeight="1">
      <c r="O800" s="4" t="s">
        <v>2080</v>
      </c>
    </row>
    <row r="801" ht="15.75" customHeight="1">
      <c r="O801" s="4" t="s">
        <v>2081</v>
      </c>
    </row>
    <row r="802" ht="15.75" customHeight="1">
      <c r="O802" s="4" t="s">
        <v>2082</v>
      </c>
    </row>
    <row r="803" ht="15.75" customHeight="1">
      <c r="O803" s="4" t="s">
        <v>2083</v>
      </c>
    </row>
    <row r="804" ht="15.75" customHeight="1">
      <c r="O804" s="4" t="s">
        <v>2084</v>
      </c>
    </row>
    <row r="805" ht="15.75" customHeight="1">
      <c r="O805" s="4" t="s">
        <v>2085</v>
      </c>
    </row>
    <row r="806" ht="15.75" customHeight="1">
      <c r="O806" s="4" t="s">
        <v>2086</v>
      </c>
    </row>
    <row r="807" ht="15.75" customHeight="1">
      <c r="O807" s="4" t="s">
        <v>2087</v>
      </c>
    </row>
    <row r="808" ht="15.75" customHeight="1">
      <c r="O808" s="4" t="s">
        <v>2088</v>
      </c>
    </row>
    <row r="809" ht="15.75" customHeight="1">
      <c r="O809" s="4" t="s">
        <v>2089</v>
      </c>
    </row>
    <row r="810" ht="15.75" customHeight="1">
      <c r="O810" s="4" t="s">
        <v>2090</v>
      </c>
    </row>
    <row r="811" ht="15.75" customHeight="1">
      <c r="O811" s="4" t="s">
        <v>2091</v>
      </c>
    </row>
    <row r="812" ht="15.75" customHeight="1">
      <c r="O812" s="4" t="s">
        <v>2092</v>
      </c>
    </row>
    <row r="813" ht="15.75" customHeight="1">
      <c r="O813" s="4" t="s">
        <v>2093</v>
      </c>
    </row>
    <row r="814" ht="15.75" customHeight="1">
      <c r="O814" s="4" t="s">
        <v>2094</v>
      </c>
    </row>
    <row r="815" ht="15.75" customHeight="1">
      <c r="O815" s="4" t="s">
        <v>2095</v>
      </c>
    </row>
    <row r="816" ht="15.75" customHeight="1">
      <c r="O816" s="4" t="s">
        <v>2096</v>
      </c>
    </row>
    <row r="817" ht="15.75" customHeight="1">
      <c r="O817" s="4" t="s">
        <v>2097</v>
      </c>
    </row>
    <row r="818" ht="15.75" customHeight="1">
      <c r="O818" s="4" t="s">
        <v>2098</v>
      </c>
    </row>
    <row r="819" ht="15.75" customHeight="1">
      <c r="O819" s="4" t="s">
        <v>2099</v>
      </c>
    </row>
    <row r="820" ht="15.75" customHeight="1">
      <c r="O820" s="4" t="s">
        <v>2100</v>
      </c>
    </row>
    <row r="821" ht="15.75" customHeight="1">
      <c r="O821" s="4" t="s">
        <v>2101</v>
      </c>
    </row>
    <row r="822" ht="15.75" customHeight="1">
      <c r="O822" s="4" t="s">
        <v>2102</v>
      </c>
    </row>
    <row r="823" ht="15.75" customHeight="1">
      <c r="O823" s="4" t="s">
        <v>2103</v>
      </c>
    </row>
    <row r="824" ht="15.75" customHeight="1">
      <c r="O824" s="4" t="s">
        <v>2104</v>
      </c>
    </row>
    <row r="825" ht="15.75" customHeight="1">
      <c r="O825" s="4" t="s">
        <v>2105</v>
      </c>
    </row>
    <row r="826" ht="15.75" customHeight="1">
      <c r="O826" s="4" t="s">
        <v>2106</v>
      </c>
    </row>
    <row r="827" ht="15.75" customHeight="1">
      <c r="O827" s="4" t="s">
        <v>2107</v>
      </c>
    </row>
    <row r="828" ht="15.75" customHeight="1">
      <c r="O828" s="4" t="s">
        <v>2108</v>
      </c>
    </row>
    <row r="829" ht="15.75" customHeight="1">
      <c r="O829" s="4" t="s">
        <v>2109</v>
      </c>
    </row>
    <row r="830" ht="15.75" customHeight="1">
      <c r="O830" s="4" t="s">
        <v>2110</v>
      </c>
    </row>
    <row r="831" ht="15.75" customHeight="1">
      <c r="O831" s="4" t="s">
        <v>2111</v>
      </c>
    </row>
    <row r="832" ht="15.75" customHeight="1">
      <c r="O832" s="4" t="s">
        <v>2112</v>
      </c>
    </row>
    <row r="833" ht="15.75" customHeight="1">
      <c r="O833" s="4" t="s">
        <v>2113</v>
      </c>
    </row>
    <row r="834" ht="15.75" customHeight="1">
      <c r="O834" s="4" t="s">
        <v>2114</v>
      </c>
    </row>
    <row r="835" ht="15.75" customHeight="1">
      <c r="O835" s="4" t="s">
        <v>2115</v>
      </c>
    </row>
    <row r="836" ht="15.75" customHeight="1">
      <c r="O836" s="4" t="s">
        <v>2116</v>
      </c>
    </row>
    <row r="837" ht="15.75" customHeight="1">
      <c r="O837" s="4" t="s">
        <v>2117</v>
      </c>
    </row>
    <row r="838" ht="15.75" customHeight="1">
      <c r="O838" s="4" t="s">
        <v>2118</v>
      </c>
    </row>
    <row r="839" ht="15.75" customHeight="1">
      <c r="O839" s="4" t="s">
        <v>2119</v>
      </c>
    </row>
    <row r="840" ht="15.75" customHeight="1">
      <c r="O840" s="4" t="s">
        <v>2120</v>
      </c>
    </row>
    <row r="841" ht="15.75" customHeight="1">
      <c r="O841" s="4" t="s">
        <v>2121</v>
      </c>
    </row>
    <row r="842" ht="15.75" customHeight="1">
      <c r="O842" s="4" t="s">
        <v>2122</v>
      </c>
    </row>
    <row r="843" ht="15.75" customHeight="1">
      <c r="O843" s="4" t="s">
        <v>2123</v>
      </c>
    </row>
    <row r="844" ht="15.75" customHeight="1">
      <c r="O844" s="4" t="s">
        <v>2124</v>
      </c>
    </row>
    <row r="845" ht="15.75" customHeight="1">
      <c r="O845" s="4" t="s">
        <v>2125</v>
      </c>
    </row>
    <row r="846" ht="15.75" customHeight="1">
      <c r="O846" s="4" t="s">
        <v>2126</v>
      </c>
    </row>
    <row r="847" ht="15.75" customHeight="1">
      <c r="O847" s="4" t="s">
        <v>2127</v>
      </c>
    </row>
    <row r="848" ht="15.75" customHeight="1">
      <c r="O848" s="4" t="s">
        <v>2128</v>
      </c>
    </row>
    <row r="849" ht="15.75" customHeight="1">
      <c r="O849" s="4" t="s">
        <v>2129</v>
      </c>
    </row>
    <row r="850" ht="15.75" customHeight="1">
      <c r="O850" s="4" t="s">
        <v>2130</v>
      </c>
    </row>
    <row r="851" ht="15.75" customHeight="1">
      <c r="O851" s="4" t="s">
        <v>2131</v>
      </c>
    </row>
    <row r="852" ht="15.75" customHeight="1">
      <c r="O852" s="4" t="s">
        <v>2132</v>
      </c>
    </row>
    <row r="853" ht="15.75" customHeight="1">
      <c r="O853" s="4" t="s">
        <v>2133</v>
      </c>
    </row>
    <row r="854" ht="15.75" customHeight="1">
      <c r="O854" s="4" t="s">
        <v>2134</v>
      </c>
    </row>
    <row r="855" ht="15.75" customHeight="1">
      <c r="O855" s="4" t="s">
        <v>2135</v>
      </c>
    </row>
    <row r="856" ht="15.75" customHeight="1">
      <c r="O856" s="4" t="s">
        <v>2136</v>
      </c>
    </row>
    <row r="857" ht="15.75" customHeight="1">
      <c r="O857" s="4" t="s">
        <v>2137</v>
      </c>
    </row>
    <row r="858" ht="15.75" customHeight="1">
      <c r="O858" s="4" t="s">
        <v>2138</v>
      </c>
    </row>
    <row r="859" ht="15.75" customHeight="1">
      <c r="O859" s="4" t="s">
        <v>2139</v>
      </c>
    </row>
    <row r="860" ht="15.75" customHeight="1">
      <c r="O860" s="4" t="s">
        <v>2140</v>
      </c>
    </row>
    <row r="861" ht="15.75" customHeight="1">
      <c r="O861" s="4" t="s">
        <v>2141</v>
      </c>
    </row>
    <row r="862" ht="15.75" customHeight="1">
      <c r="O862" s="4" t="s">
        <v>2142</v>
      </c>
    </row>
    <row r="863" ht="15.75" customHeight="1">
      <c r="O863" s="4" t="s">
        <v>2143</v>
      </c>
    </row>
    <row r="864" ht="15.75" customHeight="1">
      <c r="O864" s="4" t="s">
        <v>2144</v>
      </c>
    </row>
    <row r="865" ht="15.75" customHeight="1">
      <c r="O865" s="4" t="s">
        <v>2145</v>
      </c>
    </row>
    <row r="866" ht="15.75" customHeight="1">
      <c r="O866" s="4" t="s">
        <v>2146</v>
      </c>
    </row>
    <row r="867" ht="15.75" customHeight="1">
      <c r="O867" s="4" t="s">
        <v>2147</v>
      </c>
    </row>
    <row r="868" ht="15.75" customHeight="1">
      <c r="O868" s="4" t="s">
        <v>2148</v>
      </c>
    </row>
    <row r="869" ht="15.75" customHeight="1">
      <c r="O869" s="4" t="s">
        <v>2149</v>
      </c>
    </row>
    <row r="870" ht="15.75" customHeight="1">
      <c r="O870" s="4" t="s">
        <v>2150</v>
      </c>
    </row>
    <row r="871" ht="15.75" customHeight="1">
      <c r="O871" s="4" t="s">
        <v>2151</v>
      </c>
    </row>
    <row r="872" ht="15.75" customHeight="1">
      <c r="O872" s="4" t="s">
        <v>2152</v>
      </c>
    </row>
    <row r="873" ht="15.75" customHeight="1">
      <c r="O873" s="4" t="s">
        <v>2153</v>
      </c>
    </row>
    <row r="874" ht="15.75" customHeight="1">
      <c r="O874" s="4" t="s">
        <v>2154</v>
      </c>
    </row>
    <row r="875" ht="15.75" customHeight="1">
      <c r="O875" s="4" t="s">
        <v>2155</v>
      </c>
    </row>
    <row r="876" ht="15.75" customHeight="1">
      <c r="O876" s="4" t="s">
        <v>2156</v>
      </c>
    </row>
    <row r="877" ht="15.75" customHeight="1">
      <c r="O877" s="4" t="s">
        <v>2157</v>
      </c>
    </row>
    <row r="878" ht="15.75" customHeight="1">
      <c r="O878" s="4" t="s">
        <v>2158</v>
      </c>
    </row>
    <row r="879" ht="15.75" customHeight="1">
      <c r="O879" s="4" t="s">
        <v>2159</v>
      </c>
    </row>
    <row r="880" ht="15.75" customHeight="1">
      <c r="O880" s="4" t="s">
        <v>2160</v>
      </c>
    </row>
    <row r="881" ht="15.75" customHeight="1">
      <c r="O881" s="4" t="s">
        <v>2161</v>
      </c>
    </row>
    <row r="882" ht="15.75" customHeight="1">
      <c r="O882" s="4" t="s">
        <v>2162</v>
      </c>
    </row>
    <row r="883" ht="15.75" customHeight="1">
      <c r="O883" s="4" t="s">
        <v>2163</v>
      </c>
    </row>
    <row r="884" ht="15.75" customHeight="1">
      <c r="O884" s="4" t="s">
        <v>2164</v>
      </c>
    </row>
    <row r="885" ht="15.75" customHeight="1">
      <c r="O885" s="4" t="s">
        <v>2165</v>
      </c>
    </row>
    <row r="886" ht="15.75" customHeight="1">
      <c r="O886" s="4" t="s">
        <v>2166</v>
      </c>
    </row>
    <row r="887" ht="15.75" customHeight="1">
      <c r="O887" s="4" t="s">
        <v>2167</v>
      </c>
    </row>
    <row r="888" ht="15.75" customHeight="1">
      <c r="O888" s="4" t="s">
        <v>2168</v>
      </c>
    </row>
    <row r="889" ht="15.75" customHeight="1">
      <c r="O889" s="4" t="s">
        <v>2169</v>
      </c>
    </row>
    <row r="890" ht="15.75" customHeight="1">
      <c r="O890" s="4" t="s">
        <v>2170</v>
      </c>
    </row>
    <row r="891" ht="15.75" customHeight="1">
      <c r="O891" s="4" t="s">
        <v>2171</v>
      </c>
    </row>
    <row r="892" ht="15.75" customHeight="1">
      <c r="O892" s="4" t="s">
        <v>2172</v>
      </c>
    </row>
    <row r="893" ht="15.75" customHeight="1">
      <c r="O893" s="4" t="s">
        <v>2173</v>
      </c>
    </row>
    <row r="894" ht="15.75" customHeight="1">
      <c r="O894" s="4" t="s">
        <v>2174</v>
      </c>
    </row>
    <row r="895" ht="15.75" customHeight="1">
      <c r="O895" s="4" t="s">
        <v>2175</v>
      </c>
    </row>
    <row r="896" ht="15.75" customHeight="1">
      <c r="O896" s="4" t="s">
        <v>2176</v>
      </c>
    </row>
    <row r="897" ht="15.75" customHeight="1">
      <c r="O897" s="4" t="s">
        <v>2177</v>
      </c>
    </row>
    <row r="898" ht="15.75" customHeight="1">
      <c r="O898" s="4" t="s">
        <v>2178</v>
      </c>
    </row>
    <row r="899" ht="15.75" customHeight="1">
      <c r="O899" s="4" t="s">
        <v>2179</v>
      </c>
    </row>
    <row r="900" ht="15.75" customHeight="1">
      <c r="O900" s="4" t="s">
        <v>2180</v>
      </c>
    </row>
    <row r="901" ht="15.75" customHeight="1">
      <c r="O901" s="4" t="s">
        <v>2181</v>
      </c>
    </row>
    <row r="902" ht="15.75" customHeight="1">
      <c r="O902" s="4" t="s">
        <v>2182</v>
      </c>
    </row>
    <row r="903" ht="15.75" customHeight="1">
      <c r="O903" s="4" t="s">
        <v>2183</v>
      </c>
    </row>
    <row r="904" ht="15.75" customHeight="1">
      <c r="O904" s="4" t="s">
        <v>2184</v>
      </c>
    </row>
    <row r="905" ht="15.75" customHeight="1">
      <c r="O905" s="4" t="s">
        <v>2185</v>
      </c>
    </row>
    <row r="906" ht="15.75" customHeight="1">
      <c r="O906" s="4" t="s">
        <v>2186</v>
      </c>
    </row>
    <row r="907" ht="15.75" customHeight="1">
      <c r="O907" s="4" t="s">
        <v>2187</v>
      </c>
    </row>
    <row r="908" ht="15.75" customHeight="1">
      <c r="O908" s="4" t="s">
        <v>2188</v>
      </c>
    </row>
    <row r="909" ht="15.75" customHeight="1">
      <c r="O909" s="4" t="s">
        <v>2189</v>
      </c>
    </row>
    <row r="910" ht="15.75" customHeight="1">
      <c r="O910" s="4" t="s">
        <v>2190</v>
      </c>
    </row>
    <row r="911" ht="15.75" customHeight="1">
      <c r="O911" s="4" t="s">
        <v>2191</v>
      </c>
    </row>
    <row r="912" ht="15.75" customHeight="1">
      <c r="O912" s="4" t="s">
        <v>2192</v>
      </c>
    </row>
    <row r="913" ht="15.75" customHeight="1">
      <c r="O913" s="4" t="s">
        <v>2193</v>
      </c>
    </row>
    <row r="914" ht="15.75" customHeight="1">
      <c r="O914" s="4" t="s">
        <v>2194</v>
      </c>
    </row>
    <row r="915" ht="15.75" customHeight="1">
      <c r="O915" s="4" t="s">
        <v>2195</v>
      </c>
    </row>
    <row r="916" ht="15.75" customHeight="1">
      <c r="O916" s="4" t="s">
        <v>2196</v>
      </c>
    </row>
    <row r="917" ht="15.75" customHeight="1">
      <c r="O917" s="4" t="s">
        <v>2197</v>
      </c>
    </row>
    <row r="918" ht="15.75" customHeight="1">
      <c r="O918" s="4" t="s">
        <v>2198</v>
      </c>
    </row>
    <row r="919" ht="15.75" customHeight="1">
      <c r="O919" s="4" t="s">
        <v>2199</v>
      </c>
    </row>
    <row r="920" ht="15.75" customHeight="1">
      <c r="O920" s="4" t="s">
        <v>2200</v>
      </c>
    </row>
    <row r="921" ht="15.75" customHeight="1">
      <c r="O921" s="4" t="s">
        <v>2201</v>
      </c>
    </row>
    <row r="922" ht="15.75" customHeight="1">
      <c r="O922" s="4" t="s">
        <v>2202</v>
      </c>
    </row>
    <row r="923" ht="15.75" customHeight="1">
      <c r="O923" s="4" t="s">
        <v>2203</v>
      </c>
    </row>
    <row r="924" ht="15.75" customHeight="1">
      <c r="O924" s="4" t="s">
        <v>2204</v>
      </c>
    </row>
    <row r="925" ht="15.75" customHeight="1">
      <c r="O925" s="4" t="s">
        <v>2205</v>
      </c>
    </row>
    <row r="926" ht="15.75" customHeight="1">
      <c r="O926" s="4" t="s">
        <v>2206</v>
      </c>
    </row>
    <row r="927" ht="15.75" customHeight="1">
      <c r="O927" s="4" t="s">
        <v>2207</v>
      </c>
    </row>
    <row r="928" ht="15.75" customHeight="1">
      <c r="O928" s="4" t="s">
        <v>2208</v>
      </c>
    </row>
    <row r="929" ht="15.75" customHeight="1">
      <c r="O929" s="4" t="s">
        <v>2209</v>
      </c>
    </row>
    <row r="930" ht="15.75" customHeight="1">
      <c r="O930" s="4" t="s">
        <v>2210</v>
      </c>
    </row>
    <row r="931" ht="15.75" customHeight="1">
      <c r="O931" s="4" t="s">
        <v>2211</v>
      </c>
    </row>
    <row r="932" ht="15.75" customHeight="1">
      <c r="O932" s="4" t="s">
        <v>2212</v>
      </c>
    </row>
    <row r="933" ht="15.75" customHeight="1">
      <c r="O933" s="4" t="s">
        <v>2213</v>
      </c>
    </row>
    <row r="934" ht="15.75" customHeight="1">
      <c r="O934" s="4" t="s">
        <v>2214</v>
      </c>
    </row>
    <row r="935" ht="15.75" customHeight="1">
      <c r="O935" s="4" t="s">
        <v>2215</v>
      </c>
    </row>
    <row r="936" ht="15.75" customHeight="1">
      <c r="O936" s="4" t="s">
        <v>2216</v>
      </c>
    </row>
    <row r="937" ht="15.75" customHeight="1">
      <c r="O937" s="4" t="s">
        <v>2217</v>
      </c>
    </row>
    <row r="938" ht="15.75" customHeight="1">
      <c r="O938" s="4" t="s">
        <v>2218</v>
      </c>
    </row>
    <row r="939" ht="15.75" customHeight="1">
      <c r="O939" s="4" t="s">
        <v>2219</v>
      </c>
    </row>
    <row r="940" ht="15.75" customHeight="1">
      <c r="O940" s="4" t="s">
        <v>2220</v>
      </c>
    </row>
    <row r="941" ht="15.75" customHeight="1">
      <c r="O941" s="4" t="s">
        <v>2221</v>
      </c>
    </row>
    <row r="942" ht="15.75" customHeight="1">
      <c r="O942" s="4" t="s">
        <v>2222</v>
      </c>
    </row>
    <row r="943" ht="15.75" customHeight="1">
      <c r="O943" s="4" t="s">
        <v>2223</v>
      </c>
    </row>
    <row r="944" ht="15.75" customHeight="1">
      <c r="O944" s="4" t="s">
        <v>2224</v>
      </c>
    </row>
    <row r="945" ht="15.75" customHeight="1">
      <c r="O945" s="4" t="s">
        <v>2225</v>
      </c>
    </row>
    <row r="946" ht="15.75" customHeight="1">
      <c r="O946" s="4" t="s">
        <v>2226</v>
      </c>
    </row>
    <row r="947" ht="15.75" customHeight="1">
      <c r="O947" s="4" t="s">
        <v>2227</v>
      </c>
    </row>
    <row r="948" ht="15.75" customHeight="1">
      <c r="O948" s="4" t="s">
        <v>2228</v>
      </c>
    </row>
    <row r="949" ht="15.75" customHeight="1">
      <c r="O949" s="4" t="s">
        <v>2229</v>
      </c>
    </row>
    <row r="950" ht="15.75" customHeight="1">
      <c r="O950" s="4" t="s">
        <v>2230</v>
      </c>
    </row>
    <row r="951" ht="15.75" customHeight="1">
      <c r="O951" s="4" t="s">
        <v>2231</v>
      </c>
    </row>
    <row r="952" ht="15.75" customHeight="1">
      <c r="O952" s="4" t="s">
        <v>2232</v>
      </c>
    </row>
    <row r="953" ht="15.75" customHeight="1">
      <c r="O953" s="4" t="s">
        <v>2233</v>
      </c>
    </row>
    <row r="954" ht="15.75" customHeight="1">
      <c r="O954" s="4" t="s">
        <v>2234</v>
      </c>
    </row>
    <row r="955" ht="15.75" customHeight="1">
      <c r="O955" s="4" t="s">
        <v>2235</v>
      </c>
    </row>
    <row r="956" ht="15.75" customHeight="1">
      <c r="O956" s="4" t="s">
        <v>2236</v>
      </c>
    </row>
    <row r="957" ht="15.75" customHeight="1">
      <c r="O957" s="4" t="s">
        <v>2237</v>
      </c>
    </row>
    <row r="958" ht="15.75" customHeight="1">
      <c r="O958" s="4" t="s">
        <v>2238</v>
      </c>
    </row>
    <row r="959" ht="15.75" customHeight="1">
      <c r="O959" s="4" t="s">
        <v>2239</v>
      </c>
    </row>
    <row r="960" ht="15.75" customHeight="1">
      <c r="O960" s="4" t="s">
        <v>2240</v>
      </c>
    </row>
    <row r="961" ht="15.75" customHeight="1">
      <c r="O961" s="4" t="s">
        <v>2241</v>
      </c>
    </row>
    <row r="962" ht="15.75" customHeight="1">
      <c r="O962" s="4" t="s">
        <v>2242</v>
      </c>
    </row>
    <row r="963" ht="15.75" customHeight="1">
      <c r="O963" s="4" t="s">
        <v>2243</v>
      </c>
    </row>
    <row r="964" ht="15.75" customHeight="1">
      <c r="O964" s="4" t="s">
        <v>2244</v>
      </c>
    </row>
    <row r="965" ht="15.75" customHeight="1">
      <c r="O965" s="4" t="s">
        <v>2245</v>
      </c>
    </row>
    <row r="966" ht="15.75" customHeight="1">
      <c r="O966" s="4" t="s">
        <v>2246</v>
      </c>
    </row>
    <row r="967" ht="15.75" customHeight="1">
      <c r="O967" s="4" t="s">
        <v>2247</v>
      </c>
    </row>
    <row r="968" ht="15.75" customHeight="1">
      <c r="O968" s="4" t="s">
        <v>2248</v>
      </c>
    </row>
    <row r="969" ht="15.75" customHeight="1">
      <c r="O969" s="4" t="s">
        <v>2249</v>
      </c>
    </row>
    <row r="970" ht="15.75" customHeight="1">
      <c r="O970" s="4" t="s">
        <v>2250</v>
      </c>
    </row>
    <row r="971" ht="15.75" customHeight="1">
      <c r="O971" s="4" t="s">
        <v>2251</v>
      </c>
    </row>
    <row r="972" ht="15.75" customHeight="1">
      <c r="O972" s="4" t="s">
        <v>2252</v>
      </c>
    </row>
    <row r="973" ht="15.75" customHeight="1">
      <c r="O973" s="4" t="s">
        <v>2253</v>
      </c>
    </row>
    <row r="974" ht="15.75" customHeight="1">
      <c r="O974" s="4" t="s">
        <v>2254</v>
      </c>
    </row>
    <row r="975" ht="15.75" customHeight="1">
      <c r="O975" s="4" t="s">
        <v>2255</v>
      </c>
    </row>
    <row r="976" ht="15.75" customHeight="1">
      <c r="O976" s="4" t="s">
        <v>2256</v>
      </c>
    </row>
    <row r="977" ht="15.75" customHeight="1">
      <c r="O977" s="4" t="s">
        <v>2257</v>
      </c>
    </row>
    <row r="978" ht="15.75" customHeight="1">
      <c r="O978" s="4" t="s">
        <v>2258</v>
      </c>
    </row>
    <row r="979" ht="15.75" customHeight="1">
      <c r="O979" s="4" t="s">
        <v>2259</v>
      </c>
    </row>
    <row r="980" ht="15.75" customHeight="1">
      <c r="O980" s="4" t="s">
        <v>2260</v>
      </c>
    </row>
    <row r="981" ht="15.75" customHeight="1">
      <c r="O981" s="4" t="s">
        <v>2261</v>
      </c>
    </row>
    <row r="982" ht="15.75" customHeight="1">
      <c r="O982" s="4" t="s">
        <v>2262</v>
      </c>
    </row>
    <row r="983" ht="15.75" customHeight="1">
      <c r="O983" s="4" t="s">
        <v>2263</v>
      </c>
    </row>
    <row r="984" ht="15.75" customHeight="1">
      <c r="O984" s="4" t="s">
        <v>2264</v>
      </c>
    </row>
    <row r="985" ht="15.75" customHeight="1">
      <c r="O985" s="4" t="s">
        <v>2265</v>
      </c>
    </row>
    <row r="986" ht="15.75" customHeight="1">
      <c r="O986" s="4" t="s">
        <v>2266</v>
      </c>
    </row>
    <row r="987" ht="15.75" customHeight="1">
      <c r="O987" s="4" t="s">
        <v>2267</v>
      </c>
    </row>
    <row r="988" ht="15.75" customHeight="1">
      <c r="O988" s="4" t="s">
        <v>2268</v>
      </c>
    </row>
    <row r="989" ht="15.75" customHeight="1">
      <c r="O989" s="4" t="s">
        <v>2269</v>
      </c>
    </row>
    <row r="990" ht="15.75" customHeight="1">
      <c r="O990" s="4" t="s">
        <v>2270</v>
      </c>
    </row>
    <row r="991" ht="15.75" customHeight="1">
      <c r="O991" s="4" t="s">
        <v>2271</v>
      </c>
    </row>
    <row r="992" ht="15.75" customHeight="1">
      <c r="O992" s="4" t="s">
        <v>2272</v>
      </c>
    </row>
    <row r="993" ht="15.75" customHeight="1">
      <c r="O993" s="4" t="s">
        <v>2273</v>
      </c>
    </row>
    <row r="994" ht="15.75" customHeight="1">
      <c r="O994" s="4" t="s">
        <v>2274</v>
      </c>
    </row>
    <row r="995" ht="15.75" customHeight="1">
      <c r="O995" s="4" t="s">
        <v>2275</v>
      </c>
    </row>
    <row r="996" ht="15.75" customHeight="1">
      <c r="O996" s="4" t="s">
        <v>2276</v>
      </c>
    </row>
    <row r="997" ht="15.75" customHeight="1">
      <c r="O997" s="4" t="s">
        <v>2277</v>
      </c>
    </row>
    <row r="998" ht="15.75" customHeight="1">
      <c r="O998" s="4" t="s">
        <v>2278</v>
      </c>
    </row>
    <row r="999" ht="15.75" customHeight="1">
      <c r="O999" s="4" t="s">
        <v>2279</v>
      </c>
    </row>
    <row r="1000" ht="15.75" customHeight="1">
      <c r="O1000" s="4" t="s">
        <v>2280</v>
      </c>
    </row>
    <row r="1001" ht="15.75" customHeight="1">
      <c r="O1001" s="4" t="s">
        <v>2281</v>
      </c>
    </row>
    <row r="1002" ht="15.75" customHeight="1">
      <c r="O1002" s="4" t="s">
        <v>2282</v>
      </c>
    </row>
    <row r="1003" ht="15.75" customHeight="1">
      <c r="O1003" s="4" t="s">
        <v>2283</v>
      </c>
    </row>
    <row r="1004" ht="15.75" customHeight="1">
      <c r="O1004" s="4" t="s">
        <v>2284</v>
      </c>
    </row>
    <row r="1005" ht="15.75" customHeight="1">
      <c r="O1005" s="4" t="s">
        <v>2285</v>
      </c>
    </row>
    <row r="1006" ht="15.75" customHeight="1">
      <c r="O1006" s="4" t="s">
        <v>2286</v>
      </c>
    </row>
    <row r="1007" ht="15.75" customHeight="1">
      <c r="O1007" s="4" t="s">
        <v>2287</v>
      </c>
    </row>
    <row r="1008" ht="15.75" customHeight="1">
      <c r="O1008" s="4" t="s">
        <v>2288</v>
      </c>
    </row>
    <row r="1009" ht="15.75" customHeight="1">
      <c r="O1009" s="4" t="s">
        <v>2289</v>
      </c>
    </row>
    <row r="1010" ht="15.75" customHeight="1">
      <c r="O1010" s="4" t="s">
        <v>2290</v>
      </c>
    </row>
    <row r="1011" ht="15.75" customHeight="1">
      <c r="O1011" s="4" t="s">
        <v>2291</v>
      </c>
    </row>
    <row r="1012" ht="15.75" customHeight="1">
      <c r="O1012" s="4" t="s">
        <v>2292</v>
      </c>
    </row>
    <row r="1013" ht="15.75" customHeight="1">
      <c r="O1013" s="4" t="s">
        <v>2293</v>
      </c>
    </row>
    <row r="1014" ht="15.75" customHeight="1">
      <c r="O1014" s="4" t="s">
        <v>2294</v>
      </c>
    </row>
    <row r="1015" ht="15.75" customHeight="1">
      <c r="O1015" s="4" t="s">
        <v>2295</v>
      </c>
    </row>
    <row r="1016" ht="15.75" customHeight="1">
      <c r="O1016" s="4" t="s">
        <v>2296</v>
      </c>
    </row>
    <row r="1017" ht="15.75" customHeight="1">
      <c r="O1017" s="4" t="s">
        <v>2297</v>
      </c>
    </row>
    <row r="1018" ht="15.75" customHeight="1">
      <c r="O1018" s="4" t="s">
        <v>2298</v>
      </c>
    </row>
    <row r="1019" ht="15.75" customHeight="1">
      <c r="O1019" s="4" t="s">
        <v>2299</v>
      </c>
    </row>
    <row r="1020" ht="15.75" customHeight="1">
      <c r="O1020" s="4" t="s">
        <v>2300</v>
      </c>
    </row>
    <row r="1021" ht="15.75" customHeight="1">
      <c r="O1021" s="4" t="s">
        <v>2301</v>
      </c>
    </row>
    <row r="1022" ht="15.75" customHeight="1">
      <c r="O1022" s="4" t="s">
        <v>2302</v>
      </c>
    </row>
    <row r="1023" ht="15.75" customHeight="1">
      <c r="O1023" s="4" t="s">
        <v>2303</v>
      </c>
    </row>
    <row r="1024" ht="15.75" customHeight="1">
      <c r="O1024" s="4" t="s">
        <v>2304</v>
      </c>
    </row>
    <row r="1025" ht="15.75" customHeight="1">
      <c r="O1025" s="4" t="s">
        <v>2305</v>
      </c>
    </row>
    <row r="1026" ht="15.75" customHeight="1">
      <c r="O1026" s="4" t="s">
        <v>2306</v>
      </c>
    </row>
    <row r="1027" ht="15.75" customHeight="1">
      <c r="O1027" s="4" t="s">
        <v>2307</v>
      </c>
    </row>
    <row r="1028" ht="15.75" customHeight="1">
      <c r="O1028" s="4" t="s">
        <v>2308</v>
      </c>
    </row>
    <row r="1029" ht="15.75" customHeight="1">
      <c r="O1029" s="4" t="s">
        <v>2309</v>
      </c>
    </row>
    <row r="1030" ht="15.75" customHeight="1">
      <c r="O1030" s="4" t="s">
        <v>2310</v>
      </c>
    </row>
    <row r="1031" ht="15.75" customHeight="1">
      <c r="O1031" s="4" t="s">
        <v>2311</v>
      </c>
    </row>
    <row r="1032" ht="15.75" customHeight="1">
      <c r="O1032" s="4" t="s">
        <v>2312</v>
      </c>
    </row>
    <row r="1033" ht="15.75" customHeight="1">
      <c r="O1033" s="4" t="s">
        <v>2313</v>
      </c>
    </row>
    <row r="1034" ht="15.75" customHeight="1">
      <c r="O1034" s="4" t="s">
        <v>2314</v>
      </c>
    </row>
    <row r="1035" ht="15.75" customHeight="1">
      <c r="O1035" s="4" t="s">
        <v>2315</v>
      </c>
    </row>
    <row r="1036" ht="15.75" customHeight="1">
      <c r="O1036" s="4" t="s">
        <v>2316</v>
      </c>
    </row>
    <row r="1037" ht="15.75" customHeight="1">
      <c r="O1037" s="4" t="s">
        <v>2317</v>
      </c>
    </row>
    <row r="1038" ht="15.75" customHeight="1">
      <c r="O1038" s="4" t="s">
        <v>2318</v>
      </c>
    </row>
    <row r="1039" ht="15.75" customHeight="1">
      <c r="O1039" s="4" t="s">
        <v>2319</v>
      </c>
    </row>
    <row r="1040" ht="15.75" customHeight="1">
      <c r="O1040" s="4" t="s">
        <v>2320</v>
      </c>
    </row>
    <row r="1041" ht="15.75" customHeight="1">
      <c r="O1041" s="4" t="s">
        <v>2321</v>
      </c>
    </row>
    <row r="1042" ht="15.75" customHeight="1">
      <c r="O1042" s="4" t="s">
        <v>2322</v>
      </c>
    </row>
    <row r="1043" ht="15.75" customHeight="1">
      <c r="O1043" s="4" t="s">
        <v>2323</v>
      </c>
    </row>
    <row r="1044" ht="15.75" customHeight="1">
      <c r="O1044" s="4" t="s">
        <v>2324</v>
      </c>
    </row>
    <row r="1045" ht="15.75" customHeight="1">
      <c r="O1045" s="4" t="s">
        <v>2325</v>
      </c>
    </row>
    <row r="1046" ht="15.75" customHeight="1">
      <c r="O1046" s="4" t="s">
        <v>2326</v>
      </c>
    </row>
    <row r="1047" ht="15.75" customHeight="1">
      <c r="O1047" s="4" t="s">
        <v>2327</v>
      </c>
    </row>
    <row r="1048" ht="15.75" customHeight="1">
      <c r="O1048" s="4" t="s">
        <v>2328</v>
      </c>
    </row>
    <row r="1049" ht="15.75" customHeight="1">
      <c r="O1049" s="4" t="s">
        <v>2329</v>
      </c>
    </row>
    <row r="1050" ht="15.75" customHeight="1">
      <c r="O1050" s="4" t="s">
        <v>2330</v>
      </c>
    </row>
    <row r="1051" ht="15.75" customHeight="1">
      <c r="O1051" s="4" t="s">
        <v>2331</v>
      </c>
    </row>
    <row r="1052" ht="15.75" customHeight="1">
      <c r="O1052" s="4" t="s">
        <v>2332</v>
      </c>
    </row>
    <row r="1053" ht="15.75" customHeight="1">
      <c r="O1053" s="4" t="s">
        <v>2333</v>
      </c>
    </row>
    <row r="1054" ht="15.75" customHeight="1">
      <c r="O1054" s="4" t="s">
        <v>2334</v>
      </c>
    </row>
    <row r="1055" ht="15.75" customHeight="1">
      <c r="O1055" s="4" t="s">
        <v>2335</v>
      </c>
    </row>
    <row r="1056" ht="15.75" customHeight="1">
      <c r="O1056" s="4" t="s">
        <v>2336</v>
      </c>
    </row>
    <row r="1057" ht="15.75" customHeight="1">
      <c r="O1057" s="4" t="s">
        <v>2337</v>
      </c>
    </row>
    <row r="1058" ht="15.75" customHeight="1">
      <c r="O1058" s="4" t="s">
        <v>2338</v>
      </c>
    </row>
    <row r="1059" ht="15.75" customHeight="1">
      <c r="O1059" s="4" t="s">
        <v>2339</v>
      </c>
    </row>
    <row r="1060" ht="15.75" customHeight="1">
      <c r="O1060" s="4" t="s">
        <v>2340</v>
      </c>
    </row>
    <row r="1061" ht="15.75" customHeight="1">
      <c r="O1061" s="4" t="s">
        <v>2341</v>
      </c>
    </row>
    <row r="1062" ht="15.75" customHeight="1">
      <c r="O1062" s="4" t="s">
        <v>2342</v>
      </c>
    </row>
    <row r="1063" ht="15.75" customHeight="1">
      <c r="O1063" s="4" t="s">
        <v>2343</v>
      </c>
    </row>
    <row r="1064" ht="15.75" customHeight="1">
      <c r="O1064" s="4" t="s">
        <v>2344</v>
      </c>
    </row>
    <row r="1065" ht="15.75" customHeight="1">
      <c r="O1065" s="4" t="s">
        <v>2345</v>
      </c>
    </row>
    <row r="1066" ht="15.75" customHeight="1">
      <c r="O1066" s="4" t="s">
        <v>2346</v>
      </c>
    </row>
    <row r="1067" ht="15.75" customHeight="1">
      <c r="O1067" s="4" t="s">
        <v>2347</v>
      </c>
    </row>
    <row r="1068" ht="15.75" customHeight="1">
      <c r="O1068" s="4" t="s">
        <v>2348</v>
      </c>
    </row>
    <row r="1069" ht="15.75" customHeight="1">
      <c r="O1069" s="4" t="s">
        <v>2349</v>
      </c>
    </row>
    <row r="1070" ht="15.75" customHeight="1">
      <c r="O1070" s="4" t="s">
        <v>2350</v>
      </c>
    </row>
    <row r="1071" ht="15.75" customHeight="1">
      <c r="O1071" s="4" t="s">
        <v>2351</v>
      </c>
    </row>
    <row r="1072" ht="15.75" customHeight="1">
      <c r="O1072" s="4" t="s">
        <v>2352</v>
      </c>
    </row>
    <row r="1073" ht="15.75" customHeight="1">
      <c r="O1073" s="4" t="s">
        <v>2353</v>
      </c>
    </row>
    <row r="1074" ht="15.75" customHeight="1">
      <c r="O1074" s="4" t="s">
        <v>2354</v>
      </c>
    </row>
    <row r="1075" ht="15.75" customHeight="1">
      <c r="O1075" s="4" t="s">
        <v>2355</v>
      </c>
    </row>
    <row r="1076" ht="15.75" customHeight="1">
      <c r="O1076" s="4" t="s">
        <v>2356</v>
      </c>
    </row>
    <row r="1077" ht="15.75" customHeight="1">
      <c r="O1077" s="4" t="s">
        <v>2357</v>
      </c>
    </row>
    <row r="1078" ht="15.75" customHeight="1">
      <c r="O1078" s="4" t="s">
        <v>2358</v>
      </c>
    </row>
    <row r="1079" ht="15.75" customHeight="1">
      <c r="O1079" s="4" t="s">
        <v>2359</v>
      </c>
    </row>
    <row r="1080" ht="15.75" customHeight="1">
      <c r="O1080" s="4" t="s">
        <v>2360</v>
      </c>
    </row>
    <row r="1081" ht="15.75" customHeight="1">
      <c r="O1081" s="4" t="s">
        <v>2361</v>
      </c>
    </row>
    <row r="1082" ht="15.75" customHeight="1">
      <c r="O1082" s="4" t="s">
        <v>2362</v>
      </c>
    </row>
    <row r="1083" ht="15.75" customHeight="1">
      <c r="O1083" s="4" t="s">
        <v>2363</v>
      </c>
    </row>
    <row r="1084" ht="15.75" customHeight="1">
      <c r="O1084" s="4" t="s">
        <v>2364</v>
      </c>
    </row>
    <row r="1085" ht="15.75" customHeight="1">
      <c r="O1085" s="4" t="s">
        <v>2365</v>
      </c>
    </row>
    <row r="1086" ht="15.75" customHeight="1">
      <c r="O1086" s="4" t="s">
        <v>2366</v>
      </c>
    </row>
    <row r="1087" ht="15.75" customHeight="1">
      <c r="O1087" s="4" t="s">
        <v>2367</v>
      </c>
    </row>
    <row r="1088" ht="15.75" customHeight="1">
      <c r="O1088" s="4" t="s">
        <v>2368</v>
      </c>
    </row>
    <row r="1089" ht="15.75" customHeight="1">
      <c r="O1089" s="4" t="s">
        <v>2369</v>
      </c>
    </row>
    <row r="1090" ht="15.75" customHeight="1">
      <c r="O1090" s="4" t="s">
        <v>2370</v>
      </c>
    </row>
    <row r="1091" ht="15.75" customHeight="1">
      <c r="O1091" s="4" t="s">
        <v>2371</v>
      </c>
    </row>
    <row r="1092" ht="15.75" customHeight="1">
      <c r="O1092" s="4" t="s">
        <v>2372</v>
      </c>
    </row>
    <row r="1093" ht="15.75" customHeight="1">
      <c r="O1093" s="4" t="s">
        <v>2373</v>
      </c>
    </row>
    <row r="1094" ht="15.75" customHeight="1">
      <c r="O1094" s="4" t="s">
        <v>2374</v>
      </c>
    </row>
    <row r="1095" ht="15.75" customHeight="1">
      <c r="O1095" s="4" t="s">
        <v>2375</v>
      </c>
    </row>
    <row r="1096" ht="15.75" customHeight="1">
      <c r="O1096" s="4" t="s">
        <v>2376</v>
      </c>
    </row>
    <row r="1097" ht="15.75" customHeight="1">
      <c r="O1097" s="4" t="s">
        <v>2377</v>
      </c>
    </row>
    <row r="1098" ht="15.75" customHeight="1">
      <c r="O1098" s="4" t="s">
        <v>2378</v>
      </c>
    </row>
    <row r="1099" ht="15.75" customHeight="1">
      <c r="O1099" s="4" t="s">
        <v>2379</v>
      </c>
    </row>
    <row r="1100" ht="15.75" customHeight="1">
      <c r="O1100" s="4" t="s">
        <v>2380</v>
      </c>
    </row>
    <row r="1101" ht="15.75" customHeight="1">
      <c r="O1101" s="4" t="s">
        <v>2381</v>
      </c>
    </row>
    <row r="1102" ht="15.75" customHeight="1">
      <c r="O1102" s="4" t="s">
        <v>2382</v>
      </c>
    </row>
    <row r="1103" ht="15.75" customHeight="1">
      <c r="O1103" s="4" t="s">
        <v>2383</v>
      </c>
    </row>
    <row r="1104" ht="15.75" customHeight="1">
      <c r="O1104" s="4" t="s">
        <v>2384</v>
      </c>
    </row>
    <row r="1105" ht="15.75" customHeight="1">
      <c r="O1105" s="4" t="s">
        <v>2385</v>
      </c>
    </row>
    <row r="1106" ht="15.75" customHeight="1">
      <c r="O1106" s="4" t="s">
        <v>2386</v>
      </c>
    </row>
    <row r="1107" ht="15.75" customHeight="1">
      <c r="O1107" s="4" t="s">
        <v>2387</v>
      </c>
    </row>
    <row r="1108" ht="15.75" customHeight="1">
      <c r="O1108" s="4" t="s">
        <v>2388</v>
      </c>
    </row>
    <row r="1109" ht="15.75" customHeight="1">
      <c r="O1109" s="4" t="s">
        <v>2389</v>
      </c>
    </row>
    <row r="1110" ht="15.75" customHeight="1">
      <c r="O1110" s="4" t="s">
        <v>2390</v>
      </c>
    </row>
    <row r="1111" ht="15.75" customHeight="1">
      <c r="O1111" s="4" t="s">
        <v>2391</v>
      </c>
    </row>
    <row r="1112" ht="15.75" customHeight="1">
      <c r="O1112" s="4" t="s">
        <v>2392</v>
      </c>
    </row>
    <row r="1113" ht="15.75" customHeight="1">
      <c r="O1113" s="4" t="s">
        <v>2393</v>
      </c>
    </row>
    <row r="1114" ht="15.75" customHeight="1">
      <c r="O1114" s="4" t="s">
        <v>2394</v>
      </c>
    </row>
    <row r="1115" ht="15.75" customHeight="1">
      <c r="O1115" s="4" t="s">
        <v>2395</v>
      </c>
    </row>
    <row r="1116" ht="15.75" customHeight="1">
      <c r="O1116" s="4" t="s">
        <v>2396</v>
      </c>
    </row>
    <row r="1117" ht="15.75" customHeight="1">
      <c r="O1117" s="4" t="s">
        <v>2397</v>
      </c>
    </row>
    <row r="1118" ht="15.75" customHeight="1">
      <c r="O1118" s="4" t="s">
        <v>2398</v>
      </c>
    </row>
    <row r="1119" ht="15.75" customHeight="1">
      <c r="O1119" s="4" t="s">
        <v>2399</v>
      </c>
    </row>
    <row r="1120" ht="15.75" customHeight="1">
      <c r="O1120" s="4" t="s">
        <v>2400</v>
      </c>
    </row>
    <row r="1121" ht="15.75" customHeight="1">
      <c r="O1121" s="4" t="s">
        <v>2401</v>
      </c>
    </row>
    <row r="1122" ht="15.75" customHeight="1">
      <c r="O1122" s="4" t="s">
        <v>2402</v>
      </c>
    </row>
    <row r="1123" ht="15.75" customHeight="1">
      <c r="O1123" s="4" t="s">
        <v>2403</v>
      </c>
    </row>
    <row r="1124" ht="15.75" customHeight="1">
      <c r="O1124" s="4" t="s">
        <v>2404</v>
      </c>
    </row>
    <row r="1125" ht="15.75" customHeight="1">
      <c r="O1125" s="4" t="s">
        <v>2405</v>
      </c>
    </row>
    <row r="1126" ht="15.75" customHeight="1">
      <c r="O1126" s="4" t="s">
        <v>2406</v>
      </c>
    </row>
    <row r="1127" ht="15.75" customHeight="1">
      <c r="O1127" s="4" t="s">
        <v>2407</v>
      </c>
    </row>
    <row r="1128" ht="15.75" customHeight="1">
      <c r="O1128" s="4" t="s">
        <v>2408</v>
      </c>
    </row>
    <row r="1129" ht="15.75" customHeight="1">
      <c r="O1129" s="4" t="s">
        <v>2409</v>
      </c>
    </row>
    <row r="1130" ht="15.75" customHeight="1">
      <c r="O1130" s="4" t="s">
        <v>2410</v>
      </c>
    </row>
    <row r="1131" ht="15.75" customHeight="1">
      <c r="O1131" s="4" t="s">
        <v>2411</v>
      </c>
    </row>
    <row r="1132" ht="15.75" customHeight="1">
      <c r="O1132" s="4" t="s">
        <v>2412</v>
      </c>
    </row>
    <row r="1133" ht="15.75" customHeight="1">
      <c r="O1133" s="4" t="s">
        <v>2413</v>
      </c>
    </row>
    <row r="1134" ht="15.75" customHeight="1">
      <c r="O1134" s="4" t="s">
        <v>2414</v>
      </c>
    </row>
    <row r="1135" ht="15.75" customHeight="1">
      <c r="O1135" s="4" t="s">
        <v>2415</v>
      </c>
    </row>
    <row r="1136" ht="15.75" customHeight="1">
      <c r="O1136" s="4" t="s">
        <v>2416</v>
      </c>
    </row>
    <row r="1137" ht="15.75" customHeight="1">
      <c r="O1137" s="4" t="s">
        <v>2417</v>
      </c>
    </row>
    <row r="1138" ht="15.75" customHeight="1">
      <c r="O1138" s="4" t="s">
        <v>2418</v>
      </c>
    </row>
    <row r="1139" ht="15.75" customHeight="1">
      <c r="O1139" s="4" t="s">
        <v>2419</v>
      </c>
    </row>
    <row r="1140" ht="15.75" customHeight="1">
      <c r="O1140" s="4" t="s">
        <v>2420</v>
      </c>
    </row>
    <row r="1141" ht="15.75" customHeight="1">
      <c r="O1141" s="4" t="s">
        <v>2421</v>
      </c>
    </row>
    <row r="1142" ht="15.75" customHeight="1">
      <c r="O1142" s="4" t="s">
        <v>2422</v>
      </c>
    </row>
    <row r="1143" ht="15.75" customHeight="1">
      <c r="O1143" s="4" t="s">
        <v>2423</v>
      </c>
    </row>
    <row r="1144" ht="15.75" customHeight="1">
      <c r="O1144" s="4" t="s">
        <v>2424</v>
      </c>
    </row>
    <row r="1145" ht="15.75" customHeight="1">
      <c r="O1145" s="4" t="s">
        <v>2425</v>
      </c>
    </row>
    <row r="1146" ht="15.75" customHeight="1">
      <c r="O1146" s="4" t="s">
        <v>2426</v>
      </c>
    </row>
    <row r="1147" ht="15.75" customHeight="1">
      <c r="O1147" s="4" t="s">
        <v>2427</v>
      </c>
    </row>
    <row r="1148" ht="15.75" customHeight="1">
      <c r="O1148" s="4" t="s">
        <v>2428</v>
      </c>
    </row>
    <row r="1149" ht="15.75" customHeight="1">
      <c r="O1149" s="4" t="s">
        <v>2429</v>
      </c>
    </row>
    <row r="1150" ht="15.75" customHeight="1">
      <c r="O1150" s="4" t="s">
        <v>2430</v>
      </c>
    </row>
    <row r="1151" ht="15.75" customHeight="1">
      <c r="O1151" s="4" t="s">
        <v>2431</v>
      </c>
    </row>
    <row r="1152" ht="15.75" customHeight="1">
      <c r="O1152" s="4" t="s">
        <v>2432</v>
      </c>
    </row>
    <row r="1153" ht="15.75" customHeight="1">
      <c r="O1153" s="4" t="s">
        <v>2433</v>
      </c>
    </row>
    <row r="1154" ht="15.75" customHeight="1">
      <c r="O1154" s="4" t="s">
        <v>2434</v>
      </c>
    </row>
    <row r="1155" ht="15.75" customHeight="1">
      <c r="O1155" s="4" t="s">
        <v>2435</v>
      </c>
    </row>
    <row r="1156" ht="15.75" customHeight="1">
      <c r="O1156" s="4" t="s">
        <v>2436</v>
      </c>
    </row>
    <row r="1157" ht="15.75" customHeight="1">
      <c r="O1157" s="4" t="s">
        <v>2437</v>
      </c>
    </row>
    <row r="1158" ht="15.75" customHeight="1">
      <c r="O1158" s="4" t="s">
        <v>2438</v>
      </c>
    </row>
    <row r="1159" ht="15.75" customHeight="1">
      <c r="O1159" s="4" t="s">
        <v>2439</v>
      </c>
    </row>
    <row r="1160" ht="15.75" customHeight="1">
      <c r="O1160" s="4" t="s">
        <v>2440</v>
      </c>
    </row>
    <row r="1161" ht="15.75" customHeight="1">
      <c r="O1161" s="4" t="s">
        <v>2441</v>
      </c>
    </row>
    <row r="1162" ht="15.75" customHeight="1">
      <c r="O1162" s="4" t="s">
        <v>2442</v>
      </c>
    </row>
    <row r="1163" ht="15.75" customHeight="1">
      <c r="O1163" s="4" t="s">
        <v>2443</v>
      </c>
    </row>
    <row r="1164" ht="15.75" customHeight="1">
      <c r="O1164" s="4" t="s">
        <v>2444</v>
      </c>
    </row>
    <row r="1165" ht="15.75" customHeight="1">
      <c r="O1165" s="4" t="s">
        <v>2445</v>
      </c>
    </row>
    <row r="1166" ht="15.75" customHeight="1">
      <c r="O1166" s="4" t="s">
        <v>2446</v>
      </c>
    </row>
    <row r="1167" ht="15.75" customHeight="1">
      <c r="O1167" s="4" t="s">
        <v>2447</v>
      </c>
    </row>
    <row r="1168" ht="15.75" customHeight="1">
      <c r="O1168" s="4" t="s">
        <v>2448</v>
      </c>
    </row>
    <row r="1169" ht="15.75" customHeight="1">
      <c r="O1169" s="4" t="s">
        <v>2449</v>
      </c>
    </row>
    <row r="1170" ht="15.75" customHeight="1">
      <c r="O1170" s="4" t="s">
        <v>2450</v>
      </c>
    </row>
    <row r="1171" ht="15.75" customHeight="1">
      <c r="O1171" s="4" t="s">
        <v>2451</v>
      </c>
    </row>
    <row r="1172" ht="15.75" customHeight="1">
      <c r="O1172" s="4" t="s">
        <v>2452</v>
      </c>
    </row>
    <row r="1173" ht="15.75" customHeight="1">
      <c r="O1173" s="4" t="s">
        <v>2453</v>
      </c>
    </row>
    <row r="1174" ht="15.75" customHeight="1">
      <c r="O1174" s="4" t="s">
        <v>2454</v>
      </c>
    </row>
    <row r="1175" ht="15.75" customHeight="1">
      <c r="O1175" s="4" t="s">
        <v>2455</v>
      </c>
    </row>
    <row r="1176" ht="15.75" customHeight="1">
      <c r="O1176" s="4" t="s">
        <v>2456</v>
      </c>
    </row>
    <row r="1177" ht="15.75" customHeight="1">
      <c r="O1177" s="4" t="s">
        <v>2457</v>
      </c>
    </row>
    <row r="1178" ht="15.75" customHeight="1">
      <c r="O1178" s="4" t="s">
        <v>2458</v>
      </c>
    </row>
    <row r="1179" ht="15.75" customHeight="1">
      <c r="O1179" s="4" t="s">
        <v>2459</v>
      </c>
    </row>
    <row r="1180" ht="15.75" customHeight="1">
      <c r="O1180" s="4" t="s">
        <v>2460</v>
      </c>
    </row>
    <row r="1181" ht="15.75" customHeight="1">
      <c r="O1181" s="4" t="s">
        <v>2461</v>
      </c>
    </row>
    <row r="1182" ht="15.75" customHeight="1">
      <c r="O1182" s="4" t="s">
        <v>2462</v>
      </c>
    </row>
    <row r="1183" ht="15.75" customHeight="1">
      <c r="O1183" s="4" t="s">
        <v>2463</v>
      </c>
    </row>
    <row r="1184" ht="15.75" customHeight="1">
      <c r="O1184" s="4" t="s">
        <v>2464</v>
      </c>
    </row>
    <row r="1185" ht="15.75" customHeight="1">
      <c r="O1185" s="4" t="s">
        <v>2465</v>
      </c>
    </row>
    <row r="1186" ht="15.75" customHeight="1">
      <c r="O1186" s="4" t="s">
        <v>2466</v>
      </c>
    </row>
    <row r="1187" ht="15.75" customHeight="1">
      <c r="O1187" s="4" t="s">
        <v>2467</v>
      </c>
    </row>
    <row r="1188" ht="15.75" customHeight="1">
      <c r="O1188" s="4" t="s">
        <v>2468</v>
      </c>
    </row>
    <row r="1189" ht="15.75" customHeight="1">
      <c r="O1189" s="4" t="s">
        <v>2469</v>
      </c>
    </row>
    <row r="1190" ht="15.75" customHeight="1">
      <c r="O1190" s="4" t="s">
        <v>2470</v>
      </c>
    </row>
    <row r="1191" ht="15.75" customHeight="1">
      <c r="O1191" s="4" t="s">
        <v>2471</v>
      </c>
    </row>
    <row r="1192" ht="15.75" customHeight="1">
      <c r="O1192" s="4" t="s">
        <v>2472</v>
      </c>
    </row>
    <row r="1193" ht="15.75" customHeight="1">
      <c r="O1193" s="4" t="s">
        <v>2473</v>
      </c>
    </row>
    <row r="1194" ht="15.75" customHeight="1">
      <c r="O1194" s="4" t="s">
        <v>2474</v>
      </c>
    </row>
    <row r="1195" ht="15.75" customHeight="1">
      <c r="O1195" s="4" t="s">
        <v>2475</v>
      </c>
    </row>
    <row r="1196" ht="15.75" customHeight="1">
      <c r="O1196" s="4" t="s">
        <v>2476</v>
      </c>
    </row>
    <row r="1197" ht="15.75" customHeight="1">
      <c r="O1197" s="4" t="s">
        <v>2477</v>
      </c>
    </row>
    <row r="1198" ht="15.75" customHeight="1">
      <c r="O1198" s="4" t="s">
        <v>2478</v>
      </c>
    </row>
    <row r="1199" ht="15.75" customHeight="1">
      <c r="O1199" s="4" t="s">
        <v>2479</v>
      </c>
    </row>
    <row r="1200" ht="15.75" customHeight="1">
      <c r="O1200" s="4" t="s">
        <v>2480</v>
      </c>
    </row>
    <row r="1201" ht="15.75" customHeight="1">
      <c r="O1201" s="4" t="s">
        <v>2481</v>
      </c>
    </row>
    <row r="1202" ht="15.75" customHeight="1">
      <c r="O1202" s="4" t="s">
        <v>2482</v>
      </c>
    </row>
    <row r="1203" ht="15.75" customHeight="1">
      <c r="O1203" s="4" t="s">
        <v>2483</v>
      </c>
    </row>
    <row r="1204" ht="15.75" customHeight="1">
      <c r="O1204" s="4" t="s">
        <v>2484</v>
      </c>
    </row>
    <row r="1205" ht="15.75" customHeight="1">
      <c r="O1205" s="4" t="s">
        <v>2485</v>
      </c>
    </row>
    <row r="1206" ht="15.75" customHeight="1">
      <c r="O1206" s="4" t="s">
        <v>2486</v>
      </c>
    </row>
    <row r="1207" ht="15.75" customHeight="1">
      <c r="O1207" s="4" t="s">
        <v>2487</v>
      </c>
    </row>
    <row r="1208" ht="15.75" customHeight="1">
      <c r="O1208" s="4" t="s">
        <v>2488</v>
      </c>
    </row>
    <row r="1209" ht="15.75" customHeight="1">
      <c r="O1209" s="4" t="s">
        <v>2489</v>
      </c>
    </row>
    <row r="1210" ht="15.75" customHeight="1">
      <c r="O1210" s="4" t="s">
        <v>2490</v>
      </c>
    </row>
    <row r="1211" ht="15.75" customHeight="1">
      <c r="O1211" s="4" t="s">
        <v>2491</v>
      </c>
    </row>
    <row r="1212" ht="15.75" customHeight="1">
      <c r="O1212" s="4" t="s">
        <v>2492</v>
      </c>
    </row>
    <row r="1213" ht="15.75" customHeight="1">
      <c r="O1213" s="4" t="s">
        <v>2493</v>
      </c>
    </row>
    <row r="1214" ht="15.75" customHeight="1">
      <c r="O1214" s="4" t="s">
        <v>2494</v>
      </c>
    </row>
    <row r="1215" ht="15.75" customHeight="1">
      <c r="O1215" s="4" t="s">
        <v>2495</v>
      </c>
    </row>
    <row r="1216" ht="15.75" customHeight="1">
      <c r="O1216" s="4" t="s">
        <v>2496</v>
      </c>
    </row>
    <row r="1217" ht="15.75" customHeight="1">
      <c r="O1217" s="4" t="s">
        <v>2497</v>
      </c>
    </row>
    <row r="1218" ht="15.75" customHeight="1">
      <c r="O1218" s="4" t="s">
        <v>2498</v>
      </c>
    </row>
    <row r="1219" ht="15.75" customHeight="1">
      <c r="O1219" s="4" t="s">
        <v>2499</v>
      </c>
    </row>
    <row r="1220" ht="15.75" customHeight="1">
      <c r="O1220" s="4" t="s">
        <v>2500</v>
      </c>
    </row>
    <row r="1221" ht="15.75" customHeight="1">
      <c r="O1221" s="4" t="s">
        <v>2501</v>
      </c>
    </row>
    <row r="1222" ht="15.75" customHeight="1">
      <c r="O1222" s="4" t="s">
        <v>2502</v>
      </c>
    </row>
    <row r="1223" ht="15.75" customHeight="1">
      <c r="O1223" s="4" t="s">
        <v>2503</v>
      </c>
    </row>
    <row r="1224" ht="15.75" customHeight="1">
      <c r="O1224" s="4" t="s">
        <v>2504</v>
      </c>
    </row>
    <row r="1225" ht="15.75" customHeight="1">
      <c r="O1225" s="4" t="s">
        <v>2505</v>
      </c>
    </row>
    <row r="1226" ht="15.75" customHeight="1">
      <c r="O1226" s="4" t="s">
        <v>2506</v>
      </c>
    </row>
    <row r="1227" ht="15.75" customHeight="1">
      <c r="O1227" s="4" t="s">
        <v>2507</v>
      </c>
    </row>
    <row r="1228" ht="15.75" customHeight="1">
      <c r="O1228" s="4" t="s">
        <v>2508</v>
      </c>
    </row>
    <row r="1229" ht="15.75" customHeight="1">
      <c r="O1229" s="4" t="s">
        <v>2509</v>
      </c>
    </row>
    <row r="1230" ht="15.75" customHeight="1">
      <c r="O1230" s="4" t="s">
        <v>2510</v>
      </c>
    </row>
    <row r="1231" ht="15.75" customHeight="1">
      <c r="O1231" s="4" t="s">
        <v>2511</v>
      </c>
    </row>
    <row r="1232" ht="15.75" customHeight="1">
      <c r="O1232" s="4" t="s">
        <v>2512</v>
      </c>
    </row>
    <row r="1233" ht="15.75" customHeight="1">
      <c r="O1233" s="4" t="s">
        <v>2513</v>
      </c>
    </row>
    <row r="1234" ht="15.75" customHeight="1">
      <c r="O1234" s="4" t="s">
        <v>2514</v>
      </c>
    </row>
    <row r="1235" ht="15.75" customHeight="1">
      <c r="O1235" s="4" t="s">
        <v>2515</v>
      </c>
    </row>
    <row r="1236" ht="15.75" customHeight="1">
      <c r="O1236" s="4" t="s">
        <v>2516</v>
      </c>
    </row>
    <row r="1237" ht="15.75" customHeight="1">
      <c r="O1237" s="4" t="s">
        <v>2517</v>
      </c>
    </row>
    <row r="1238" ht="15.75" customHeight="1">
      <c r="O1238" s="4" t="s">
        <v>2518</v>
      </c>
    </row>
    <row r="1239" ht="15.75" customHeight="1">
      <c r="O1239" s="4" t="s">
        <v>2519</v>
      </c>
    </row>
    <row r="1240" ht="15.75" customHeight="1">
      <c r="O1240" s="4" t="s">
        <v>2520</v>
      </c>
    </row>
    <row r="1241" ht="15.75" customHeight="1">
      <c r="O1241" s="4" t="s">
        <v>2521</v>
      </c>
    </row>
    <row r="1242" ht="15.75" customHeight="1">
      <c r="O1242" s="4" t="s">
        <v>2522</v>
      </c>
    </row>
    <row r="1243" ht="15.75" customHeight="1">
      <c r="O1243" s="4" t="s">
        <v>2523</v>
      </c>
    </row>
    <row r="1244" ht="15.75" customHeight="1">
      <c r="O1244" s="4" t="s">
        <v>2524</v>
      </c>
    </row>
    <row r="1245" ht="15.75" customHeight="1">
      <c r="O1245" s="4" t="s">
        <v>2525</v>
      </c>
    </row>
    <row r="1246" ht="15.75" customHeight="1">
      <c r="O1246" s="4" t="s">
        <v>2526</v>
      </c>
    </row>
    <row r="1247" ht="15.75" customHeight="1">
      <c r="O1247" s="4" t="s">
        <v>2527</v>
      </c>
    </row>
    <row r="1248" ht="15.75" customHeight="1">
      <c r="O1248" s="4" t="s">
        <v>2528</v>
      </c>
    </row>
    <row r="1249" ht="15.75" customHeight="1">
      <c r="O1249" s="4" t="s">
        <v>2529</v>
      </c>
    </row>
    <row r="1250" ht="15.75" customHeight="1">
      <c r="O1250" s="4" t="s">
        <v>2530</v>
      </c>
    </row>
    <row r="1251" ht="15.75" customHeight="1">
      <c r="O1251" s="4" t="s">
        <v>2531</v>
      </c>
    </row>
    <row r="1252" ht="15.75" customHeight="1">
      <c r="O1252" s="4" t="s">
        <v>2532</v>
      </c>
    </row>
    <row r="1253" ht="15.75" customHeight="1">
      <c r="O1253" s="4" t="s">
        <v>2533</v>
      </c>
    </row>
    <row r="1254" ht="15.75" customHeight="1">
      <c r="O1254" s="4" t="s">
        <v>2534</v>
      </c>
    </row>
    <row r="1255" ht="15.75" customHeight="1">
      <c r="O1255" s="4" t="s">
        <v>2535</v>
      </c>
    </row>
    <row r="1256" ht="15.75" customHeight="1">
      <c r="O1256" s="4" t="s">
        <v>2536</v>
      </c>
    </row>
    <row r="1257" ht="15.75" customHeight="1">
      <c r="O1257" s="4" t="s">
        <v>2537</v>
      </c>
    </row>
    <row r="1258" ht="15.75" customHeight="1">
      <c r="O1258" s="4" t="s">
        <v>2538</v>
      </c>
    </row>
    <row r="1259" ht="15.75" customHeight="1">
      <c r="O1259" s="4" t="s">
        <v>2539</v>
      </c>
    </row>
    <row r="1260" ht="15.75" customHeight="1">
      <c r="O1260" s="4" t="s">
        <v>2540</v>
      </c>
    </row>
    <row r="1261" ht="15.75" customHeight="1">
      <c r="O1261" s="4" t="s">
        <v>2541</v>
      </c>
    </row>
    <row r="1262" ht="15.75" customHeight="1">
      <c r="O1262" s="4" t="s">
        <v>2542</v>
      </c>
    </row>
    <row r="1263" ht="15.75" customHeight="1">
      <c r="O1263" s="4" t="s">
        <v>2543</v>
      </c>
    </row>
    <row r="1264" ht="15.75" customHeight="1">
      <c r="O1264" s="4" t="s">
        <v>2544</v>
      </c>
    </row>
    <row r="1265" ht="15.75" customHeight="1">
      <c r="O1265" s="4" t="s">
        <v>2545</v>
      </c>
    </row>
    <row r="1266" ht="15.75" customHeight="1">
      <c r="O1266" s="4" t="s">
        <v>2546</v>
      </c>
    </row>
    <row r="1267" ht="15.75" customHeight="1">
      <c r="O1267" s="4" t="s">
        <v>2547</v>
      </c>
    </row>
    <row r="1268" ht="15.75" customHeight="1">
      <c r="O1268" s="4" t="s">
        <v>2548</v>
      </c>
    </row>
    <row r="1269" ht="15.75" customHeight="1">
      <c r="O1269" s="4" t="s">
        <v>2549</v>
      </c>
    </row>
    <row r="1270" ht="15.75" customHeight="1">
      <c r="O1270" s="4" t="s">
        <v>2550</v>
      </c>
    </row>
    <row r="1271" ht="15.75" customHeight="1">
      <c r="O1271" s="4" t="s">
        <v>2551</v>
      </c>
    </row>
    <row r="1272" ht="15.75" customHeight="1">
      <c r="O1272" s="4" t="s">
        <v>2552</v>
      </c>
    </row>
    <row r="1273" ht="15.75" customHeight="1">
      <c r="O1273" s="4" t="s">
        <v>2553</v>
      </c>
    </row>
    <row r="1274" ht="15.75" customHeight="1">
      <c r="O1274" s="4" t="s">
        <v>2554</v>
      </c>
    </row>
    <row r="1275" ht="15.75" customHeight="1">
      <c r="O1275" s="4" t="s">
        <v>2555</v>
      </c>
    </row>
    <row r="1276" ht="15.75" customHeight="1">
      <c r="O1276" s="4" t="s">
        <v>2556</v>
      </c>
    </row>
    <row r="1277" ht="15.75" customHeight="1">
      <c r="O1277" s="4" t="s">
        <v>2557</v>
      </c>
    </row>
    <row r="1278" ht="15.75" customHeight="1">
      <c r="O1278" s="4" t="s">
        <v>2558</v>
      </c>
    </row>
    <row r="1279" ht="15.75" customHeight="1">
      <c r="O1279" s="4" t="s">
        <v>2559</v>
      </c>
    </row>
    <row r="1280" ht="15.75" customHeight="1">
      <c r="O1280" s="4" t="s">
        <v>2560</v>
      </c>
    </row>
    <row r="1281" ht="15.75" customHeight="1">
      <c r="O1281" s="4" t="s">
        <v>2561</v>
      </c>
    </row>
    <row r="1282" ht="15.75" customHeight="1">
      <c r="O1282" s="4" t="s">
        <v>2562</v>
      </c>
    </row>
    <row r="1283" ht="15.75" customHeight="1">
      <c r="O1283" s="4" t="s">
        <v>2563</v>
      </c>
    </row>
    <row r="1284" ht="15.75" customHeight="1">
      <c r="O1284" s="4" t="s">
        <v>2564</v>
      </c>
    </row>
    <row r="1285" ht="15.75" customHeight="1">
      <c r="O1285" s="4" t="s">
        <v>2565</v>
      </c>
    </row>
    <row r="1286" ht="15.75" customHeight="1">
      <c r="O1286" s="4" t="s">
        <v>2566</v>
      </c>
    </row>
    <row r="1287" ht="15.75" customHeight="1">
      <c r="O1287" s="4" t="s">
        <v>2567</v>
      </c>
    </row>
    <row r="1288" ht="15.75" customHeight="1">
      <c r="O1288" s="4" t="s">
        <v>2568</v>
      </c>
    </row>
    <row r="1289" ht="15.75" customHeight="1">
      <c r="O1289" s="4" t="s">
        <v>2569</v>
      </c>
    </row>
    <row r="1290" ht="15.75" customHeight="1">
      <c r="O1290" s="4" t="s">
        <v>2570</v>
      </c>
    </row>
    <row r="1291" ht="15.75" customHeight="1">
      <c r="O1291" s="4" t="s">
        <v>2571</v>
      </c>
    </row>
    <row r="1292" ht="15.75" customHeight="1">
      <c r="O1292" s="4" t="s">
        <v>2572</v>
      </c>
    </row>
    <row r="1293" ht="15.75" customHeight="1">
      <c r="O1293" s="4" t="s">
        <v>2573</v>
      </c>
    </row>
    <row r="1294" ht="15.75" customHeight="1">
      <c r="O1294" s="4" t="s">
        <v>2574</v>
      </c>
    </row>
    <row r="1295" ht="15.75" customHeight="1">
      <c r="O1295" s="4" t="s">
        <v>2575</v>
      </c>
    </row>
    <row r="1296" ht="15.75" customHeight="1">
      <c r="O1296" s="4" t="s">
        <v>2576</v>
      </c>
    </row>
    <row r="1297" ht="15.75" customHeight="1">
      <c r="O1297" s="4" t="s">
        <v>2577</v>
      </c>
    </row>
    <row r="1298" ht="15.75" customHeight="1">
      <c r="O1298" s="4" t="s">
        <v>2578</v>
      </c>
    </row>
    <row r="1299" ht="15.75" customHeight="1">
      <c r="O1299" s="4" t="s">
        <v>2579</v>
      </c>
    </row>
    <row r="1300" ht="15.75" customHeight="1">
      <c r="O1300" s="4" t="s">
        <v>2580</v>
      </c>
    </row>
    <row r="1301" ht="15.75" customHeight="1">
      <c r="O1301" s="4" t="s">
        <v>2581</v>
      </c>
    </row>
    <row r="1302" ht="15.75" customHeight="1">
      <c r="O1302" s="4" t="s">
        <v>2582</v>
      </c>
    </row>
    <row r="1303" ht="15.75" customHeight="1">
      <c r="O1303" s="4" t="s">
        <v>2583</v>
      </c>
    </row>
    <row r="1304" ht="15.75" customHeight="1">
      <c r="O1304" s="4" t="s">
        <v>2584</v>
      </c>
    </row>
    <row r="1305" ht="15.75" customHeight="1">
      <c r="O1305" s="4" t="s">
        <v>2585</v>
      </c>
    </row>
    <row r="1306" ht="15.75" customHeight="1">
      <c r="O1306" s="4" t="s">
        <v>2586</v>
      </c>
    </row>
    <row r="1307" ht="15.75" customHeight="1">
      <c r="O1307" s="4" t="s">
        <v>2587</v>
      </c>
    </row>
    <row r="1308" ht="15.75" customHeight="1">
      <c r="O1308" s="4" t="s">
        <v>2588</v>
      </c>
    </row>
    <row r="1309" ht="15.75" customHeight="1">
      <c r="O1309" s="4" t="s">
        <v>2589</v>
      </c>
    </row>
    <row r="1310" ht="15.75" customHeight="1">
      <c r="O1310" s="4" t="s">
        <v>2590</v>
      </c>
    </row>
    <row r="1311" ht="15.75" customHeight="1">
      <c r="O1311" s="4" t="s">
        <v>2591</v>
      </c>
    </row>
    <row r="1312" ht="15.75" customHeight="1">
      <c r="O1312" s="4" t="s">
        <v>2592</v>
      </c>
    </row>
    <row r="1313" ht="15.75" customHeight="1">
      <c r="O1313" s="4" t="s">
        <v>2593</v>
      </c>
    </row>
    <row r="1314" ht="15.75" customHeight="1">
      <c r="O1314" s="4" t="s">
        <v>2594</v>
      </c>
    </row>
    <row r="1315" ht="15.75" customHeight="1">
      <c r="O1315" s="4" t="s">
        <v>2595</v>
      </c>
    </row>
    <row r="1316" ht="15.75" customHeight="1">
      <c r="O1316" s="4" t="s">
        <v>2596</v>
      </c>
    </row>
    <row r="1317" ht="15.75" customHeight="1">
      <c r="O1317" s="4" t="s">
        <v>2597</v>
      </c>
    </row>
    <row r="1318" ht="15.75" customHeight="1">
      <c r="O1318" s="4" t="s">
        <v>2598</v>
      </c>
    </row>
    <row r="1319" ht="15.75" customHeight="1">
      <c r="O1319" s="4" t="s">
        <v>2599</v>
      </c>
    </row>
    <row r="1320" ht="15.75" customHeight="1">
      <c r="O1320" s="4" t="s">
        <v>2600</v>
      </c>
    </row>
    <row r="1321" ht="15.75" customHeight="1">
      <c r="O1321" s="4" t="s">
        <v>2601</v>
      </c>
    </row>
    <row r="1322" ht="15.75" customHeight="1">
      <c r="O1322" s="4" t="s">
        <v>2602</v>
      </c>
    </row>
    <row r="1323" ht="15.75" customHeight="1">
      <c r="O1323" s="4" t="s">
        <v>2603</v>
      </c>
    </row>
    <row r="1324" ht="15.75" customHeight="1">
      <c r="O1324" s="4" t="s">
        <v>2604</v>
      </c>
    </row>
    <row r="1325" ht="15.75" customHeight="1">
      <c r="O1325" s="4" t="s">
        <v>2605</v>
      </c>
    </row>
    <row r="1326" ht="15.75" customHeight="1">
      <c r="O1326" s="4" t="s">
        <v>2606</v>
      </c>
    </row>
    <row r="1327" ht="15.75" customHeight="1">
      <c r="O1327" s="4" t="s">
        <v>2607</v>
      </c>
    </row>
    <row r="1328" ht="15.75" customHeight="1">
      <c r="O1328" s="4" t="s">
        <v>2608</v>
      </c>
    </row>
    <row r="1329" ht="15.75" customHeight="1">
      <c r="O1329" s="4" t="s">
        <v>2609</v>
      </c>
    </row>
    <row r="1330" ht="15.75" customHeight="1">
      <c r="O1330" s="4" t="s">
        <v>2610</v>
      </c>
    </row>
    <row r="1331" ht="15.75" customHeight="1">
      <c r="O1331" s="4" t="s">
        <v>2611</v>
      </c>
    </row>
    <row r="1332" ht="15.75" customHeight="1">
      <c r="O1332" s="4" t="s">
        <v>2612</v>
      </c>
    </row>
    <row r="1333" ht="15.75" customHeight="1">
      <c r="O1333" s="4" t="s">
        <v>2613</v>
      </c>
    </row>
    <row r="1334" ht="15.75" customHeight="1">
      <c r="O1334" s="4" t="s">
        <v>2614</v>
      </c>
    </row>
    <row r="1335" ht="15.75" customHeight="1">
      <c r="O1335" s="4" t="s">
        <v>2615</v>
      </c>
    </row>
    <row r="1336" ht="15.75" customHeight="1">
      <c r="O1336" s="4" t="s">
        <v>2616</v>
      </c>
    </row>
    <row r="1337" ht="15.75" customHeight="1">
      <c r="O1337" s="4" t="s">
        <v>2617</v>
      </c>
    </row>
    <row r="1338" ht="15.75" customHeight="1">
      <c r="O1338" s="4" t="s">
        <v>2618</v>
      </c>
    </row>
    <row r="1339" ht="15.75" customHeight="1">
      <c r="O1339" s="4" t="s">
        <v>2619</v>
      </c>
    </row>
    <row r="1340" ht="15.75" customHeight="1">
      <c r="O1340" s="4" t="s">
        <v>2620</v>
      </c>
    </row>
    <row r="1341" ht="15.75" customHeight="1">
      <c r="O1341" s="4" t="s">
        <v>2621</v>
      </c>
    </row>
    <row r="1342" ht="15.75" customHeight="1">
      <c r="O1342" s="4" t="s">
        <v>2622</v>
      </c>
    </row>
    <row r="1343" ht="15.75" customHeight="1">
      <c r="O1343" s="4" t="s">
        <v>2623</v>
      </c>
    </row>
    <row r="1344" ht="15.75" customHeight="1">
      <c r="O1344" s="4" t="s">
        <v>2624</v>
      </c>
    </row>
    <row r="1345" ht="15.75" customHeight="1">
      <c r="O1345" s="4" t="s">
        <v>2625</v>
      </c>
    </row>
    <row r="1346" ht="15.75" customHeight="1">
      <c r="O1346" s="4" t="s">
        <v>2626</v>
      </c>
    </row>
    <row r="1347" ht="15.75" customHeight="1">
      <c r="O1347" s="4" t="s">
        <v>2627</v>
      </c>
    </row>
    <row r="1348" ht="15.75" customHeight="1">
      <c r="O1348" s="4" t="s">
        <v>2628</v>
      </c>
    </row>
    <row r="1349" ht="15.75" customHeight="1">
      <c r="O1349" s="4" t="s">
        <v>2629</v>
      </c>
    </row>
    <row r="1350" ht="15.75" customHeight="1">
      <c r="O1350" s="4" t="s">
        <v>2630</v>
      </c>
    </row>
    <row r="1351" ht="15.75" customHeight="1">
      <c r="O1351" s="4" t="s">
        <v>2631</v>
      </c>
    </row>
    <row r="1352" ht="15.75" customHeight="1">
      <c r="O1352" s="4" t="s">
        <v>2632</v>
      </c>
    </row>
    <row r="1353" ht="15.75" customHeight="1">
      <c r="O1353" s="4" t="s">
        <v>2633</v>
      </c>
    </row>
    <row r="1354" ht="15.75" customHeight="1">
      <c r="O1354" s="4" t="s">
        <v>2634</v>
      </c>
    </row>
    <row r="1355" ht="15.75" customHeight="1">
      <c r="O1355" s="4" t="s">
        <v>2635</v>
      </c>
    </row>
    <row r="1356" ht="15.75" customHeight="1">
      <c r="O1356" s="4" t="s">
        <v>2636</v>
      </c>
    </row>
    <row r="1357" ht="15.75" customHeight="1">
      <c r="O1357" s="4" t="s">
        <v>2637</v>
      </c>
    </row>
    <row r="1358" ht="15.75" customHeight="1">
      <c r="O1358" s="4" t="s">
        <v>2638</v>
      </c>
    </row>
    <row r="1359" ht="15.75" customHeight="1">
      <c r="O1359" s="4" t="s">
        <v>2639</v>
      </c>
    </row>
    <row r="1360" ht="15.75" customHeight="1">
      <c r="O1360" s="4" t="s">
        <v>2640</v>
      </c>
    </row>
    <row r="1361" ht="15.75" customHeight="1">
      <c r="O1361" s="4" t="s">
        <v>2641</v>
      </c>
    </row>
    <row r="1362" ht="15.75" customHeight="1">
      <c r="O1362" s="4" t="s">
        <v>2642</v>
      </c>
    </row>
    <row r="1363" ht="15.75" customHeight="1">
      <c r="O1363" s="4" t="s">
        <v>2643</v>
      </c>
    </row>
    <row r="1364" ht="15.75" customHeight="1">
      <c r="O1364" s="4" t="s">
        <v>2644</v>
      </c>
    </row>
    <row r="1365" ht="15.75" customHeight="1">
      <c r="O1365" s="4" t="s">
        <v>2645</v>
      </c>
    </row>
    <row r="1366" ht="15.75" customHeight="1">
      <c r="O1366" s="4" t="s">
        <v>2646</v>
      </c>
    </row>
    <row r="1367" ht="15.75" customHeight="1">
      <c r="O1367" s="4" t="s">
        <v>2647</v>
      </c>
    </row>
    <row r="1368" ht="15.75" customHeight="1">
      <c r="O1368" s="4" t="s">
        <v>2648</v>
      </c>
    </row>
    <row r="1369" ht="15.75" customHeight="1">
      <c r="O1369" s="4" t="s">
        <v>2649</v>
      </c>
    </row>
    <row r="1370" ht="15.75" customHeight="1">
      <c r="O1370" s="4" t="s">
        <v>2650</v>
      </c>
    </row>
    <row r="1371" ht="15.75" customHeight="1">
      <c r="O1371" s="4" t="s">
        <v>2651</v>
      </c>
    </row>
    <row r="1372" ht="15.75" customHeight="1">
      <c r="O1372" s="4" t="s">
        <v>2652</v>
      </c>
    </row>
    <row r="1373" ht="15.75" customHeight="1">
      <c r="O1373" s="4" t="s">
        <v>2653</v>
      </c>
    </row>
    <row r="1374" ht="15.75" customHeight="1">
      <c r="O1374" s="4" t="s">
        <v>2654</v>
      </c>
    </row>
    <row r="1375" ht="15.75" customHeight="1">
      <c r="O1375" s="4" t="s">
        <v>2655</v>
      </c>
    </row>
    <row r="1376" ht="15.75" customHeight="1">
      <c r="O1376" s="4" t="s">
        <v>2656</v>
      </c>
    </row>
    <row r="1377" ht="15.75" customHeight="1">
      <c r="O1377" s="4" t="s">
        <v>2657</v>
      </c>
    </row>
    <row r="1378" ht="15.75" customHeight="1">
      <c r="O1378" s="4" t="s">
        <v>2658</v>
      </c>
    </row>
    <row r="1379" ht="15.75" customHeight="1">
      <c r="O1379" s="4" t="s">
        <v>2659</v>
      </c>
    </row>
    <row r="1380" ht="15.75" customHeight="1">
      <c r="O1380" s="4" t="s">
        <v>2660</v>
      </c>
    </row>
    <row r="1381" ht="15.75" customHeight="1">
      <c r="O1381" s="4" t="s">
        <v>2661</v>
      </c>
    </row>
    <row r="1382" ht="15.75" customHeight="1">
      <c r="O1382" s="4" t="s">
        <v>2662</v>
      </c>
    </row>
    <row r="1383" ht="15.75" customHeight="1">
      <c r="O1383" s="4" t="s">
        <v>2663</v>
      </c>
    </row>
    <row r="1384" ht="15.75" customHeight="1">
      <c r="O1384" s="4" t="s">
        <v>2664</v>
      </c>
    </row>
    <row r="1385" ht="15.75" customHeight="1">
      <c r="O1385" s="4" t="s">
        <v>2665</v>
      </c>
    </row>
    <row r="1386" ht="15.75" customHeight="1">
      <c r="O1386" s="4" t="s">
        <v>2666</v>
      </c>
    </row>
    <row r="1387" ht="15.75" customHeight="1">
      <c r="O1387" s="4" t="s">
        <v>2667</v>
      </c>
    </row>
    <row r="1388" ht="15.75" customHeight="1">
      <c r="O1388" s="4" t="s">
        <v>2668</v>
      </c>
    </row>
    <row r="1389" ht="15.75" customHeight="1">
      <c r="O1389" s="4" t="s">
        <v>2669</v>
      </c>
    </row>
    <row r="1390" ht="15.75" customHeight="1">
      <c r="O1390" s="4" t="s">
        <v>2670</v>
      </c>
    </row>
    <row r="1391" ht="15.75" customHeight="1">
      <c r="O1391" s="4" t="s">
        <v>2671</v>
      </c>
    </row>
    <row r="1392" ht="15.75" customHeight="1">
      <c r="O1392" s="4" t="s">
        <v>2672</v>
      </c>
    </row>
    <row r="1393" ht="15.75" customHeight="1">
      <c r="O1393" s="4" t="s">
        <v>2673</v>
      </c>
    </row>
    <row r="1394" ht="15.75" customHeight="1">
      <c r="O1394" s="4" t="s">
        <v>2674</v>
      </c>
    </row>
    <row r="1395" ht="15.75" customHeight="1">
      <c r="O1395" s="4" t="s">
        <v>2675</v>
      </c>
    </row>
    <row r="1396" ht="15.75" customHeight="1">
      <c r="O1396" s="4" t="s">
        <v>2676</v>
      </c>
    </row>
    <row r="1397" ht="15.75" customHeight="1">
      <c r="O1397" s="4" t="s">
        <v>2677</v>
      </c>
    </row>
    <row r="1398" ht="15.75" customHeight="1">
      <c r="O1398" s="4" t="s">
        <v>2678</v>
      </c>
    </row>
    <row r="1399" ht="15.75" customHeight="1">
      <c r="O1399" s="4" t="s">
        <v>2679</v>
      </c>
    </row>
    <row r="1400" ht="15.75" customHeight="1">
      <c r="O1400" s="4" t="s">
        <v>2680</v>
      </c>
    </row>
    <row r="1401" ht="15.75" customHeight="1">
      <c r="O1401" s="4" t="s">
        <v>2681</v>
      </c>
    </row>
    <row r="1402" ht="15.75" customHeight="1">
      <c r="O1402" s="4" t="s">
        <v>2682</v>
      </c>
    </row>
    <row r="1403" ht="15.75" customHeight="1">
      <c r="O1403" s="4" t="s">
        <v>2683</v>
      </c>
    </row>
    <row r="1404" ht="15.75" customHeight="1">
      <c r="O1404" s="4" t="s">
        <v>2684</v>
      </c>
    </row>
    <row r="1405" ht="15.75" customHeight="1">
      <c r="O1405" s="4" t="s">
        <v>2685</v>
      </c>
    </row>
    <row r="1406" ht="15.75" customHeight="1">
      <c r="O1406" s="4" t="s">
        <v>2686</v>
      </c>
    </row>
    <row r="1407" ht="15.75" customHeight="1">
      <c r="O1407" s="4" t="s">
        <v>2687</v>
      </c>
    </row>
    <row r="1408" ht="15.75" customHeight="1">
      <c r="O1408" s="4" t="s">
        <v>2688</v>
      </c>
    </row>
    <row r="1409" ht="15.75" customHeight="1">
      <c r="O1409" s="4" t="s">
        <v>2689</v>
      </c>
    </row>
    <row r="1410" ht="15.75" customHeight="1">
      <c r="O1410" s="4" t="s">
        <v>2690</v>
      </c>
    </row>
    <row r="1411" ht="15.75" customHeight="1">
      <c r="O1411" s="4" t="s">
        <v>2691</v>
      </c>
    </row>
    <row r="1412" ht="15.75" customHeight="1">
      <c r="O1412" s="4" t="s">
        <v>2692</v>
      </c>
    </row>
    <row r="1413" ht="15.75" customHeight="1">
      <c r="O1413" s="4" t="s">
        <v>2693</v>
      </c>
    </row>
    <row r="1414" ht="15.75" customHeight="1">
      <c r="O1414" s="4" t="s">
        <v>2694</v>
      </c>
    </row>
    <row r="1415" ht="15.75" customHeight="1">
      <c r="O1415" s="4" t="s">
        <v>2695</v>
      </c>
    </row>
    <row r="1416" ht="15.75" customHeight="1">
      <c r="O1416" s="4" t="s">
        <v>2696</v>
      </c>
    </row>
    <row r="1417" ht="15.75" customHeight="1">
      <c r="O1417" s="4" t="s">
        <v>2697</v>
      </c>
    </row>
    <row r="1418" ht="15.75" customHeight="1">
      <c r="O1418" s="4" t="s">
        <v>2698</v>
      </c>
    </row>
    <row r="1419" ht="15.75" customHeight="1">
      <c r="O1419" s="4" t="s">
        <v>2699</v>
      </c>
    </row>
    <row r="1420" ht="15.75" customHeight="1">
      <c r="O1420" s="4" t="s">
        <v>2700</v>
      </c>
    </row>
    <row r="1421" ht="15.75" customHeight="1">
      <c r="O1421" s="4" t="s">
        <v>2701</v>
      </c>
    </row>
    <row r="1422" ht="15.75" customHeight="1">
      <c r="O1422" s="4" t="s">
        <v>2702</v>
      </c>
    </row>
    <row r="1423" ht="15.75" customHeight="1">
      <c r="O1423" s="4" t="s">
        <v>2703</v>
      </c>
    </row>
    <row r="1424" ht="15.75" customHeight="1">
      <c r="O1424" s="4" t="s">
        <v>2704</v>
      </c>
    </row>
    <row r="1425" ht="15.75" customHeight="1">
      <c r="O1425" s="4" t="s">
        <v>2705</v>
      </c>
    </row>
    <row r="1426" ht="15.75" customHeight="1">
      <c r="O1426" s="4" t="s">
        <v>2706</v>
      </c>
    </row>
    <row r="1427" ht="15.75" customHeight="1">
      <c r="O1427" s="4" t="s">
        <v>2707</v>
      </c>
    </row>
    <row r="1428" ht="15.75" customHeight="1">
      <c r="O1428" s="4" t="s">
        <v>2708</v>
      </c>
    </row>
    <row r="1429" ht="15.75" customHeight="1">
      <c r="O1429" s="4" t="s">
        <v>2709</v>
      </c>
    </row>
    <row r="1430" ht="15.75" customHeight="1">
      <c r="O1430" s="4" t="s">
        <v>2710</v>
      </c>
    </row>
    <row r="1431" ht="15.75" customHeight="1">
      <c r="O1431" s="4" t="s">
        <v>2711</v>
      </c>
    </row>
    <row r="1432" ht="15.75" customHeight="1">
      <c r="O1432" s="4" t="s">
        <v>2712</v>
      </c>
    </row>
    <row r="1433" ht="15.75" customHeight="1">
      <c r="O1433" s="4" t="s">
        <v>2713</v>
      </c>
    </row>
    <row r="1434" ht="15.75" customHeight="1">
      <c r="O1434" s="4" t="s">
        <v>2714</v>
      </c>
    </row>
    <row r="1435" ht="15.75" customHeight="1">
      <c r="O1435" s="4" t="s">
        <v>2715</v>
      </c>
    </row>
    <row r="1436" ht="15.75" customHeight="1">
      <c r="O1436" s="4" t="s">
        <v>2716</v>
      </c>
    </row>
    <row r="1437" ht="15.75" customHeight="1">
      <c r="O1437" s="4" t="s">
        <v>2717</v>
      </c>
    </row>
    <row r="1438" ht="15.75" customHeight="1">
      <c r="O1438" s="4" t="s">
        <v>2718</v>
      </c>
    </row>
    <row r="1439" ht="15.75" customHeight="1">
      <c r="O1439" s="4" t="s">
        <v>2719</v>
      </c>
    </row>
    <row r="1440" ht="15.75" customHeight="1">
      <c r="O1440" s="4" t="s">
        <v>2720</v>
      </c>
    </row>
    <row r="1441" ht="15.75" customHeight="1">
      <c r="O1441" s="4" t="s">
        <v>2721</v>
      </c>
    </row>
    <row r="1442" ht="15.75" customHeight="1">
      <c r="O1442" s="4" t="s">
        <v>2722</v>
      </c>
    </row>
    <row r="1443" ht="15.75" customHeight="1">
      <c r="O1443" s="4" t="s">
        <v>2723</v>
      </c>
    </row>
    <row r="1444" ht="15.75" customHeight="1">
      <c r="O1444" s="4" t="s">
        <v>2724</v>
      </c>
    </row>
    <row r="1445" ht="15.75" customHeight="1">
      <c r="O1445" s="4" t="s">
        <v>2725</v>
      </c>
    </row>
    <row r="1446" ht="15.75" customHeight="1">
      <c r="O1446" s="4" t="s">
        <v>2726</v>
      </c>
    </row>
    <row r="1447" ht="15.75" customHeight="1">
      <c r="O1447" s="4" t="s">
        <v>2727</v>
      </c>
    </row>
    <row r="1448" ht="15.75" customHeight="1">
      <c r="O1448" s="4" t="s">
        <v>2728</v>
      </c>
    </row>
    <row r="1449" ht="15.75" customHeight="1">
      <c r="O1449" s="4" t="s">
        <v>2729</v>
      </c>
    </row>
    <row r="1450" ht="15.75" customHeight="1">
      <c r="O1450" s="4" t="s">
        <v>2730</v>
      </c>
    </row>
    <row r="1451" ht="15.75" customHeight="1">
      <c r="O1451" s="4" t="s">
        <v>2731</v>
      </c>
    </row>
    <row r="1452" ht="15.75" customHeight="1">
      <c r="O1452" s="4" t="s">
        <v>2732</v>
      </c>
    </row>
    <row r="1453" ht="15.75" customHeight="1">
      <c r="O1453" s="4" t="s">
        <v>2733</v>
      </c>
    </row>
    <row r="1454" ht="15.75" customHeight="1">
      <c r="O1454" s="4" t="s">
        <v>2734</v>
      </c>
    </row>
    <row r="1455" ht="15.75" customHeight="1">
      <c r="O1455" s="4" t="s">
        <v>2735</v>
      </c>
    </row>
    <row r="1456" ht="15.75" customHeight="1">
      <c r="O1456" s="4" t="s">
        <v>2736</v>
      </c>
    </row>
    <row r="1457" ht="15.75" customHeight="1">
      <c r="O1457" s="4" t="s">
        <v>2737</v>
      </c>
    </row>
    <row r="1458" ht="15.75" customHeight="1">
      <c r="O1458" s="4" t="s">
        <v>2738</v>
      </c>
    </row>
    <row r="1459" ht="15.75" customHeight="1">
      <c r="O1459" s="4" t="s">
        <v>2739</v>
      </c>
    </row>
    <row r="1460" ht="15.75" customHeight="1">
      <c r="O1460" s="4" t="s">
        <v>2740</v>
      </c>
    </row>
    <row r="1461" ht="15.75" customHeight="1">
      <c r="O1461" s="4" t="s">
        <v>2741</v>
      </c>
    </row>
    <row r="1462" ht="15.75" customHeight="1">
      <c r="O1462" s="4" t="s">
        <v>2742</v>
      </c>
    </row>
    <row r="1463" ht="15.75" customHeight="1">
      <c r="O1463" s="4" t="s">
        <v>2743</v>
      </c>
    </row>
    <row r="1464" ht="15.75" customHeight="1">
      <c r="O1464" s="4" t="s">
        <v>2744</v>
      </c>
    </row>
    <row r="1465" ht="15.75" customHeight="1">
      <c r="O1465" s="4" t="s">
        <v>2745</v>
      </c>
    </row>
    <row r="1466" ht="15.75" customHeight="1">
      <c r="O1466" s="4" t="s">
        <v>2746</v>
      </c>
    </row>
    <row r="1467" ht="15.75" customHeight="1">
      <c r="O1467" s="4" t="s">
        <v>2747</v>
      </c>
    </row>
    <row r="1468" ht="15.75" customHeight="1">
      <c r="O1468" s="4" t="s">
        <v>2748</v>
      </c>
    </row>
    <row r="1469" ht="15.75" customHeight="1">
      <c r="O1469" s="4" t="s">
        <v>2749</v>
      </c>
    </row>
    <row r="1470" ht="15.75" customHeight="1">
      <c r="O1470" s="4" t="s">
        <v>2750</v>
      </c>
    </row>
    <row r="1471" ht="15.75" customHeight="1">
      <c r="O1471" s="4" t="s">
        <v>2751</v>
      </c>
    </row>
    <row r="1472" ht="15.75" customHeight="1">
      <c r="O1472" s="4" t="s">
        <v>2752</v>
      </c>
    </row>
    <row r="1473" ht="15.75" customHeight="1">
      <c r="O1473" s="4" t="s">
        <v>2753</v>
      </c>
    </row>
    <row r="1474" ht="15.75" customHeight="1">
      <c r="O1474" s="4" t="s">
        <v>2754</v>
      </c>
    </row>
    <row r="1475" ht="15.75" customHeight="1">
      <c r="O1475" s="4" t="s">
        <v>2755</v>
      </c>
    </row>
    <row r="1476" ht="15.75" customHeight="1">
      <c r="O1476" s="4" t="s">
        <v>2756</v>
      </c>
    </row>
    <row r="1477" ht="15.75" customHeight="1">
      <c r="O1477" s="4" t="s">
        <v>2757</v>
      </c>
    </row>
    <row r="1478" ht="15.75" customHeight="1">
      <c r="O1478" s="4" t="s">
        <v>2758</v>
      </c>
    </row>
    <row r="1479" ht="15.75" customHeight="1">
      <c r="O1479" s="4" t="s">
        <v>2759</v>
      </c>
    </row>
    <row r="1480" ht="15.75" customHeight="1">
      <c r="O1480" s="4" t="s">
        <v>2760</v>
      </c>
    </row>
    <row r="1481" ht="15.75" customHeight="1">
      <c r="O1481" s="4" t="s">
        <v>2761</v>
      </c>
    </row>
    <row r="1482" ht="15.75" customHeight="1">
      <c r="O1482" s="4" t="s">
        <v>2762</v>
      </c>
    </row>
    <row r="1483" ht="15.75" customHeight="1">
      <c r="O1483" s="4" t="s">
        <v>2763</v>
      </c>
    </row>
    <row r="1484" ht="15.75" customHeight="1">
      <c r="O1484" s="4" t="s">
        <v>2764</v>
      </c>
    </row>
    <row r="1485" ht="15.75" customHeight="1">
      <c r="O1485" s="4" t="s">
        <v>2765</v>
      </c>
    </row>
    <row r="1486" ht="15.75" customHeight="1">
      <c r="O1486" s="4" t="s">
        <v>2766</v>
      </c>
    </row>
    <row r="1487" ht="15.75" customHeight="1">
      <c r="O1487" s="4" t="s">
        <v>2767</v>
      </c>
    </row>
    <row r="1488" ht="15.75" customHeight="1">
      <c r="O1488" s="4" t="s">
        <v>2768</v>
      </c>
    </row>
    <row r="1489" ht="15.75" customHeight="1">
      <c r="O1489" s="4" t="s">
        <v>2769</v>
      </c>
    </row>
    <row r="1490" ht="15.75" customHeight="1">
      <c r="O1490" s="4" t="s">
        <v>2770</v>
      </c>
    </row>
    <row r="1491" ht="15.75" customHeight="1">
      <c r="O1491" s="4" t="s">
        <v>2771</v>
      </c>
    </row>
    <row r="1492" ht="15.75" customHeight="1">
      <c r="O1492" s="4" t="s">
        <v>2772</v>
      </c>
    </row>
    <row r="1493" ht="15.75" customHeight="1">
      <c r="O1493" s="4" t="s">
        <v>2773</v>
      </c>
    </row>
    <row r="1494" ht="15.75" customHeight="1">
      <c r="O1494" s="4" t="s">
        <v>2774</v>
      </c>
    </row>
    <row r="1495" ht="15.75" customHeight="1">
      <c r="O1495" s="4" t="s">
        <v>2775</v>
      </c>
    </row>
    <row r="1496" ht="15.75" customHeight="1">
      <c r="O1496" s="4" t="s">
        <v>2776</v>
      </c>
    </row>
    <row r="1497" ht="15.75" customHeight="1">
      <c r="O1497" s="4" t="s">
        <v>2777</v>
      </c>
    </row>
    <row r="1498" ht="15.75" customHeight="1">
      <c r="O1498" s="4" t="s">
        <v>2778</v>
      </c>
    </row>
    <row r="1499" ht="15.75" customHeight="1">
      <c r="O1499" s="4" t="s">
        <v>2779</v>
      </c>
    </row>
    <row r="1500" ht="15.75" customHeight="1">
      <c r="O1500" s="4" t="s">
        <v>2780</v>
      </c>
    </row>
    <row r="1501" ht="15.75" customHeight="1">
      <c r="O1501" s="4" t="s">
        <v>2781</v>
      </c>
    </row>
    <row r="1502" ht="15.75" customHeight="1">
      <c r="O1502" s="4" t="s">
        <v>2782</v>
      </c>
    </row>
    <row r="1503" ht="15.75" customHeight="1">
      <c r="O1503" s="4" t="s">
        <v>2783</v>
      </c>
    </row>
    <row r="1504" ht="15.75" customHeight="1">
      <c r="O1504" s="4" t="s">
        <v>2784</v>
      </c>
    </row>
    <row r="1505" ht="15.75" customHeight="1">
      <c r="O1505" s="4" t="s">
        <v>2785</v>
      </c>
    </row>
    <row r="1506" ht="15.75" customHeight="1">
      <c r="O1506" s="4" t="s">
        <v>2786</v>
      </c>
    </row>
    <row r="1507" ht="15.75" customHeight="1">
      <c r="O1507" s="4" t="s">
        <v>2787</v>
      </c>
    </row>
    <row r="1508" ht="15.75" customHeight="1">
      <c r="O1508" s="4" t="s">
        <v>2788</v>
      </c>
    </row>
    <row r="1509" ht="15.75" customHeight="1">
      <c r="O1509" s="4" t="s">
        <v>2789</v>
      </c>
    </row>
    <row r="1510" ht="15.75" customHeight="1">
      <c r="O1510" s="4" t="s">
        <v>2790</v>
      </c>
    </row>
    <row r="1511" ht="15.75" customHeight="1">
      <c r="O1511" s="4" t="s">
        <v>2791</v>
      </c>
    </row>
    <row r="1512" ht="15.75" customHeight="1">
      <c r="O1512" s="4" t="s">
        <v>2792</v>
      </c>
    </row>
    <row r="1513" ht="15.75" customHeight="1">
      <c r="O1513" s="4" t="s">
        <v>2793</v>
      </c>
    </row>
    <row r="1514" ht="15.75" customHeight="1">
      <c r="O1514" s="4" t="s">
        <v>2794</v>
      </c>
    </row>
    <row r="1515" ht="15.75" customHeight="1">
      <c r="O1515" s="4" t="s">
        <v>2795</v>
      </c>
    </row>
    <row r="1516" ht="15.75" customHeight="1">
      <c r="O1516" s="4" t="s">
        <v>2796</v>
      </c>
    </row>
    <row r="1517" ht="15.75" customHeight="1">
      <c r="O1517" s="4" t="s">
        <v>2797</v>
      </c>
    </row>
    <row r="1518" ht="15.75" customHeight="1">
      <c r="O1518" s="4" t="s">
        <v>2798</v>
      </c>
    </row>
    <row r="1519" ht="15.75" customHeight="1">
      <c r="O1519" s="4" t="s">
        <v>2799</v>
      </c>
    </row>
    <row r="1520" ht="15.75" customHeight="1">
      <c r="O1520" s="4" t="s">
        <v>2800</v>
      </c>
    </row>
    <row r="1521" ht="15.75" customHeight="1">
      <c r="O1521" s="4" t="s">
        <v>2801</v>
      </c>
    </row>
    <row r="1522" ht="15.75" customHeight="1">
      <c r="O1522" s="4" t="s">
        <v>2802</v>
      </c>
    </row>
    <row r="1523" ht="15.75" customHeight="1">
      <c r="O1523" s="4" t="s">
        <v>2803</v>
      </c>
    </row>
    <row r="1524" ht="15.75" customHeight="1">
      <c r="O1524" s="4" t="s">
        <v>2804</v>
      </c>
    </row>
    <row r="1525" ht="15.75" customHeight="1">
      <c r="O1525" s="4" t="s">
        <v>2805</v>
      </c>
    </row>
    <row r="1526" ht="15.75" customHeight="1">
      <c r="O1526" s="4" t="s">
        <v>2806</v>
      </c>
    </row>
    <row r="1527" ht="15.75" customHeight="1">
      <c r="O1527" s="4" t="s">
        <v>2807</v>
      </c>
    </row>
    <row r="1528" ht="15.75" customHeight="1">
      <c r="O1528" s="4" t="s">
        <v>2808</v>
      </c>
    </row>
    <row r="1529" ht="15.75" customHeight="1">
      <c r="O1529" s="4" t="s">
        <v>2809</v>
      </c>
    </row>
    <row r="1530" ht="15.75" customHeight="1">
      <c r="O1530" s="4" t="s">
        <v>2810</v>
      </c>
    </row>
    <row r="1531" ht="15.75" customHeight="1">
      <c r="O1531" s="4" t="s">
        <v>2811</v>
      </c>
    </row>
    <row r="1532" ht="15.75" customHeight="1">
      <c r="O1532" s="4" t="s">
        <v>2812</v>
      </c>
    </row>
    <row r="1533" ht="15.75" customHeight="1">
      <c r="O1533" s="4" t="s">
        <v>2813</v>
      </c>
    </row>
    <row r="1534" ht="15.75" customHeight="1">
      <c r="O1534" s="4" t="s">
        <v>2814</v>
      </c>
    </row>
    <row r="1535" ht="15.75" customHeight="1">
      <c r="O1535" s="4" t="s">
        <v>2815</v>
      </c>
    </row>
    <row r="1536" ht="15.75" customHeight="1">
      <c r="O1536" s="4" t="s">
        <v>2816</v>
      </c>
    </row>
    <row r="1537" ht="15.75" customHeight="1">
      <c r="O1537" s="4" t="s">
        <v>2817</v>
      </c>
    </row>
    <row r="1538" ht="15.75" customHeight="1">
      <c r="O1538" s="4" t="s">
        <v>2818</v>
      </c>
    </row>
    <row r="1539" ht="15.75" customHeight="1">
      <c r="O1539" s="4" t="s">
        <v>2819</v>
      </c>
    </row>
    <row r="1540" ht="15.75" customHeight="1">
      <c r="O1540" s="4" t="s">
        <v>2820</v>
      </c>
    </row>
    <row r="1541" ht="15.75" customHeight="1">
      <c r="O1541" s="4" t="s">
        <v>2821</v>
      </c>
    </row>
    <row r="1542" ht="15.75" customHeight="1">
      <c r="O1542" s="4" t="s">
        <v>2822</v>
      </c>
    </row>
    <row r="1543" ht="15.75" customHeight="1">
      <c r="O1543" s="4" t="s">
        <v>2823</v>
      </c>
    </row>
    <row r="1544" ht="15.75" customHeight="1">
      <c r="O1544" s="4" t="s">
        <v>2824</v>
      </c>
    </row>
    <row r="1545" ht="15.75" customHeight="1">
      <c r="O1545" s="4" t="s">
        <v>2825</v>
      </c>
    </row>
    <row r="1546" ht="15.75" customHeight="1">
      <c r="O1546" s="4" t="s">
        <v>2826</v>
      </c>
    </row>
    <row r="1547" ht="15.75" customHeight="1">
      <c r="O1547" s="4" t="s">
        <v>2827</v>
      </c>
    </row>
    <row r="1548" ht="15.75" customHeight="1">
      <c r="O1548" s="4" t="s">
        <v>2828</v>
      </c>
    </row>
    <row r="1549" ht="15.75" customHeight="1">
      <c r="O1549" s="4" t="s">
        <v>2829</v>
      </c>
    </row>
    <row r="1550" ht="15.75" customHeight="1">
      <c r="O1550" s="4" t="s">
        <v>2830</v>
      </c>
    </row>
    <row r="1551" ht="15.75" customHeight="1">
      <c r="O1551" s="4" t="s">
        <v>2831</v>
      </c>
    </row>
    <row r="1552" ht="15.75" customHeight="1">
      <c r="O1552" s="4" t="s">
        <v>2832</v>
      </c>
    </row>
    <row r="1553" ht="15.75" customHeight="1">
      <c r="O1553" s="4" t="s">
        <v>2833</v>
      </c>
    </row>
    <row r="1554" ht="15.75" customHeight="1">
      <c r="O1554" s="4" t="s">
        <v>2834</v>
      </c>
    </row>
    <row r="1555" ht="15.75" customHeight="1">
      <c r="O1555" s="4" t="s">
        <v>2835</v>
      </c>
    </row>
    <row r="1556" ht="15.75" customHeight="1">
      <c r="O1556" s="4" t="s">
        <v>2836</v>
      </c>
    </row>
    <row r="1557" ht="15.75" customHeight="1">
      <c r="O1557" s="4" t="s">
        <v>2837</v>
      </c>
    </row>
    <row r="1558" ht="15.75" customHeight="1">
      <c r="O1558" s="4" t="s">
        <v>2838</v>
      </c>
    </row>
    <row r="1559" ht="15.75" customHeight="1">
      <c r="O1559" s="4" t="s">
        <v>2839</v>
      </c>
    </row>
    <row r="1560" ht="15.75" customHeight="1">
      <c r="O1560" s="4" t="s">
        <v>2840</v>
      </c>
    </row>
    <row r="1561" ht="15.75" customHeight="1">
      <c r="O1561" s="4" t="s">
        <v>2841</v>
      </c>
    </row>
    <row r="1562" ht="15.75" customHeight="1">
      <c r="O1562" s="4" t="s">
        <v>2842</v>
      </c>
    </row>
    <row r="1563" ht="15.75" customHeight="1">
      <c r="O1563" s="4" t="s">
        <v>2843</v>
      </c>
    </row>
    <row r="1564" ht="15.75" customHeight="1">
      <c r="O1564" s="4" t="s">
        <v>2844</v>
      </c>
    </row>
    <row r="1565" ht="15.75" customHeight="1">
      <c r="O1565" s="4" t="s">
        <v>2845</v>
      </c>
    </row>
    <row r="1566" ht="15.75" customHeight="1">
      <c r="O1566" s="4" t="s">
        <v>2846</v>
      </c>
    </row>
    <row r="1567" ht="15.75" customHeight="1">
      <c r="O1567" s="4" t="s">
        <v>2847</v>
      </c>
    </row>
    <row r="1568" ht="15.75" customHeight="1">
      <c r="O1568" s="4" t="s">
        <v>2848</v>
      </c>
    </row>
    <row r="1569" ht="15.75" customHeight="1">
      <c r="O1569" s="4" t="s">
        <v>2849</v>
      </c>
    </row>
    <row r="1570" ht="15.75" customHeight="1">
      <c r="O1570" s="4" t="s">
        <v>2850</v>
      </c>
    </row>
    <row r="1571" ht="15.75" customHeight="1">
      <c r="O1571" s="4" t="s">
        <v>2851</v>
      </c>
    </row>
    <row r="1572" ht="15.75" customHeight="1">
      <c r="O1572" s="4" t="s">
        <v>2852</v>
      </c>
    </row>
    <row r="1573" ht="15.75" customHeight="1">
      <c r="O1573" s="4" t="s">
        <v>2853</v>
      </c>
    </row>
    <row r="1574" ht="15.75" customHeight="1">
      <c r="O1574" s="4" t="s">
        <v>2854</v>
      </c>
    </row>
    <row r="1575" ht="15.75" customHeight="1">
      <c r="O1575" s="4" t="s">
        <v>2855</v>
      </c>
    </row>
    <row r="1576" ht="15.75" customHeight="1">
      <c r="O1576" s="4" t="s">
        <v>2856</v>
      </c>
    </row>
    <row r="1577" ht="15.75" customHeight="1">
      <c r="O1577" s="4" t="s">
        <v>2857</v>
      </c>
    </row>
    <row r="1578" ht="15.75" customHeight="1">
      <c r="O1578" s="4" t="s">
        <v>2858</v>
      </c>
    </row>
    <row r="1579" ht="15.75" customHeight="1">
      <c r="O1579" s="4" t="s">
        <v>2859</v>
      </c>
    </row>
    <row r="1580" ht="15.75" customHeight="1">
      <c r="O1580" s="4" t="s">
        <v>2860</v>
      </c>
    </row>
    <row r="1581" ht="15.75" customHeight="1">
      <c r="O1581" s="4" t="s">
        <v>2861</v>
      </c>
    </row>
    <row r="1582" ht="15.75" customHeight="1">
      <c r="O1582" s="4" t="s">
        <v>2862</v>
      </c>
    </row>
    <row r="1583" ht="15.75" customHeight="1">
      <c r="O1583" s="4" t="s">
        <v>2863</v>
      </c>
    </row>
    <row r="1584" ht="15.75" customHeight="1">
      <c r="O1584" s="4" t="s">
        <v>2864</v>
      </c>
    </row>
    <row r="1585" ht="15.75" customHeight="1">
      <c r="O1585" s="4" t="s">
        <v>2865</v>
      </c>
    </row>
    <row r="1586" ht="15.75" customHeight="1">
      <c r="O1586" s="4" t="s">
        <v>2866</v>
      </c>
    </row>
    <row r="1587" ht="15.75" customHeight="1">
      <c r="O1587" s="4" t="s">
        <v>2867</v>
      </c>
    </row>
    <row r="1588" ht="15.75" customHeight="1">
      <c r="O1588" s="4" t="s">
        <v>2868</v>
      </c>
    </row>
    <row r="1589" ht="15.75" customHeight="1">
      <c r="O1589" s="4" t="s">
        <v>2869</v>
      </c>
    </row>
    <row r="1590" ht="15.75" customHeight="1">
      <c r="O1590" s="4" t="s">
        <v>2870</v>
      </c>
    </row>
    <row r="1591" ht="15.75" customHeight="1">
      <c r="O1591" s="4" t="s">
        <v>2871</v>
      </c>
    </row>
    <row r="1592" ht="15.75" customHeight="1">
      <c r="O1592" s="4" t="s">
        <v>2872</v>
      </c>
    </row>
    <row r="1593" ht="15.75" customHeight="1">
      <c r="O1593" s="4" t="s">
        <v>2873</v>
      </c>
    </row>
    <row r="1594" ht="15.75" customHeight="1">
      <c r="O1594" s="4" t="s">
        <v>2874</v>
      </c>
    </row>
    <row r="1595" ht="15.75" customHeight="1">
      <c r="O1595" s="4" t="s">
        <v>2875</v>
      </c>
    </row>
    <row r="1596" ht="15.75" customHeight="1">
      <c r="O1596" s="4" t="s">
        <v>2876</v>
      </c>
    </row>
    <row r="1597" ht="15.75" customHeight="1">
      <c r="O1597" s="4" t="s">
        <v>2877</v>
      </c>
    </row>
    <row r="1598" ht="15.75" customHeight="1">
      <c r="O1598" s="4" t="s">
        <v>2878</v>
      </c>
    </row>
    <row r="1599" ht="15.75" customHeight="1">
      <c r="O1599" s="4" t="s">
        <v>2879</v>
      </c>
    </row>
    <row r="1600" ht="15.75" customHeight="1">
      <c r="O1600" s="4" t="s">
        <v>2880</v>
      </c>
    </row>
    <row r="1601" ht="15.75" customHeight="1">
      <c r="O1601" s="4" t="s">
        <v>2881</v>
      </c>
    </row>
    <row r="1602" ht="15.75" customHeight="1">
      <c r="O1602" s="4" t="s">
        <v>2882</v>
      </c>
    </row>
    <row r="1603" ht="15.75" customHeight="1">
      <c r="O1603" s="4" t="s">
        <v>2883</v>
      </c>
    </row>
    <row r="1604" ht="15.75" customHeight="1">
      <c r="O1604" s="4" t="s">
        <v>2884</v>
      </c>
    </row>
    <row r="1605" ht="15.75" customHeight="1">
      <c r="O1605" s="4" t="s">
        <v>2885</v>
      </c>
    </row>
    <row r="1606" ht="15.75" customHeight="1">
      <c r="O1606" s="4" t="s">
        <v>2886</v>
      </c>
    </row>
    <row r="1607" ht="15.75" customHeight="1">
      <c r="O1607" s="4" t="s">
        <v>2887</v>
      </c>
    </row>
    <row r="1608" ht="15.75" customHeight="1">
      <c r="O1608" s="4" t="s">
        <v>2888</v>
      </c>
    </row>
    <row r="1609" ht="15.75" customHeight="1">
      <c r="O1609" s="4" t="s">
        <v>2889</v>
      </c>
    </row>
    <row r="1610" ht="15.75" customHeight="1">
      <c r="O1610" s="4" t="s">
        <v>2890</v>
      </c>
    </row>
    <row r="1611" ht="15.75" customHeight="1">
      <c r="O1611" s="4" t="s">
        <v>2891</v>
      </c>
    </row>
    <row r="1612" ht="15.75" customHeight="1">
      <c r="O1612" s="4" t="s">
        <v>2892</v>
      </c>
    </row>
    <row r="1613" ht="15.75" customHeight="1">
      <c r="O1613" s="4" t="s">
        <v>2893</v>
      </c>
    </row>
    <row r="1614" ht="15.75" customHeight="1">
      <c r="O1614" s="4" t="s">
        <v>2894</v>
      </c>
    </row>
    <row r="1615" ht="15.75" customHeight="1">
      <c r="O1615" s="4" t="s">
        <v>2895</v>
      </c>
    </row>
    <row r="1616" ht="15.75" customHeight="1">
      <c r="O1616" s="4" t="s">
        <v>2896</v>
      </c>
    </row>
    <row r="1617" ht="15.75" customHeight="1">
      <c r="O1617" s="4" t="s">
        <v>2897</v>
      </c>
    </row>
    <row r="1618" ht="15.75" customHeight="1">
      <c r="O1618" s="4" t="s">
        <v>2898</v>
      </c>
    </row>
    <row r="1619" ht="15.75" customHeight="1">
      <c r="O1619" s="4" t="s">
        <v>2899</v>
      </c>
    </row>
    <row r="1620" ht="15.75" customHeight="1">
      <c r="O1620" s="4" t="s">
        <v>2900</v>
      </c>
    </row>
    <row r="1621" ht="15.75" customHeight="1">
      <c r="O1621" s="4" t="s">
        <v>2901</v>
      </c>
    </row>
    <row r="1622" ht="15.75" customHeight="1">
      <c r="O1622" s="4" t="s">
        <v>2902</v>
      </c>
    </row>
    <row r="1623" ht="15.75" customHeight="1">
      <c r="O1623" s="4" t="s">
        <v>2903</v>
      </c>
    </row>
    <row r="1624" ht="15.75" customHeight="1">
      <c r="O1624" s="4" t="s">
        <v>2904</v>
      </c>
    </row>
    <row r="1625" ht="15.75" customHeight="1">
      <c r="O1625" s="4" t="s">
        <v>2905</v>
      </c>
    </row>
    <row r="1626" ht="15.75" customHeight="1">
      <c r="O1626" s="4" t="s">
        <v>2906</v>
      </c>
    </row>
    <row r="1627" ht="15.75" customHeight="1">
      <c r="O1627" s="4" t="s">
        <v>2907</v>
      </c>
    </row>
    <row r="1628" ht="15.75" customHeight="1">
      <c r="O1628" s="4" t="s">
        <v>2908</v>
      </c>
    </row>
    <row r="1629" ht="15.75" customHeight="1">
      <c r="O1629" s="4" t="s">
        <v>2909</v>
      </c>
    </row>
    <row r="1630" ht="15.75" customHeight="1">
      <c r="O1630" s="4" t="s">
        <v>2910</v>
      </c>
    </row>
    <row r="1631" ht="15.75" customHeight="1">
      <c r="O1631" s="4" t="s">
        <v>2911</v>
      </c>
    </row>
    <row r="1632" ht="15.75" customHeight="1">
      <c r="O1632" s="4" t="s">
        <v>2912</v>
      </c>
    </row>
    <row r="1633" ht="15.75" customHeight="1">
      <c r="O1633" s="4" t="s">
        <v>2913</v>
      </c>
    </row>
    <row r="1634" ht="15.75" customHeight="1">
      <c r="O1634" s="4" t="s">
        <v>2914</v>
      </c>
    </row>
    <row r="1635" ht="15.75" customHeight="1">
      <c r="O1635" s="4" t="s">
        <v>2915</v>
      </c>
    </row>
    <row r="1636" ht="15.75" customHeight="1">
      <c r="O1636" s="4" t="s">
        <v>2916</v>
      </c>
    </row>
    <row r="1637" ht="15.75" customHeight="1">
      <c r="O1637" s="4" t="s">
        <v>2917</v>
      </c>
    </row>
    <row r="1638" ht="15.75" customHeight="1">
      <c r="O1638" s="4" t="s">
        <v>2918</v>
      </c>
    </row>
    <row r="1639" ht="15.75" customHeight="1">
      <c r="O1639" s="4" t="s">
        <v>2919</v>
      </c>
    </row>
    <row r="1640" ht="15.75" customHeight="1">
      <c r="O1640" s="4" t="s">
        <v>2920</v>
      </c>
    </row>
    <row r="1641" ht="15.75" customHeight="1">
      <c r="O1641" s="4" t="s">
        <v>2921</v>
      </c>
    </row>
    <row r="1642" ht="15.75" customHeight="1">
      <c r="O1642" s="4" t="s">
        <v>2922</v>
      </c>
    </row>
    <row r="1643" ht="15.75" customHeight="1">
      <c r="O1643" s="4" t="s">
        <v>2923</v>
      </c>
    </row>
    <row r="1644" ht="15.75" customHeight="1">
      <c r="O1644" s="4" t="s">
        <v>2924</v>
      </c>
    </row>
    <row r="1645" ht="15.75" customHeight="1">
      <c r="O1645" s="4" t="s">
        <v>2925</v>
      </c>
    </row>
    <row r="1646" ht="15.75" customHeight="1">
      <c r="O1646" s="4" t="s">
        <v>2926</v>
      </c>
    </row>
    <row r="1647" ht="15.75" customHeight="1">
      <c r="O1647" s="4" t="s">
        <v>2927</v>
      </c>
    </row>
    <row r="1648" ht="15.75" customHeight="1">
      <c r="O1648" s="4" t="s">
        <v>2928</v>
      </c>
    </row>
    <row r="1649" ht="15.75" customHeight="1">
      <c r="O1649" s="4" t="s">
        <v>2929</v>
      </c>
    </row>
    <row r="1650" ht="15.75" customHeight="1">
      <c r="O1650" s="4" t="s">
        <v>2930</v>
      </c>
    </row>
    <row r="1651" ht="15.75" customHeight="1">
      <c r="O1651" s="4" t="s">
        <v>2931</v>
      </c>
    </row>
    <row r="1652" ht="15.75" customHeight="1">
      <c r="O1652" s="4" t="s">
        <v>2932</v>
      </c>
    </row>
    <row r="1653" ht="15.75" customHeight="1">
      <c r="O1653" s="4" t="s">
        <v>2933</v>
      </c>
    </row>
    <row r="1654" ht="15.75" customHeight="1">
      <c r="O1654" s="4" t="s">
        <v>2934</v>
      </c>
    </row>
    <row r="1655" ht="15.75" customHeight="1">
      <c r="O1655" s="4" t="s">
        <v>2935</v>
      </c>
    </row>
    <row r="1656" ht="15.75" customHeight="1">
      <c r="O1656" s="4" t="s">
        <v>2936</v>
      </c>
    </row>
    <row r="1657" ht="15.75" customHeight="1">
      <c r="O1657" s="4" t="s">
        <v>2937</v>
      </c>
    </row>
    <row r="1658" ht="15.75" customHeight="1">
      <c r="O1658" s="4" t="s">
        <v>2938</v>
      </c>
    </row>
    <row r="1659" ht="15.75" customHeight="1">
      <c r="O1659" s="4" t="s">
        <v>2939</v>
      </c>
    </row>
    <row r="1660" ht="15.75" customHeight="1">
      <c r="O1660" s="4" t="s">
        <v>2940</v>
      </c>
    </row>
    <row r="1661" ht="15.75" customHeight="1">
      <c r="O1661" s="4" t="s">
        <v>2941</v>
      </c>
    </row>
    <row r="1662" ht="15.75" customHeight="1">
      <c r="O1662" s="4" t="s">
        <v>2942</v>
      </c>
    </row>
    <row r="1663" ht="15.75" customHeight="1">
      <c r="O1663" s="4" t="s">
        <v>2943</v>
      </c>
    </row>
    <row r="1664" ht="15.75" customHeight="1">
      <c r="O1664" s="4" t="s">
        <v>2944</v>
      </c>
    </row>
    <row r="1665" ht="15.75" customHeight="1">
      <c r="O1665" s="4" t="s">
        <v>2945</v>
      </c>
    </row>
    <row r="1666" ht="15.75" customHeight="1">
      <c r="O1666" s="4" t="s">
        <v>2946</v>
      </c>
    </row>
    <row r="1667" ht="15.75" customHeight="1">
      <c r="O1667" s="4" t="s">
        <v>2947</v>
      </c>
    </row>
    <row r="1668" ht="15.75" customHeight="1">
      <c r="O1668" s="4" t="s">
        <v>2948</v>
      </c>
    </row>
    <row r="1669" ht="15.75" customHeight="1">
      <c r="O1669" s="4" t="s">
        <v>2949</v>
      </c>
    </row>
    <row r="1670" ht="15.75" customHeight="1">
      <c r="O1670" s="4" t="s">
        <v>2950</v>
      </c>
    </row>
    <row r="1671" ht="15.75" customHeight="1">
      <c r="O1671" s="4" t="s">
        <v>2951</v>
      </c>
    </row>
    <row r="1672" ht="15.75" customHeight="1">
      <c r="O1672" s="4" t="s">
        <v>2952</v>
      </c>
    </row>
    <row r="1673" ht="15.75" customHeight="1">
      <c r="O1673" s="4" t="s">
        <v>2953</v>
      </c>
    </row>
    <row r="1674" ht="15.75" customHeight="1">
      <c r="O1674" s="4" t="s">
        <v>2954</v>
      </c>
    </row>
    <row r="1675" ht="15.75" customHeight="1">
      <c r="O1675" s="4" t="s">
        <v>2955</v>
      </c>
    </row>
    <row r="1676" ht="15.75" customHeight="1">
      <c r="O1676" s="4" t="s">
        <v>2956</v>
      </c>
    </row>
    <row r="1677" ht="15.75" customHeight="1">
      <c r="O1677" s="4" t="s">
        <v>2957</v>
      </c>
    </row>
    <row r="1678" ht="15.75" customHeight="1">
      <c r="O1678" s="4" t="s">
        <v>2958</v>
      </c>
    </row>
    <row r="1679" ht="15.75" customHeight="1">
      <c r="O1679" s="4" t="s">
        <v>2959</v>
      </c>
    </row>
    <row r="1680" ht="15.75" customHeight="1">
      <c r="O1680" s="4" t="s">
        <v>2960</v>
      </c>
    </row>
    <row r="1681" ht="15.75" customHeight="1">
      <c r="O1681" s="4" t="s">
        <v>2961</v>
      </c>
    </row>
    <row r="1682" ht="15.75" customHeight="1">
      <c r="O1682" s="4" t="s">
        <v>2962</v>
      </c>
    </row>
    <row r="1683" ht="15.75" customHeight="1">
      <c r="O1683" s="4" t="s">
        <v>2963</v>
      </c>
    </row>
    <row r="1684" ht="15.75" customHeight="1">
      <c r="O1684" s="4" t="s">
        <v>2964</v>
      </c>
    </row>
    <row r="1685" ht="15.75" customHeight="1">
      <c r="O1685" s="4" t="s">
        <v>2965</v>
      </c>
    </row>
    <row r="1686" ht="15.75" customHeight="1">
      <c r="O1686" s="4" t="s">
        <v>2966</v>
      </c>
    </row>
    <row r="1687" ht="15.75" customHeight="1">
      <c r="O1687" s="4" t="s">
        <v>2967</v>
      </c>
    </row>
    <row r="1688" ht="15.75" customHeight="1">
      <c r="O1688" s="4" t="s">
        <v>2968</v>
      </c>
    </row>
    <row r="1689" ht="15.75" customHeight="1">
      <c r="O1689" s="4" t="s">
        <v>2969</v>
      </c>
    </row>
    <row r="1690" ht="15.75" customHeight="1">
      <c r="O1690" s="4" t="s">
        <v>2970</v>
      </c>
    </row>
    <row r="1691" ht="15.75" customHeight="1">
      <c r="O1691" s="4" t="s">
        <v>2971</v>
      </c>
    </row>
    <row r="1692" ht="15.75" customHeight="1">
      <c r="O1692" s="4" t="s">
        <v>2972</v>
      </c>
    </row>
    <row r="1693" ht="15.75" customHeight="1">
      <c r="O1693" s="4" t="s">
        <v>2973</v>
      </c>
    </row>
    <row r="1694" ht="15.75" customHeight="1">
      <c r="O1694" s="4" t="s">
        <v>2974</v>
      </c>
    </row>
    <row r="1695" ht="15.75" customHeight="1">
      <c r="O1695" s="4" t="s">
        <v>2975</v>
      </c>
    </row>
    <row r="1696" ht="15.75" customHeight="1">
      <c r="O1696" s="4" t="s">
        <v>2976</v>
      </c>
    </row>
    <row r="1697" ht="15.75" customHeight="1">
      <c r="O1697" s="4" t="s">
        <v>2977</v>
      </c>
    </row>
    <row r="1698" ht="15.75" customHeight="1">
      <c r="O1698" s="4" t="s">
        <v>2978</v>
      </c>
    </row>
    <row r="1699" ht="15.75" customHeight="1">
      <c r="O1699" s="4" t="s">
        <v>2979</v>
      </c>
    </row>
    <row r="1700" ht="15.75" customHeight="1">
      <c r="O1700" s="4" t="s">
        <v>2980</v>
      </c>
    </row>
    <row r="1701" ht="15.75" customHeight="1">
      <c r="O1701" s="4" t="s">
        <v>2981</v>
      </c>
    </row>
    <row r="1702" ht="15.75" customHeight="1">
      <c r="O1702" s="4" t="s">
        <v>2982</v>
      </c>
    </row>
    <row r="1703" ht="15.75" customHeight="1">
      <c r="O1703" s="4" t="s">
        <v>2983</v>
      </c>
    </row>
    <row r="1704" ht="15.75" customHeight="1">
      <c r="O1704" s="4" t="s">
        <v>2984</v>
      </c>
    </row>
    <row r="1705" ht="15.75" customHeight="1">
      <c r="O1705" s="4" t="s">
        <v>2985</v>
      </c>
    </row>
    <row r="1706" ht="15.75" customHeight="1">
      <c r="O1706" s="4" t="s">
        <v>2986</v>
      </c>
    </row>
    <row r="1707" ht="15.75" customHeight="1">
      <c r="O1707" s="4" t="s">
        <v>2987</v>
      </c>
    </row>
    <row r="1708" ht="15.75" customHeight="1">
      <c r="O1708" s="4" t="s">
        <v>2988</v>
      </c>
    </row>
    <row r="1709" ht="15.75" customHeight="1">
      <c r="O1709" s="4" t="s">
        <v>2989</v>
      </c>
    </row>
    <row r="1710" ht="15.75" customHeight="1">
      <c r="O1710" s="4" t="s">
        <v>2990</v>
      </c>
    </row>
    <row r="1711" ht="15.75" customHeight="1">
      <c r="O1711" s="4" t="s">
        <v>2991</v>
      </c>
    </row>
    <row r="1712" ht="15.75" customHeight="1">
      <c r="O1712" s="4" t="s">
        <v>2992</v>
      </c>
    </row>
    <row r="1713" ht="15.75" customHeight="1">
      <c r="O1713" s="4" t="s">
        <v>2993</v>
      </c>
    </row>
    <row r="1714" ht="15.75" customHeight="1">
      <c r="O1714" s="4" t="s">
        <v>2994</v>
      </c>
    </row>
    <row r="1715" ht="15.75" customHeight="1">
      <c r="O1715" s="4" t="s">
        <v>2995</v>
      </c>
    </row>
    <row r="1716" ht="15.75" customHeight="1">
      <c r="O1716" s="4" t="s">
        <v>2996</v>
      </c>
    </row>
    <row r="1717" ht="15.75" customHeight="1">
      <c r="O1717" s="4" t="s">
        <v>2997</v>
      </c>
    </row>
    <row r="1718" ht="15.75" customHeight="1">
      <c r="O1718" s="4" t="s">
        <v>2998</v>
      </c>
    </row>
    <row r="1719" ht="15.75" customHeight="1">
      <c r="O1719" s="4" t="s">
        <v>2999</v>
      </c>
    </row>
    <row r="1720" ht="15.75" customHeight="1">
      <c r="O1720" s="4" t="s">
        <v>3000</v>
      </c>
    </row>
    <row r="1721" ht="15.75" customHeight="1">
      <c r="O1721" s="4" t="s">
        <v>3001</v>
      </c>
    </row>
    <row r="1722" ht="15.75" customHeight="1">
      <c r="O1722" s="4" t="s">
        <v>3002</v>
      </c>
    </row>
    <row r="1723" ht="15.75" customHeight="1">
      <c r="O1723" s="4" t="s">
        <v>3003</v>
      </c>
    </row>
    <row r="1724" ht="15.75" customHeight="1">
      <c r="O1724" s="4" t="s">
        <v>3004</v>
      </c>
    </row>
    <row r="1725" ht="15.75" customHeight="1">
      <c r="O1725" s="4" t="s">
        <v>3005</v>
      </c>
    </row>
    <row r="1726" ht="15.75" customHeight="1">
      <c r="O1726" s="4" t="s">
        <v>3006</v>
      </c>
    </row>
    <row r="1727" ht="15.75" customHeight="1">
      <c r="O1727" s="4" t="s">
        <v>3007</v>
      </c>
    </row>
    <row r="1728" ht="15.75" customHeight="1">
      <c r="O1728" s="4" t="s">
        <v>3008</v>
      </c>
    </row>
    <row r="1729" ht="15.75" customHeight="1">
      <c r="O1729" s="4" t="s">
        <v>3009</v>
      </c>
    </row>
    <row r="1730" ht="15.75" customHeight="1">
      <c r="O1730" s="4" t="s">
        <v>3010</v>
      </c>
    </row>
    <row r="1731" ht="15.75" customHeight="1">
      <c r="O1731" s="4" t="s">
        <v>3011</v>
      </c>
    </row>
    <row r="1732" ht="15.75" customHeight="1">
      <c r="O1732" s="4" t="s">
        <v>3012</v>
      </c>
    </row>
    <row r="1733" ht="15.75" customHeight="1">
      <c r="O1733" s="4" t="s">
        <v>3013</v>
      </c>
    </row>
    <row r="1734" ht="15.75" customHeight="1">
      <c r="O1734" s="4" t="s">
        <v>3014</v>
      </c>
    </row>
    <row r="1735" ht="15.75" customHeight="1">
      <c r="O1735" s="4" t="s">
        <v>3015</v>
      </c>
    </row>
    <row r="1736" ht="15.75" customHeight="1">
      <c r="O1736" s="4" t="s">
        <v>3016</v>
      </c>
    </row>
    <row r="1737" ht="15.75" customHeight="1">
      <c r="O1737" s="4" t="s">
        <v>3017</v>
      </c>
    </row>
    <row r="1738" ht="15.75" customHeight="1">
      <c r="O1738" s="4" t="s">
        <v>3018</v>
      </c>
    </row>
    <row r="1739" ht="15.75" customHeight="1">
      <c r="O1739" s="4" t="s">
        <v>3019</v>
      </c>
    </row>
    <row r="1740" ht="15.75" customHeight="1">
      <c r="O1740" s="4" t="s">
        <v>3020</v>
      </c>
    </row>
    <row r="1741" ht="15.75" customHeight="1">
      <c r="O1741" s="4" t="s">
        <v>3021</v>
      </c>
    </row>
    <row r="1742" ht="15.75" customHeight="1">
      <c r="O1742" s="4" t="s">
        <v>3022</v>
      </c>
    </row>
    <row r="1743" ht="15.75" customHeight="1">
      <c r="O1743" s="4" t="s">
        <v>3023</v>
      </c>
    </row>
    <row r="1744" ht="15.75" customHeight="1">
      <c r="O1744" s="4" t="s">
        <v>3024</v>
      </c>
    </row>
    <row r="1745" ht="15.75" customHeight="1">
      <c r="O1745" s="4" t="s">
        <v>3025</v>
      </c>
    </row>
    <row r="1746" ht="15.75" customHeight="1">
      <c r="O1746" s="4" t="s">
        <v>3026</v>
      </c>
    </row>
    <row r="1747" ht="15.75" customHeight="1">
      <c r="O1747" s="4" t="s">
        <v>3027</v>
      </c>
    </row>
    <row r="1748" ht="15.75" customHeight="1">
      <c r="O1748" s="4" t="s">
        <v>3028</v>
      </c>
    </row>
    <row r="1749" ht="15.75" customHeight="1">
      <c r="O1749" s="4" t="s">
        <v>3029</v>
      </c>
    </row>
    <row r="1750" ht="15.75" customHeight="1">
      <c r="O1750" s="4" t="s">
        <v>3030</v>
      </c>
    </row>
    <row r="1751" ht="15.75" customHeight="1">
      <c r="O1751" s="4" t="s">
        <v>3031</v>
      </c>
    </row>
    <row r="1752" ht="15.75" customHeight="1">
      <c r="O1752" s="4" t="s">
        <v>3032</v>
      </c>
    </row>
    <row r="1753" ht="15.75" customHeight="1">
      <c r="O1753" s="4" t="s">
        <v>3033</v>
      </c>
    </row>
    <row r="1754" ht="15.75" customHeight="1">
      <c r="O1754" s="4" t="s">
        <v>3034</v>
      </c>
    </row>
    <row r="1755" ht="15.75" customHeight="1">
      <c r="O1755" s="4" t="s">
        <v>3035</v>
      </c>
    </row>
    <row r="1756" ht="15.75" customHeight="1">
      <c r="O1756" s="4" t="s">
        <v>3036</v>
      </c>
    </row>
    <row r="1757" ht="15.75" customHeight="1">
      <c r="O1757" s="4" t="s">
        <v>3037</v>
      </c>
    </row>
    <row r="1758" ht="15.75" customHeight="1">
      <c r="O1758" s="4" t="s">
        <v>3038</v>
      </c>
    </row>
    <row r="1759" ht="15.75" customHeight="1">
      <c r="O1759" s="4" t="s">
        <v>3039</v>
      </c>
    </row>
    <row r="1760" ht="15.75" customHeight="1">
      <c r="O1760" s="4" t="s">
        <v>3040</v>
      </c>
    </row>
    <row r="1761" ht="15.75" customHeight="1">
      <c r="O1761" s="4" t="s">
        <v>3041</v>
      </c>
    </row>
    <row r="1762" ht="15.75" customHeight="1">
      <c r="O1762" s="4" t="s">
        <v>3042</v>
      </c>
    </row>
    <row r="1763" ht="15.75" customHeight="1">
      <c r="O1763" s="4" t="s">
        <v>3043</v>
      </c>
    </row>
    <row r="1764" ht="15.75" customHeight="1">
      <c r="O1764" s="4" t="s">
        <v>3044</v>
      </c>
    </row>
    <row r="1765" ht="15.75" customHeight="1">
      <c r="O1765" s="4" t="s">
        <v>3045</v>
      </c>
    </row>
    <row r="1766" ht="15.75" customHeight="1">
      <c r="O1766" s="4" t="s">
        <v>3046</v>
      </c>
    </row>
    <row r="1767" ht="15.75" customHeight="1">
      <c r="O1767" s="4" t="s">
        <v>3047</v>
      </c>
    </row>
    <row r="1768" ht="15.75" customHeight="1">
      <c r="O1768" s="4" t="s">
        <v>3048</v>
      </c>
    </row>
    <row r="1769" ht="15.75" customHeight="1">
      <c r="O1769" s="4" t="s">
        <v>3049</v>
      </c>
    </row>
    <row r="1770" ht="15.75" customHeight="1">
      <c r="O1770" s="4" t="s">
        <v>3050</v>
      </c>
    </row>
    <row r="1771" ht="15.75" customHeight="1">
      <c r="O1771" s="4" t="s">
        <v>3051</v>
      </c>
    </row>
    <row r="1772" ht="15.75" customHeight="1">
      <c r="O1772" s="4" t="s">
        <v>3052</v>
      </c>
    </row>
    <row r="1773" ht="15.75" customHeight="1">
      <c r="O1773" s="4" t="s">
        <v>3053</v>
      </c>
    </row>
    <row r="1774" ht="15.75" customHeight="1">
      <c r="O1774" s="4" t="s">
        <v>3054</v>
      </c>
    </row>
    <row r="1775" ht="15.75" customHeight="1">
      <c r="O1775" s="4" t="s">
        <v>3055</v>
      </c>
    </row>
    <row r="1776" ht="15.75" customHeight="1">
      <c r="O1776" s="4" t="s">
        <v>3056</v>
      </c>
    </row>
    <row r="1777" ht="15.75" customHeight="1">
      <c r="O1777" s="4" t="s">
        <v>3057</v>
      </c>
    </row>
    <row r="1778" ht="15.75" customHeight="1">
      <c r="O1778" s="4" t="s">
        <v>3058</v>
      </c>
    </row>
    <row r="1779" ht="15.75" customHeight="1">
      <c r="O1779" s="4" t="s">
        <v>3059</v>
      </c>
    </row>
    <row r="1780" ht="15.75" customHeight="1">
      <c r="O1780" s="4" t="s">
        <v>3060</v>
      </c>
    </row>
    <row r="1781" ht="15.75" customHeight="1">
      <c r="O1781" s="4" t="s">
        <v>3061</v>
      </c>
    </row>
    <row r="1782" ht="15.75" customHeight="1">
      <c r="O1782" s="4" t="s">
        <v>3062</v>
      </c>
    </row>
    <row r="1783" ht="15.75" customHeight="1">
      <c r="O1783" s="4" t="s">
        <v>3063</v>
      </c>
    </row>
    <row r="1784" ht="15.75" customHeight="1">
      <c r="O1784" s="4" t="s">
        <v>3064</v>
      </c>
    </row>
    <row r="1785" ht="15.75" customHeight="1">
      <c r="O1785" s="4" t="s">
        <v>3065</v>
      </c>
    </row>
    <row r="1786" ht="15.75" customHeight="1">
      <c r="O1786" s="4" t="s">
        <v>3066</v>
      </c>
    </row>
    <row r="1787" ht="15.75" customHeight="1">
      <c r="O1787" s="4" t="s">
        <v>3067</v>
      </c>
    </row>
    <row r="1788" ht="15.75" customHeight="1">
      <c r="O1788" s="4" t="s">
        <v>3068</v>
      </c>
    </row>
    <row r="1789" ht="15.75" customHeight="1">
      <c r="O1789" s="4" t="s">
        <v>3069</v>
      </c>
    </row>
    <row r="1790" ht="15.75" customHeight="1">
      <c r="O1790" s="4" t="s">
        <v>3070</v>
      </c>
    </row>
    <row r="1791" ht="15.75" customHeight="1">
      <c r="O1791" s="4" t="s">
        <v>3071</v>
      </c>
    </row>
    <row r="1792" ht="15.75" customHeight="1">
      <c r="O1792" s="4" t="s">
        <v>3072</v>
      </c>
    </row>
    <row r="1793" ht="15.75" customHeight="1">
      <c r="O1793" s="4" t="s">
        <v>3073</v>
      </c>
    </row>
    <row r="1794" ht="15.75" customHeight="1">
      <c r="O1794" s="4" t="s">
        <v>3074</v>
      </c>
    </row>
    <row r="1795" ht="15.75" customHeight="1">
      <c r="O1795" s="4" t="s">
        <v>3075</v>
      </c>
    </row>
    <row r="1796" ht="15.75" customHeight="1">
      <c r="O1796" s="4" t="s">
        <v>3076</v>
      </c>
    </row>
    <row r="1797" ht="15.75" customHeight="1">
      <c r="O1797" s="4" t="s">
        <v>3077</v>
      </c>
    </row>
    <row r="1798" ht="15.75" customHeight="1">
      <c r="O1798" s="4" t="s">
        <v>3078</v>
      </c>
    </row>
    <row r="1799" ht="15.75" customHeight="1">
      <c r="O1799" s="4" t="s">
        <v>3079</v>
      </c>
    </row>
    <row r="1800" ht="15.75" customHeight="1">
      <c r="O1800" s="4" t="s">
        <v>3080</v>
      </c>
    </row>
    <row r="1801" ht="15.75" customHeight="1">
      <c r="O1801" s="4" t="s">
        <v>3081</v>
      </c>
    </row>
    <row r="1802" ht="15.75" customHeight="1">
      <c r="O1802" s="4" t="s">
        <v>3082</v>
      </c>
    </row>
    <row r="1803" ht="15.75" customHeight="1">
      <c r="O1803" s="4" t="s">
        <v>3083</v>
      </c>
    </row>
    <row r="1804" ht="15.75" customHeight="1">
      <c r="O1804" s="4" t="s">
        <v>3084</v>
      </c>
    </row>
    <row r="1805" ht="15.75" customHeight="1">
      <c r="O1805" s="4" t="s">
        <v>3085</v>
      </c>
    </row>
    <row r="1806" ht="15.75" customHeight="1">
      <c r="O1806" s="4" t="s">
        <v>3086</v>
      </c>
    </row>
    <row r="1807" ht="15.75" customHeight="1">
      <c r="O1807" s="4" t="s">
        <v>3087</v>
      </c>
    </row>
    <row r="1808" ht="15.75" customHeight="1">
      <c r="O1808" s="4" t="s">
        <v>3088</v>
      </c>
    </row>
    <row r="1809" ht="15.75" customHeight="1">
      <c r="O1809" s="4" t="s">
        <v>3089</v>
      </c>
    </row>
    <row r="1810" ht="15.75" customHeight="1">
      <c r="O1810" s="4" t="s">
        <v>3090</v>
      </c>
    </row>
    <row r="1811" ht="15.75" customHeight="1">
      <c r="O1811" s="4" t="s">
        <v>3091</v>
      </c>
    </row>
    <row r="1812" ht="15.75" customHeight="1">
      <c r="O1812" s="4" t="s">
        <v>3092</v>
      </c>
    </row>
    <row r="1813" ht="15.75" customHeight="1">
      <c r="O1813" s="4" t="s">
        <v>3093</v>
      </c>
    </row>
    <row r="1814" ht="15.75" customHeight="1">
      <c r="O1814" s="4" t="s">
        <v>3094</v>
      </c>
    </row>
    <row r="1815" ht="15.75" customHeight="1">
      <c r="O1815" s="4" t="s">
        <v>3095</v>
      </c>
    </row>
    <row r="1816" ht="15.75" customHeight="1">
      <c r="O1816" s="4" t="s">
        <v>3096</v>
      </c>
    </row>
    <row r="1817" ht="15.75" customHeight="1">
      <c r="O1817" s="4" t="s">
        <v>3097</v>
      </c>
    </row>
    <row r="1818" ht="15.75" customHeight="1">
      <c r="O1818" s="4" t="s">
        <v>3098</v>
      </c>
    </row>
    <row r="1819" ht="15.75" customHeight="1">
      <c r="O1819" s="4" t="s">
        <v>3099</v>
      </c>
    </row>
    <row r="1820" ht="15.75" customHeight="1">
      <c r="O1820" s="4" t="s">
        <v>3100</v>
      </c>
    </row>
    <row r="1821" ht="15.75" customHeight="1">
      <c r="O1821" s="4" t="s">
        <v>3101</v>
      </c>
    </row>
    <row r="1822" ht="15.75" customHeight="1">
      <c r="O1822" s="4" t="s">
        <v>3102</v>
      </c>
    </row>
    <row r="1823" ht="15.75" customHeight="1">
      <c r="O1823" s="4" t="s">
        <v>3103</v>
      </c>
    </row>
    <row r="1824" ht="15.75" customHeight="1">
      <c r="O1824" s="4" t="s">
        <v>3104</v>
      </c>
    </row>
    <row r="1825" ht="15.75" customHeight="1">
      <c r="O1825" s="4" t="s">
        <v>3105</v>
      </c>
    </row>
    <row r="1826" ht="15.75" customHeight="1">
      <c r="O1826" s="4" t="s">
        <v>3106</v>
      </c>
    </row>
    <row r="1827" ht="15.75" customHeight="1">
      <c r="O1827" s="4" t="s">
        <v>3107</v>
      </c>
    </row>
    <row r="1828" ht="15.75" customHeight="1">
      <c r="O1828" s="4" t="s">
        <v>3108</v>
      </c>
    </row>
    <row r="1829" ht="15.75" customHeight="1">
      <c r="O1829" s="4" t="s">
        <v>3109</v>
      </c>
    </row>
    <row r="1830" ht="15.75" customHeight="1">
      <c r="O1830" s="4" t="s">
        <v>3110</v>
      </c>
    </row>
    <row r="1831" ht="15.75" customHeight="1">
      <c r="O1831" s="4" t="s">
        <v>3111</v>
      </c>
    </row>
    <row r="1832" ht="15.75" customHeight="1">
      <c r="O1832" s="4" t="s">
        <v>3112</v>
      </c>
    </row>
    <row r="1833" ht="15.75" customHeight="1">
      <c r="O1833" s="4" t="s">
        <v>3113</v>
      </c>
    </row>
    <row r="1834" ht="15.75" customHeight="1">
      <c r="O1834" s="4" t="s">
        <v>3114</v>
      </c>
    </row>
    <row r="1835" ht="15.75" customHeight="1">
      <c r="O1835" s="4" t="s">
        <v>3115</v>
      </c>
    </row>
    <row r="1836" ht="15.75" customHeight="1">
      <c r="O1836" s="4" t="s">
        <v>3116</v>
      </c>
    </row>
    <row r="1837" ht="15.75" customHeight="1">
      <c r="O1837" s="4" t="s">
        <v>3117</v>
      </c>
    </row>
    <row r="1838" ht="15.75" customHeight="1">
      <c r="O1838" s="4" t="s">
        <v>3118</v>
      </c>
    </row>
    <row r="1839" ht="15.75" customHeight="1">
      <c r="O1839" s="4" t="s">
        <v>3119</v>
      </c>
    </row>
    <row r="1840" ht="15.75" customHeight="1">
      <c r="O1840" s="4" t="s">
        <v>3120</v>
      </c>
    </row>
    <row r="1841" ht="15.75" customHeight="1">
      <c r="O1841" s="4" t="s">
        <v>3121</v>
      </c>
    </row>
    <row r="1842" ht="15.75" customHeight="1">
      <c r="O1842" s="4" t="s">
        <v>3122</v>
      </c>
    </row>
    <row r="1843" ht="15.75" customHeight="1">
      <c r="O1843" s="4" t="s">
        <v>3123</v>
      </c>
    </row>
    <row r="1844" ht="15.75" customHeight="1">
      <c r="O1844" s="4" t="s">
        <v>3124</v>
      </c>
    </row>
    <row r="1845" ht="15.75" customHeight="1">
      <c r="O1845" s="4" t="s">
        <v>3125</v>
      </c>
    </row>
    <row r="1846" ht="15.75" customHeight="1">
      <c r="O1846" s="4" t="s">
        <v>3126</v>
      </c>
    </row>
    <row r="1847" ht="15.75" customHeight="1">
      <c r="O1847" s="4" t="s">
        <v>3127</v>
      </c>
    </row>
    <row r="1848" ht="15.75" customHeight="1">
      <c r="O1848" s="4" t="s">
        <v>3128</v>
      </c>
    </row>
    <row r="1849" ht="15.75" customHeight="1">
      <c r="O1849" s="4" t="s">
        <v>3129</v>
      </c>
    </row>
    <row r="1850" ht="15.75" customHeight="1">
      <c r="O1850" s="4" t="s">
        <v>3130</v>
      </c>
    </row>
    <row r="1851" ht="15.75" customHeight="1">
      <c r="O1851" s="4" t="s">
        <v>3131</v>
      </c>
    </row>
    <row r="1852" ht="15.75" customHeight="1">
      <c r="O1852" s="4" t="s">
        <v>3132</v>
      </c>
    </row>
    <row r="1853" ht="15.75" customHeight="1">
      <c r="O1853" s="4" t="s">
        <v>3133</v>
      </c>
    </row>
    <row r="1854" ht="15.75" customHeight="1">
      <c r="O1854" s="4" t="s">
        <v>3134</v>
      </c>
    </row>
    <row r="1855" ht="15.75" customHeight="1">
      <c r="O1855" s="4" t="s">
        <v>3135</v>
      </c>
    </row>
    <row r="1856" ht="15.75" customHeight="1">
      <c r="O1856" s="4" t="s">
        <v>3136</v>
      </c>
    </row>
    <row r="1857" ht="15.75" customHeight="1">
      <c r="O1857" s="4" t="s">
        <v>3137</v>
      </c>
    </row>
    <row r="1858" ht="15.75" customHeight="1">
      <c r="O1858" s="4" t="s">
        <v>3138</v>
      </c>
    </row>
    <row r="1859" ht="15.75" customHeight="1">
      <c r="O1859" s="4" t="s">
        <v>3139</v>
      </c>
    </row>
    <row r="1860" ht="15.75" customHeight="1">
      <c r="O1860" s="4" t="s">
        <v>3140</v>
      </c>
    </row>
    <row r="1861" ht="15.75" customHeight="1">
      <c r="O1861" s="4" t="s">
        <v>3141</v>
      </c>
    </row>
    <row r="1862" ht="15.75" customHeight="1">
      <c r="O1862" s="4" t="s">
        <v>3142</v>
      </c>
    </row>
    <row r="1863" ht="15.75" customHeight="1">
      <c r="O1863" s="4" t="s">
        <v>3143</v>
      </c>
    </row>
    <row r="1864" ht="15.75" customHeight="1">
      <c r="O1864" s="4" t="s">
        <v>3144</v>
      </c>
    </row>
    <row r="1865" ht="15.75" customHeight="1">
      <c r="O1865" s="4" t="s">
        <v>3145</v>
      </c>
    </row>
    <row r="1866" ht="15.75" customHeight="1">
      <c r="O1866" s="4" t="s">
        <v>3146</v>
      </c>
    </row>
    <row r="1867" ht="15.75" customHeight="1">
      <c r="O1867" s="4" t="s">
        <v>3147</v>
      </c>
    </row>
    <row r="1868" ht="15.75" customHeight="1">
      <c r="O1868" s="4" t="s">
        <v>3148</v>
      </c>
    </row>
    <row r="1869" ht="15.75" customHeight="1">
      <c r="O1869" s="4" t="s">
        <v>3149</v>
      </c>
    </row>
    <row r="1870" ht="15.75" customHeight="1">
      <c r="O1870" s="4" t="s">
        <v>3150</v>
      </c>
    </row>
    <row r="1871" ht="15.75" customHeight="1">
      <c r="O1871" s="4" t="s">
        <v>3151</v>
      </c>
    </row>
    <row r="1872" ht="15.75" customHeight="1">
      <c r="O1872" s="4" t="s">
        <v>3152</v>
      </c>
    </row>
    <row r="1873" ht="15.75" customHeight="1">
      <c r="O1873" s="4" t="s">
        <v>3153</v>
      </c>
    </row>
    <row r="1874" ht="15.75" customHeight="1">
      <c r="O1874" s="4" t="s">
        <v>3154</v>
      </c>
    </row>
    <row r="1875" ht="15.75" customHeight="1">
      <c r="O1875" s="4" t="s">
        <v>3155</v>
      </c>
    </row>
    <row r="1876" ht="15.75" customHeight="1">
      <c r="O1876" s="4" t="s">
        <v>3156</v>
      </c>
    </row>
    <row r="1877" ht="15.75" customHeight="1">
      <c r="O1877" s="4" t="s">
        <v>3157</v>
      </c>
    </row>
    <row r="1878" ht="15.75" customHeight="1">
      <c r="O1878" s="4" t="s">
        <v>3158</v>
      </c>
    </row>
    <row r="1879" ht="15.75" customHeight="1">
      <c r="O1879" s="4" t="s">
        <v>3159</v>
      </c>
    </row>
    <row r="1880" ht="15.75" customHeight="1">
      <c r="O1880" s="4" t="s">
        <v>3160</v>
      </c>
    </row>
    <row r="1881" ht="15.75" customHeight="1">
      <c r="O1881" s="4" t="s">
        <v>3161</v>
      </c>
    </row>
    <row r="1882" ht="15.75" customHeight="1">
      <c r="O1882" s="4" t="s">
        <v>3162</v>
      </c>
    </row>
    <row r="1883" ht="15.75" customHeight="1">
      <c r="O1883" s="4" t="s">
        <v>3163</v>
      </c>
    </row>
    <row r="1884" ht="15.75" customHeight="1">
      <c r="O1884" s="4" t="s">
        <v>3164</v>
      </c>
    </row>
    <row r="1885" ht="15.75" customHeight="1">
      <c r="O1885" s="4" t="s">
        <v>3165</v>
      </c>
    </row>
    <row r="1886" ht="15.75" customHeight="1">
      <c r="O1886" s="4" t="s">
        <v>3166</v>
      </c>
    </row>
    <row r="1887" ht="15.75" customHeight="1">
      <c r="O1887" s="4" t="s">
        <v>3167</v>
      </c>
    </row>
    <row r="1888" ht="15.75" customHeight="1">
      <c r="O1888" s="4" t="s">
        <v>3168</v>
      </c>
    </row>
    <row r="1889" ht="15.75" customHeight="1">
      <c r="O1889" s="4" t="s">
        <v>3169</v>
      </c>
    </row>
    <row r="1890" ht="15.75" customHeight="1">
      <c r="O1890" s="4" t="s">
        <v>3170</v>
      </c>
    </row>
    <row r="1891" ht="15.75" customHeight="1">
      <c r="O1891" s="4" t="s">
        <v>3171</v>
      </c>
    </row>
    <row r="1892" ht="15.75" customHeight="1">
      <c r="O1892" s="4" t="s">
        <v>3172</v>
      </c>
    </row>
    <row r="1893" ht="15.75" customHeight="1">
      <c r="O1893" s="4" t="s">
        <v>3173</v>
      </c>
    </row>
    <row r="1894" ht="15.75" customHeight="1">
      <c r="O1894" s="4" t="s">
        <v>3174</v>
      </c>
    </row>
    <row r="1895" ht="15.75" customHeight="1">
      <c r="O1895" s="4" t="s">
        <v>3175</v>
      </c>
    </row>
    <row r="1896" ht="15.75" customHeight="1">
      <c r="O1896" s="4" t="s">
        <v>3176</v>
      </c>
    </row>
    <row r="1897" ht="15.75" customHeight="1">
      <c r="O1897" s="4" t="s">
        <v>3177</v>
      </c>
    </row>
    <row r="1898" ht="15.75" customHeight="1">
      <c r="O1898" s="4" t="s">
        <v>3178</v>
      </c>
    </row>
    <row r="1899" ht="15.75" customHeight="1">
      <c r="O1899" s="4" t="s">
        <v>3179</v>
      </c>
    </row>
    <row r="1900" ht="15.75" customHeight="1">
      <c r="O1900" s="4" t="s">
        <v>3180</v>
      </c>
    </row>
    <row r="1901" ht="15.75" customHeight="1">
      <c r="O1901" s="4" t="s">
        <v>3181</v>
      </c>
    </row>
    <row r="1902" ht="15.75" customHeight="1">
      <c r="O1902" s="4" t="s">
        <v>3182</v>
      </c>
    </row>
    <row r="1903" ht="15.75" customHeight="1">
      <c r="O1903" s="4" t="s">
        <v>3183</v>
      </c>
    </row>
    <row r="1904" ht="15.75" customHeight="1">
      <c r="O1904" s="4" t="s">
        <v>3184</v>
      </c>
    </row>
    <row r="1905" ht="15.75" customHeight="1">
      <c r="O1905" s="4" t="s">
        <v>3185</v>
      </c>
    </row>
    <row r="1906" ht="15.75" customHeight="1">
      <c r="O1906" s="4" t="s">
        <v>3186</v>
      </c>
    </row>
    <row r="1907" ht="15.75" customHeight="1">
      <c r="O1907" s="4" t="s">
        <v>3187</v>
      </c>
    </row>
    <row r="1908" ht="15.75" customHeight="1">
      <c r="O1908" s="4" t="s">
        <v>3188</v>
      </c>
    </row>
    <row r="1909" ht="15.75" customHeight="1">
      <c r="O1909" s="4" t="s">
        <v>3189</v>
      </c>
    </row>
    <row r="1910" ht="15.75" customHeight="1">
      <c r="O1910" s="4" t="s">
        <v>3190</v>
      </c>
    </row>
    <row r="1911" ht="15.75" customHeight="1">
      <c r="O1911" s="4" t="s">
        <v>3191</v>
      </c>
    </row>
    <row r="1912" ht="15.75" customHeight="1">
      <c r="O1912" s="4" t="s">
        <v>3192</v>
      </c>
    </row>
    <row r="1913" ht="15.75" customHeight="1">
      <c r="O1913" s="4" t="s">
        <v>3193</v>
      </c>
    </row>
    <row r="1914" ht="15.75" customHeight="1">
      <c r="O1914" s="4" t="s">
        <v>3194</v>
      </c>
    </row>
    <row r="1915" ht="15.75" customHeight="1">
      <c r="O1915" s="4" t="s">
        <v>3195</v>
      </c>
    </row>
    <row r="1916" ht="15.75" customHeight="1">
      <c r="O1916" s="4" t="s">
        <v>3196</v>
      </c>
    </row>
    <row r="1917" ht="15.75" customHeight="1">
      <c r="O1917" s="4" t="s">
        <v>3197</v>
      </c>
    </row>
    <row r="1918" ht="15.75" customHeight="1">
      <c r="O1918" s="4" t="s">
        <v>3198</v>
      </c>
    </row>
    <row r="1919" ht="15.75" customHeight="1">
      <c r="O1919" s="4" t="s">
        <v>3199</v>
      </c>
    </row>
    <row r="1920" ht="15.75" customHeight="1">
      <c r="O1920" s="4" t="s">
        <v>3200</v>
      </c>
    </row>
    <row r="1921" ht="15.75" customHeight="1">
      <c r="O1921" s="4" t="s">
        <v>3201</v>
      </c>
    </row>
    <row r="1922" ht="15.75" customHeight="1">
      <c r="O1922" s="4" t="s">
        <v>3202</v>
      </c>
    </row>
    <row r="1923" ht="15.75" customHeight="1">
      <c r="O1923" s="4" t="s">
        <v>3203</v>
      </c>
    </row>
    <row r="1924" ht="15.75" customHeight="1">
      <c r="O1924" s="4" t="s">
        <v>3204</v>
      </c>
    </row>
    <row r="1925" ht="15.75" customHeight="1">
      <c r="O1925" s="4" t="s">
        <v>3205</v>
      </c>
    </row>
    <row r="1926" ht="15.75" customHeight="1">
      <c r="O1926" s="4" t="s">
        <v>3206</v>
      </c>
    </row>
    <row r="1927" ht="15.75" customHeight="1">
      <c r="O1927" s="4" t="s">
        <v>3207</v>
      </c>
    </row>
    <row r="1928" ht="15.75" customHeight="1">
      <c r="O1928" s="4" t="s">
        <v>3208</v>
      </c>
    </row>
    <row r="1929" ht="15.75" customHeight="1">
      <c r="O1929" s="4" t="s">
        <v>3209</v>
      </c>
    </row>
    <row r="1930" ht="15.75" customHeight="1">
      <c r="O1930" s="4" t="s">
        <v>3210</v>
      </c>
    </row>
    <row r="1931" ht="15.75" customHeight="1">
      <c r="O1931" s="4" t="s">
        <v>3211</v>
      </c>
    </row>
    <row r="1932" ht="15.75" customHeight="1">
      <c r="O1932" s="4" t="s">
        <v>3212</v>
      </c>
    </row>
    <row r="1933" ht="15.75" customHeight="1">
      <c r="O1933" s="4" t="s">
        <v>3213</v>
      </c>
    </row>
    <row r="1934" ht="15.75" customHeight="1">
      <c r="O1934" s="4" t="s">
        <v>3214</v>
      </c>
    </row>
    <row r="1935" ht="15.75" customHeight="1">
      <c r="O1935" s="4" t="s">
        <v>3215</v>
      </c>
    </row>
    <row r="1936" ht="15.75" customHeight="1">
      <c r="O1936" s="4" t="s">
        <v>3216</v>
      </c>
    </row>
    <row r="1937" ht="15.75" customHeight="1">
      <c r="O1937" s="4" t="s">
        <v>3217</v>
      </c>
    </row>
    <row r="1938" ht="15.75" customHeight="1">
      <c r="O1938" s="4" t="s">
        <v>3218</v>
      </c>
    </row>
    <row r="1939" ht="15.75" customHeight="1">
      <c r="O1939" s="4" t="s">
        <v>3219</v>
      </c>
    </row>
    <row r="1940" ht="15.75" customHeight="1">
      <c r="O1940" s="4" t="s">
        <v>3220</v>
      </c>
    </row>
    <row r="1941" ht="15.75" customHeight="1">
      <c r="O1941" s="4" t="s">
        <v>3221</v>
      </c>
    </row>
    <row r="1942" ht="15.75" customHeight="1">
      <c r="O1942" s="4" t="s">
        <v>3222</v>
      </c>
    </row>
    <row r="1943" ht="15.75" customHeight="1">
      <c r="O1943" s="4" t="s">
        <v>3223</v>
      </c>
    </row>
    <row r="1944" ht="15.75" customHeight="1">
      <c r="O1944" s="4" t="s">
        <v>3224</v>
      </c>
    </row>
    <row r="1945" ht="15.75" customHeight="1">
      <c r="O1945" s="4" t="s">
        <v>3225</v>
      </c>
    </row>
    <row r="1946" ht="15.75" customHeight="1">
      <c r="O1946" s="4" t="s">
        <v>3226</v>
      </c>
    </row>
    <row r="1947" ht="15.75" customHeight="1">
      <c r="O1947" s="4" t="s">
        <v>3227</v>
      </c>
    </row>
    <row r="1948" ht="15.75" customHeight="1">
      <c r="O1948" s="4" t="s">
        <v>3228</v>
      </c>
    </row>
    <row r="1949" ht="15.75" customHeight="1">
      <c r="O1949" s="4" t="s">
        <v>3229</v>
      </c>
    </row>
    <row r="1950" ht="15.75" customHeight="1">
      <c r="O1950" s="4" t="s">
        <v>3230</v>
      </c>
    </row>
    <row r="1951" ht="15.75" customHeight="1">
      <c r="O1951" s="4" t="s">
        <v>3231</v>
      </c>
    </row>
    <row r="1952" ht="15.75" customHeight="1">
      <c r="O1952" s="4" t="s">
        <v>3232</v>
      </c>
    </row>
    <row r="1953" ht="15.75" customHeight="1">
      <c r="O1953" s="4" t="s">
        <v>3233</v>
      </c>
    </row>
    <row r="1954" ht="15.75" customHeight="1">
      <c r="O1954" s="4" t="s">
        <v>3234</v>
      </c>
    </row>
    <row r="1955" ht="15.75" customHeight="1">
      <c r="O1955" s="4" t="s">
        <v>3235</v>
      </c>
    </row>
    <row r="1956" ht="15.75" customHeight="1">
      <c r="O1956" s="4" t="s">
        <v>3236</v>
      </c>
    </row>
    <row r="1957" ht="15.75" customHeight="1">
      <c r="O1957" s="4" t="s">
        <v>3237</v>
      </c>
    </row>
    <row r="1958" ht="15.75" customHeight="1">
      <c r="O1958" s="4" t="s">
        <v>3238</v>
      </c>
    </row>
    <row r="1959" ht="15.75" customHeight="1">
      <c r="O1959" s="4" t="s">
        <v>3239</v>
      </c>
    </row>
    <row r="1960" ht="15.75" customHeight="1">
      <c r="O1960" s="4" t="s">
        <v>3240</v>
      </c>
    </row>
    <row r="1961" ht="15.75" customHeight="1">
      <c r="O1961" s="4" t="s">
        <v>3241</v>
      </c>
    </row>
    <row r="1962" ht="15.75" customHeight="1">
      <c r="O1962" s="4" t="s">
        <v>3242</v>
      </c>
    </row>
    <row r="1963" ht="15.75" customHeight="1">
      <c r="O1963" s="4" t="s">
        <v>3243</v>
      </c>
    </row>
    <row r="1964" ht="15.75" customHeight="1">
      <c r="O1964" s="4" t="s">
        <v>3244</v>
      </c>
    </row>
    <row r="1965" ht="15.75" customHeight="1">
      <c r="O1965" s="4" t="s">
        <v>3245</v>
      </c>
    </row>
    <row r="1966" ht="15.75" customHeight="1">
      <c r="O1966" s="4" t="s">
        <v>3246</v>
      </c>
    </row>
    <row r="1967" ht="15.75" customHeight="1">
      <c r="O1967" s="4" t="s">
        <v>3247</v>
      </c>
    </row>
    <row r="1968" ht="15.75" customHeight="1">
      <c r="O1968" s="4" t="s">
        <v>3248</v>
      </c>
    </row>
    <row r="1969" ht="15.75" customHeight="1">
      <c r="O1969" s="4" t="s">
        <v>3249</v>
      </c>
    </row>
    <row r="1970" ht="15.75" customHeight="1">
      <c r="O1970" s="4" t="s">
        <v>3250</v>
      </c>
    </row>
    <row r="1971" ht="15.75" customHeight="1">
      <c r="O1971" s="4" t="s">
        <v>3251</v>
      </c>
    </row>
    <row r="1972" ht="15.75" customHeight="1">
      <c r="O1972" s="4" t="s">
        <v>3252</v>
      </c>
    </row>
    <row r="1973" ht="15.75" customHeight="1">
      <c r="O1973" s="4" t="s">
        <v>3253</v>
      </c>
    </row>
    <row r="1974" ht="15.75" customHeight="1">
      <c r="O1974" s="4" t="s">
        <v>3254</v>
      </c>
    </row>
    <row r="1975" ht="15.75" customHeight="1">
      <c r="O1975" s="4" t="s">
        <v>3255</v>
      </c>
    </row>
    <row r="1976" ht="15.75" customHeight="1">
      <c r="O1976" s="4" t="s">
        <v>3256</v>
      </c>
    </row>
    <row r="1977" ht="15.75" customHeight="1">
      <c r="O1977" s="4" t="s">
        <v>3257</v>
      </c>
    </row>
    <row r="1978" ht="15.75" customHeight="1">
      <c r="O1978" s="4" t="s">
        <v>3258</v>
      </c>
    </row>
    <row r="1979" ht="15.75" customHeight="1">
      <c r="O1979" s="4" t="s">
        <v>3259</v>
      </c>
    </row>
    <row r="1980" ht="15.75" customHeight="1">
      <c r="O1980" s="4" t="s">
        <v>3260</v>
      </c>
    </row>
    <row r="1981" ht="15.75" customHeight="1">
      <c r="O1981" s="4" t="s">
        <v>3261</v>
      </c>
    </row>
    <row r="1982" ht="15.75" customHeight="1">
      <c r="O1982" s="4" t="s">
        <v>3262</v>
      </c>
    </row>
    <row r="1983" ht="15.75" customHeight="1">
      <c r="O1983" s="4" t="s">
        <v>3263</v>
      </c>
    </row>
    <row r="1984" ht="15.75" customHeight="1">
      <c r="O1984" s="4" t="s">
        <v>3264</v>
      </c>
    </row>
    <row r="1985" ht="15.75" customHeight="1">
      <c r="O1985" s="4" t="s">
        <v>3265</v>
      </c>
    </row>
    <row r="1986" ht="15.75" customHeight="1">
      <c r="O1986" s="4" t="s">
        <v>3266</v>
      </c>
    </row>
    <row r="1987" ht="15.75" customHeight="1">
      <c r="O1987" s="4" t="s">
        <v>3267</v>
      </c>
    </row>
    <row r="1988" ht="15.75" customHeight="1">
      <c r="O1988" s="4" t="s">
        <v>3268</v>
      </c>
    </row>
    <row r="1989" ht="15.75" customHeight="1">
      <c r="O1989" s="4" t="s">
        <v>3269</v>
      </c>
    </row>
    <row r="1990" ht="15.75" customHeight="1">
      <c r="O1990" s="4" t="s">
        <v>3270</v>
      </c>
    </row>
    <row r="1991" ht="15.75" customHeight="1">
      <c r="O1991" s="4" t="s">
        <v>3271</v>
      </c>
    </row>
    <row r="1992" ht="15.75" customHeight="1">
      <c r="O1992" s="4" t="s">
        <v>3272</v>
      </c>
    </row>
    <row r="1993" ht="15.75" customHeight="1">
      <c r="O1993" s="4" t="s">
        <v>3273</v>
      </c>
    </row>
    <row r="1994" ht="15.75" customHeight="1">
      <c r="O1994" s="4" t="s">
        <v>3274</v>
      </c>
    </row>
    <row r="1995" ht="15.75" customHeight="1">
      <c r="O1995" s="4" t="s">
        <v>3275</v>
      </c>
    </row>
    <row r="1996" ht="15.75" customHeight="1">
      <c r="O1996" s="4" t="s">
        <v>3276</v>
      </c>
    </row>
    <row r="1997" ht="15.75" customHeight="1">
      <c r="O1997" s="4" t="s">
        <v>3277</v>
      </c>
    </row>
    <row r="1998" ht="15.75" customHeight="1">
      <c r="O1998" s="4" t="s">
        <v>3278</v>
      </c>
    </row>
    <row r="1999" ht="15.75" customHeight="1">
      <c r="O1999" s="4" t="s">
        <v>3279</v>
      </c>
    </row>
    <row r="2000" ht="15.75" customHeight="1">
      <c r="O2000" s="4" t="s">
        <v>3280</v>
      </c>
    </row>
    <row r="2001" ht="15.75" customHeight="1">
      <c r="O2001" s="4" t="s">
        <v>3281</v>
      </c>
    </row>
    <row r="2002" ht="15.75" customHeight="1">
      <c r="O2002" s="4" t="s">
        <v>3282</v>
      </c>
    </row>
    <row r="2003" ht="15.75" customHeight="1">
      <c r="O2003" s="4" t="s">
        <v>3283</v>
      </c>
    </row>
    <row r="2004" ht="15.75" customHeight="1">
      <c r="O2004" s="4" t="s">
        <v>3284</v>
      </c>
    </row>
    <row r="2005" ht="15.75" customHeight="1">
      <c r="O2005" s="4" t="s">
        <v>3285</v>
      </c>
    </row>
    <row r="2006" ht="15.75" customHeight="1">
      <c r="O2006" s="4" t="s">
        <v>3286</v>
      </c>
    </row>
    <row r="2007" ht="15.75" customHeight="1">
      <c r="O2007" s="4" t="s">
        <v>3287</v>
      </c>
    </row>
    <row r="2008" ht="15.75" customHeight="1">
      <c r="O2008" s="4" t="s">
        <v>3288</v>
      </c>
    </row>
    <row r="2009" ht="15.75" customHeight="1">
      <c r="O2009" s="4" t="s">
        <v>3289</v>
      </c>
    </row>
    <row r="2010" ht="15.75" customHeight="1">
      <c r="O2010" s="4" t="s">
        <v>3290</v>
      </c>
    </row>
    <row r="2011" ht="15.75" customHeight="1">
      <c r="O2011" s="4" t="s">
        <v>3291</v>
      </c>
    </row>
    <row r="2012" ht="15.75" customHeight="1">
      <c r="O2012" s="4" t="s">
        <v>3292</v>
      </c>
    </row>
    <row r="2013" ht="15.75" customHeight="1">
      <c r="O2013" s="4" t="s">
        <v>3293</v>
      </c>
    </row>
    <row r="2014" ht="15.75" customHeight="1">
      <c r="O2014" s="4" t="s">
        <v>3294</v>
      </c>
    </row>
    <row r="2015" ht="15.75" customHeight="1">
      <c r="O2015" s="4" t="s">
        <v>3295</v>
      </c>
    </row>
    <row r="2016" ht="15.75" customHeight="1">
      <c r="O2016" s="4" t="s">
        <v>3296</v>
      </c>
    </row>
    <row r="2017" ht="15.75" customHeight="1">
      <c r="O2017" s="4" t="s">
        <v>3297</v>
      </c>
    </row>
    <row r="2018" ht="15.75" customHeight="1">
      <c r="O2018" s="4" t="s">
        <v>3298</v>
      </c>
    </row>
    <row r="2019" ht="15.75" customHeight="1">
      <c r="O2019" s="4" t="s">
        <v>3299</v>
      </c>
    </row>
    <row r="2020" ht="15.75" customHeight="1">
      <c r="O2020" s="4" t="s">
        <v>3300</v>
      </c>
    </row>
    <row r="2021" ht="15.75" customHeight="1">
      <c r="O2021" s="4" t="s">
        <v>3301</v>
      </c>
    </row>
    <row r="2022" ht="15.75" customHeight="1">
      <c r="O2022" s="4" t="s">
        <v>3302</v>
      </c>
    </row>
    <row r="2023" ht="15.75" customHeight="1">
      <c r="O2023" s="4" t="s">
        <v>3303</v>
      </c>
    </row>
    <row r="2024" ht="15.75" customHeight="1">
      <c r="O2024" s="4" t="s">
        <v>3304</v>
      </c>
    </row>
    <row r="2025" ht="15.75" customHeight="1">
      <c r="O2025" s="4" t="s">
        <v>3305</v>
      </c>
    </row>
    <row r="2026" ht="15.75" customHeight="1">
      <c r="O2026" s="4" t="s">
        <v>3306</v>
      </c>
    </row>
    <row r="2027" ht="15.75" customHeight="1">
      <c r="O2027" s="4" t="s">
        <v>3307</v>
      </c>
    </row>
    <row r="2028" ht="15.75" customHeight="1">
      <c r="O2028" s="4" t="s">
        <v>3308</v>
      </c>
    </row>
    <row r="2029" ht="15.75" customHeight="1">
      <c r="O2029" s="4" t="s">
        <v>3309</v>
      </c>
    </row>
    <row r="2030" ht="15.75" customHeight="1">
      <c r="O2030" s="4" t="s">
        <v>3310</v>
      </c>
    </row>
    <row r="2031" ht="15.75" customHeight="1">
      <c r="O2031" s="4" t="s">
        <v>3311</v>
      </c>
    </row>
    <row r="2032" ht="15.75" customHeight="1">
      <c r="O2032" s="4" t="s">
        <v>3312</v>
      </c>
    </row>
    <row r="2033" ht="15.75" customHeight="1">
      <c r="O2033" s="4" t="s">
        <v>3313</v>
      </c>
    </row>
    <row r="2034" ht="15.75" customHeight="1">
      <c r="O2034" s="4" t="s">
        <v>3314</v>
      </c>
    </row>
    <row r="2035" ht="15.75" customHeight="1">
      <c r="O2035" s="4" t="s">
        <v>3315</v>
      </c>
    </row>
    <row r="2036" ht="15.75" customHeight="1">
      <c r="O2036" s="4" t="s">
        <v>3316</v>
      </c>
    </row>
    <row r="2037" ht="15.75" customHeight="1">
      <c r="O2037" s="4" t="s">
        <v>3317</v>
      </c>
    </row>
    <row r="2038" ht="15.75" customHeight="1">
      <c r="O2038" s="4" t="s">
        <v>3318</v>
      </c>
    </row>
    <row r="2039" ht="15.75" customHeight="1">
      <c r="O2039" s="4" t="s">
        <v>3319</v>
      </c>
    </row>
    <row r="2040" ht="15.75" customHeight="1">
      <c r="O2040" s="4" t="s">
        <v>3320</v>
      </c>
    </row>
    <row r="2041" ht="15.75" customHeight="1">
      <c r="O2041" s="4" t="s">
        <v>3321</v>
      </c>
    </row>
    <row r="2042" ht="15.75" customHeight="1">
      <c r="O2042" s="4" t="s">
        <v>3322</v>
      </c>
    </row>
    <row r="2043" ht="15.75" customHeight="1">
      <c r="O2043" s="4" t="s">
        <v>3323</v>
      </c>
    </row>
    <row r="2044" ht="15.75" customHeight="1">
      <c r="O2044" s="4" t="s">
        <v>3324</v>
      </c>
    </row>
    <row r="2045" ht="15.75" customHeight="1">
      <c r="O2045" s="4" t="s">
        <v>3325</v>
      </c>
    </row>
    <row r="2046" ht="15.75" customHeight="1">
      <c r="O2046" s="4" t="s">
        <v>3326</v>
      </c>
    </row>
    <row r="2047" ht="15.75" customHeight="1">
      <c r="O2047" s="4" t="s">
        <v>3327</v>
      </c>
    </row>
    <row r="2048" ht="15.75" customHeight="1">
      <c r="O2048" s="4" t="s">
        <v>3328</v>
      </c>
    </row>
    <row r="2049" ht="15.75" customHeight="1">
      <c r="O2049" s="4" t="s">
        <v>3329</v>
      </c>
    </row>
    <row r="2050" ht="15.75" customHeight="1">
      <c r="O2050" s="4" t="s">
        <v>3330</v>
      </c>
    </row>
    <row r="2051" ht="15.75" customHeight="1">
      <c r="O2051" s="4" t="s">
        <v>3331</v>
      </c>
    </row>
    <row r="2052" ht="15.75" customHeight="1">
      <c r="O2052" s="4" t="s">
        <v>3332</v>
      </c>
    </row>
    <row r="2053" ht="15.75" customHeight="1">
      <c r="O2053" s="4" t="s">
        <v>3333</v>
      </c>
    </row>
    <row r="2054" ht="15.75" customHeight="1">
      <c r="O2054" s="4" t="s">
        <v>3334</v>
      </c>
    </row>
    <row r="2055" ht="15.75" customHeight="1">
      <c r="O2055" s="4" t="s">
        <v>3335</v>
      </c>
    </row>
    <row r="2056" ht="15.75" customHeight="1">
      <c r="O2056" s="4" t="s">
        <v>3336</v>
      </c>
    </row>
    <row r="2057" ht="15.75" customHeight="1">
      <c r="O2057" s="4" t="s">
        <v>3337</v>
      </c>
    </row>
    <row r="2058" ht="15.75" customHeight="1">
      <c r="O2058" s="4" t="s">
        <v>3338</v>
      </c>
    </row>
    <row r="2059" ht="15.75" customHeight="1">
      <c r="O2059" s="4" t="s">
        <v>3339</v>
      </c>
    </row>
    <row r="2060" ht="15.75" customHeight="1">
      <c r="O2060" s="4" t="s">
        <v>3340</v>
      </c>
    </row>
    <row r="2061" ht="15.75" customHeight="1">
      <c r="O2061" s="4" t="s">
        <v>3341</v>
      </c>
    </row>
    <row r="2062" ht="15.75" customHeight="1">
      <c r="O2062" s="4" t="s">
        <v>3342</v>
      </c>
    </row>
    <row r="2063" ht="15.75" customHeight="1">
      <c r="O2063" s="4" t="s">
        <v>3343</v>
      </c>
    </row>
    <row r="2064" ht="15.75" customHeight="1">
      <c r="O2064" s="4" t="s">
        <v>3344</v>
      </c>
    </row>
    <row r="2065" ht="15.75" customHeight="1">
      <c r="O2065" s="4" t="s">
        <v>3345</v>
      </c>
    </row>
    <row r="2066" ht="15.75" customHeight="1">
      <c r="O2066" s="4" t="s">
        <v>3346</v>
      </c>
    </row>
    <row r="2067" ht="15.75" customHeight="1">
      <c r="O2067" s="4" t="s">
        <v>3347</v>
      </c>
    </row>
    <row r="2068" ht="15.75" customHeight="1">
      <c r="O2068" s="4" t="s">
        <v>3348</v>
      </c>
    </row>
    <row r="2069" ht="15.75" customHeight="1">
      <c r="O2069" s="4" t="s">
        <v>3349</v>
      </c>
    </row>
    <row r="2070" ht="15.75" customHeight="1">
      <c r="O2070" s="4" t="s">
        <v>3350</v>
      </c>
    </row>
    <row r="2071" ht="15.75" customHeight="1">
      <c r="O2071" s="4" t="s">
        <v>3351</v>
      </c>
    </row>
    <row r="2072" ht="15.75" customHeight="1">
      <c r="O2072" s="4" t="s">
        <v>3352</v>
      </c>
    </row>
    <row r="2073" ht="15.75" customHeight="1">
      <c r="O2073" s="4" t="s">
        <v>3353</v>
      </c>
    </row>
    <row r="2074" ht="15.75" customHeight="1">
      <c r="O2074" s="4" t="s">
        <v>3354</v>
      </c>
    </row>
    <row r="2075" ht="15.75" customHeight="1">
      <c r="O2075" s="4" t="s">
        <v>3355</v>
      </c>
    </row>
    <row r="2076" ht="15.75" customHeight="1">
      <c r="O2076" s="4" t="s">
        <v>3356</v>
      </c>
    </row>
    <row r="2077" ht="15.75" customHeight="1">
      <c r="O2077" s="4" t="s">
        <v>3357</v>
      </c>
    </row>
    <row r="2078" ht="15.75" customHeight="1">
      <c r="O2078" s="4" t="s">
        <v>3358</v>
      </c>
    </row>
    <row r="2079" ht="15.75" customHeight="1">
      <c r="O2079" s="4" t="s">
        <v>3359</v>
      </c>
    </row>
    <row r="2080" ht="15.75" customHeight="1">
      <c r="O2080" s="4" t="s">
        <v>3360</v>
      </c>
    </row>
    <row r="2081" ht="15.75" customHeight="1">
      <c r="O2081" s="4" t="s">
        <v>3361</v>
      </c>
    </row>
    <row r="2082" ht="15.75" customHeight="1">
      <c r="O2082" s="4" t="s">
        <v>3362</v>
      </c>
    </row>
    <row r="2083" ht="15.75" customHeight="1">
      <c r="O2083" s="4" t="s">
        <v>3363</v>
      </c>
    </row>
    <row r="2084" ht="15.75" customHeight="1">
      <c r="O2084" s="4" t="s">
        <v>3364</v>
      </c>
    </row>
    <row r="2085" ht="15.75" customHeight="1">
      <c r="O2085" s="4" t="s">
        <v>3365</v>
      </c>
    </row>
    <row r="2086" ht="15.75" customHeight="1">
      <c r="O2086" s="4" t="s">
        <v>3366</v>
      </c>
    </row>
    <row r="2087" ht="15.75" customHeight="1">
      <c r="O2087" s="4" t="s">
        <v>3367</v>
      </c>
    </row>
    <row r="2088" ht="15.75" customHeight="1">
      <c r="O2088" s="4" t="s">
        <v>3368</v>
      </c>
    </row>
    <row r="2089" ht="15.75" customHeight="1">
      <c r="O2089" s="4" t="s">
        <v>3369</v>
      </c>
    </row>
    <row r="2090" ht="15.75" customHeight="1">
      <c r="O2090" s="4" t="s">
        <v>3370</v>
      </c>
    </row>
    <row r="2091" ht="15.75" customHeight="1">
      <c r="O2091" s="4" t="s">
        <v>3371</v>
      </c>
    </row>
    <row r="2092" ht="15.75" customHeight="1">
      <c r="O2092" s="4" t="s">
        <v>3372</v>
      </c>
    </row>
    <row r="2093" ht="15.75" customHeight="1">
      <c r="O2093" s="4" t="s">
        <v>3373</v>
      </c>
    </row>
    <row r="2094" ht="15.75" customHeight="1">
      <c r="O2094" s="4" t="s">
        <v>3374</v>
      </c>
    </row>
    <row r="2095" ht="15.75" customHeight="1">
      <c r="O2095" s="4" t="s">
        <v>3375</v>
      </c>
    </row>
    <row r="2096" ht="15.75" customHeight="1">
      <c r="O2096" s="4" t="s">
        <v>3376</v>
      </c>
    </row>
    <row r="2097" ht="15.75" customHeight="1">
      <c r="O2097" s="4" t="s">
        <v>3377</v>
      </c>
    </row>
    <row r="2098" ht="15.75" customHeight="1">
      <c r="O2098" s="4" t="s">
        <v>3378</v>
      </c>
    </row>
    <row r="2099" ht="15.75" customHeight="1">
      <c r="O2099" s="4" t="s">
        <v>3379</v>
      </c>
    </row>
    <row r="2100" ht="15.75" customHeight="1">
      <c r="O2100" s="4" t="s">
        <v>3380</v>
      </c>
    </row>
    <row r="2101" ht="15.75" customHeight="1">
      <c r="O2101" s="4" t="s">
        <v>3381</v>
      </c>
    </row>
    <row r="2102" ht="15.75" customHeight="1">
      <c r="O2102" s="4" t="s">
        <v>3382</v>
      </c>
    </row>
    <row r="2103" ht="15.75" customHeight="1">
      <c r="O2103" s="4" t="s">
        <v>3383</v>
      </c>
    </row>
    <row r="2104" ht="15.75" customHeight="1">
      <c r="O2104" s="4" t="s">
        <v>3384</v>
      </c>
    </row>
    <row r="2105" ht="15.75" customHeight="1">
      <c r="O2105" s="4" t="s">
        <v>3385</v>
      </c>
    </row>
    <row r="2106" ht="15.75" customHeight="1">
      <c r="O2106" s="4" t="s">
        <v>3386</v>
      </c>
    </row>
    <row r="2107" ht="15.75" customHeight="1">
      <c r="O2107" s="4" t="s">
        <v>3387</v>
      </c>
    </row>
    <row r="2108" ht="15.75" customHeight="1">
      <c r="O2108" s="4" t="s">
        <v>3388</v>
      </c>
    </row>
    <row r="2109" ht="15.75" customHeight="1">
      <c r="O2109" s="4" t="s">
        <v>3389</v>
      </c>
    </row>
    <row r="2110" ht="15.75" customHeight="1">
      <c r="O2110" s="4" t="s">
        <v>3390</v>
      </c>
    </row>
    <row r="2111" ht="15.75" customHeight="1">
      <c r="O2111" s="4" t="s">
        <v>3391</v>
      </c>
    </row>
    <row r="2112" ht="15.75" customHeight="1">
      <c r="O2112" s="4" t="s">
        <v>3392</v>
      </c>
    </row>
    <row r="2113" ht="15.75" customHeight="1">
      <c r="O2113" s="4" t="s">
        <v>3393</v>
      </c>
    </row>
    <row r="2114" ht="15.75" customHeight="1">
      <c r="O2114" s="4" t="s">
        <v>3394</v>
      </c>
    </row>
    <row r="2115" ht="15.75" customHeight="1">
      <c r="O2115" s="4" t="s">
        <v>3395</v>
      </c>
    </row>
    <row r="2116" ht="15.75" customHeight="1">
      <c r="O2116" s="4" t="s">
        <v>3396</v>
      </c>
    </row>
    <row r="2117" ht="15.75" customHeight="1">
      <c r="O2117" s="4" t="s">
        <v>3397</v>
      </c>
    </row>
    <row r="2118" ht="15.75" customHeight="1">
      <c r="O2118" s="4" t="s">
        <v>3398</v>
      </c>
    </row>
    <row r="2119" ht="15.75" customHeight="1">
      <c r="O2119" s="4" t="s">
        <v>3399</v>
      </c>
    </row>
    <row r="2120" ht="15.75" customHeight="1">
      <c r="O2120" s="4" t="s">
        <v>3400</v>
      </c>
    </row>
    <row r="2121" ht="15.75" customHeight="1">
      <c r="O2121" s="4" t="s">
        <v>3401</v>
      </c>
    </row>
    <row r="2122" ht="15.75" customHeight="1">
      <c r="O2122" s="4" t="s">
        <v>3402</v>
      </c>
    </row>
    <row r="2123" ht="15.75" customHeight="1">
      <c r="O2123" s="4" t="s">
        <v>3403</v>
      </c>
    </row>
    <row r="2124" ht="15.75" customHeight="1">
      <c r="O2124" s="4" t="s">
        <v>3404</v>
      </c>
    </row>
    <row r="2125" ht="15.75" customHeight="1">
      <c r="O2125" s="4" t="s">
        <v>3405</v>
      </c>
    </row>
    <row r="2126" ht="15.75" customHeight="1">
      <c r="O2126" s="4" t="s">
        <v>3406</v>
      </c>
    </row>
    <row r="2127" ht="15.75" customHeight="1">
      <c r="O2127" s="4" t="s">
        <v>3407</v>
      </c>
    </row>
    <row r="2128" ht="15.75" customHeight="1">
      <c r="O2128" s="4" t="s">
        <v>3408</v>
      </c>
    </row>
    <row r="2129" ht="15.75" customHeight="1">
      <c r="O2129" s="4" t="s">
        <v>3409</v>
      </c>
    </row>
    <row r="2130" ht="15.75" customHeight="1">
      <c r="O2130" s="4" t="s">
        <v>3410</v>
      </c>
    </row>
    <row r="2131" ht="15.75" customHeight="1">
      <c r="O2131" s="4" t="s">
        <v>3411</v>
      </c>
    </row>
    <row r="2132" ht="15.75" customHeight="1">
      <c r="O2132" s="4" t="s">
        <v>3412</v>
      </c>
    </row>
    <row r="2133" ht="15.75" customHeight="1">
      <c r="O2133" s="4" t="s">
        <v>3413</v>
      </c>
    </row>
    <row r="2134" ht="15.75" customHeight="1">
      <c r="O2134" s="4" t="s">
        <v>3414</v>
      </c>
    </row>
    <row r="2135" ht="15.75" customHeight="1">
      <c r="O2135" s="4" t="s">
        <v>3415</v>
      </c>
    </row>
    <row r="2136" ht="15.75" customHeight="1">
      <c r="O2136" s="4" t="s">
        <v>3416</v>
      </c>
    </row>
    <row r="2137" ht="15.75" customHeight="1">
      <c r="O2137" s="4" t="s">
        <v>3417</v>
      </c>
    </row>
    <row r="2138" ht="15.75" customHeight="1">
      <c r="O2138" s="4" t="s">
        <v>3418</v>
      </c>
    </row>
    <row r="2139" ht="15.75" customHeight="1">
      <c r="O2139" s="4" t="s">
        <v>3419</v>
      </c>
    </row>
    <row r="2140" ht="15.75" customHeight="1">
      <c r="O2140" s="4" t="s">
        <v>3420</v>
      </c>
    </row>
    <row r="2141" ht="15.75" customHeight="1">
      <c r="O2141" s="4" t="s">
        <v>3421</v>
      </c>
    </row>
    <row r="2142" ht="15.75" customHeight="1">
      <c r="O2142" s="4" t="s">
        <v>3422</v>
      </c>
    </row>
    <row r="2143" ht="15.75" customHeight="1">
      <c r="O2143" s="4" t="s">
        <v>3423</v>
      </c>
    </row>
    <row r="2144" ht="15.75" customHeight="1">
      <c r="O2144" s="4" t="s">
        <v>3424</v>
      </c>
    </row>
    <row r="2145" ht="15.75" customHeight="1">
      <c r="O2145" s="4" t="s">
        <v>3425</v>
      </c>
    </row>
    <row r="2146" ht="15.75" customHeight="1">
      <c r="O2146" s="4" t="s">
        <v>3426</v>
      </c>
    </row>
    <row r="2147" ht="15.75" customHeight="1">
      <c r="O2147" s="4" t="s">
        <v>3427</v>
      </c>
    </row>
    <row r="2148" ht="15.75" customHeight="1">
      <c r="O2148" s="4" t="s">
        <v>3428</v>
      </c>
    </row>
    <row r="2149" ht="15.75" customHeight="1">
      <c r="O2149" s="4" t="s">
        <v>3429</v>
      </c>
    </row>
    <row r="2150" ht="15.75" customHeight="1">
      <c r="O2150" s="4" t="s">
        <v>3430</v>
      </c>
    </row>
    <row r="2151" ht="15.75" customHeight="1">
      <c r="O2151" s="4" t="s">
        <v>3431</v>
      </c>
    </row>
    <row r="2152" ht="15.75" customHeight="1">
      <c r="O2152" s="4" t="s">
        <v>3432</v>
      </c>
    </row>
    <row r="2153" ht="15.75" customHeight="1">
      <c r="O2153" s="4" t="s">
        <v>3433</v>
      </c>
    </row>
    <row r="2154" ht="15.75" customHeight="1">
      <c r="O2154" s="4" t="s">
        <v>3434</v>
      </c>
    </row>
    <row r="2155" ht="15.75" customHeight="1">
      <c r="O2155" s="4" t="s">
        <v>3435</v>
      </c>
    </row>
    <row r="2156" ht="15.75" customHeight="1">
      <c r="O2156" s="4" t="s">
        <v>3436</v>
      </c>
    </row>
    <row r="2157" ht="15.75" customHeight="1">
      <c r="O2157" s="4" t="s">
        <v>3437</v>
      </c>
    </row>
    <row r="2158" ht="15.75" customHeight="1">
      <c r="O2158" s="4" t="s">
        <v>3438</v>
      </c>
    </row>
    <row r="2159" ht="15.75" customHeight="1">
      <c r="O2159" s="4" t="s">
        <v>3439</v>
      </c>
    </row>
    <row r="2160" ht="15.75" customHeight="1">
      <c r="O2160" s="4" t="s">
        <v>3440</v>
      </c>
    </row>
    <row r="2161" ht="15.75" customHeight="1">
      <c r="O2161" s="4" t="s">
        <v>3441</v>
      </c>
    </row>
    <row r="2162" ht="15.75" customHeight="1">
      <c r="O2162" s="4" t="s">
        <v>3442</v>
      </c>
    </row>
    <row r="2163" ht="15.75" customHeight="1">
      <c r="O2163" s="4" t="s">
        <v>3443</v>
      </c>
    </row>
    <row r="2164" ht="15.75" customHeight="1">
      <c r="O2164" s="4" t="s">
        <v>3444</v>
      </c>
    </row>
    <row r="2165" ht="15.75" customHeight="1">
      <c r="O2165" s="5" t="s">
        <v>3445</v>
      </c>
    </row>
    <row r="2166" ht="15.75" customHeight="1">
      <c r="O2166" s="4" t="s">
        <v>3446</v>
      </c>
    </row>
    <row r="2167" ht="15.75" customHeight="1">
      <c r="O2167" s="4" t="s">
        <v>3447</v>
      </c>
    </row>
    <row r="2168" ht="15.75" customHeight="1">
      <c r="O2168" s="4" t="s">
        <v>3448</v>
      </c>
    </row>
    <row r="2169" ht="15.75" customHeight="1">
      <c r="O2169" s="4" t="s">
        <v>3449</v>
      </c>
    </row>
    <row r="2170" ht="15.75" customHeight="1">
      <c r="O2170" s="4" t="s">
        <v>3450</v>
      </c>
    </row>
    <row r="2171" ht="15.75" customHeight="1">
      <c r="O2171" s="4" t="s">
        <v>3451</v>
      </c>
    </row>
    <row r="2172" ht="15.75" customHeight="1">
      <c r="O2172" s="4" t="s">
        <v>3452</v>
      </c>
    </row>
    <row r="2173" ht="15.75" customHeight="1">
      <c r="O2173" s="4" t="s">
        <v>3453</v>
      </c>
    </row>
    <row r="2174" ht="15.75" customHeight="1">
      <c r="O2174" s="4" t="s">
        <v>3454</v>
      </c>
    </row>
    <row r="2175" ht="15.75" customHeight="1">
      <c r="O2175" s="4" t="s">
        <v>3455</v>
      </c>
    </row>
    <row r="2176" ht="15.75" customHeight="1">
      <c r="O2176" s="4" t="s">
        <v>3456</v>
      </c>
    </row>
    <row r="2177" ht="15.75" customHeight="1">
      <c r="O2177" s="4" t="s">
        <v>3457</v>
      </c>
    </row>
    <row r="2178" ht="15.75" customHeight="1">
      <c r="O2178" s="4" t="s">
        <v>3458</v>
      </c>
    </row>
    <row r="2179" ht="15.75" customHeight="1">
      <c r="O2179" s="4" t="s">
        <v>3459</v>
      </c>
    </row>
    <row r="2180" ht="15.75" customHeight="1">
      <c r="O2180" s="4" t="s">
        <v>3460</v>
      </c>
    </row>
    <row r="2181" ht="15.75" customHeight="1">
      <c r="O2181" s="4" t="s">
        <v>3461</v>
      </c>
    </row>
    <row r="2182" ht="15.75" customHeight="1">
      <c r="O2182" s="4" t="s">
        <v>3462</v>
      </c>
    </row>
    <row r="2183" ht="15.75" customHeight="1">
      <c r="O2183" s="4" t="s">
        <v>3463</v>
      </c>
    </row>
    <row r="2184" ht="15.75" customHeight="1">
      <c r="O2184" s="4" t="s">
        <v>3464</v>
      </c>
    </row>
    <row r="2185" ht="15.75" customHeight="1">
      <c r="O2185" s="4" t="s">
        <v>3465</v>
      </c>
    </row>
    <row r="2186" ht="15.75" customHeight="1">
      <c r="O2186" s="4" t="s">
        <v>3466</v>
      </c>
    </row>
    <row r="2187" ht="15.75" customHeight="1">
      <c r="O2187" s="4" t="s">
        <v>3467</v>
      </c>
    </row>
    <row r="2188" ht="15.75" customHeight="1">
      <c r="O2188" s="4" t="s">
        <v>3468</v>
      </c>
    </row>
    <row r="2189" ht="15.75" customHeight="1">
      <c r="O2189" s="4" t="s">
        <v>3469</v>
      </c>
    </row>
    <row r="2190" ht="15.75" customHeight="1">
      <c r="O2190" s="4" t="s">
        <v>3470</v>
      </c>
    </row>
    <row r="2191" ht="15.75" customHeight="1">
      <c r="O2191" s="4" t="s">
        <v>3471</v>
      </c>
    </row>
    <row r="2192" ht="15.75" customHeight="1">
      <c r="O2192" s="4" t="s">
        <v>3472</v>
      </c>
    </row>
    <row r="2193" ht="15.75" customHeight="1">
      <c r="O2193" s="4" t="s">
        <v>3473</v>
      </c>
    </row>
    <row r="2194" ht="15.75" customHeight="1">
      <c r="O2194" s="4" t="s">
        <v>3474</v>
      </c>
    </row>
    <row r="2195" ht="15.75" customHeight="1">
      <c r="O2195" s="4" t="s">
        <v>3475</v>
      </c>
    </row>
    <row r="2196" ht="15.75" customHeight="1">
      <c r="O2196" s="4" t="s">
        <v>3476</v>
      </c>
    </row>
    <row r="2197" ht="15.75" customHeight="1">
      <c r="O2197" s="4" t="s">
        <v>3477</v>
      </c>
    </row>
    <row r="2198" ht="15.75" customHeight="1">
      <c r="O2198" s="4" t="s">
        <v>3478</v>
      </c>
    </row>
    <row r="2199" ht="15.75" customHeight="1">
      <c r="O2199" s="4" t="s">
        <v>3479</v>
      </c>
    </row>
    <row r="2200" ht="15.75" customHeight="1">
      <c r="O2200" s="4" t="s">
        <v>3480</v>
      </c>
    </row>
    <row r="2201" ht="15.75" customHeight="1">
      <c r="O2201" s="4" t="s">
        <v>3481</v>
      </c>
    </row>
    <row r="2202" ht="15.75" customHeight="1">
      <c r="O2202" s="4" t="s">
        <v>3482</v>
      </c>
    </row>
    <row r="2203" ht="15.75" customHeight="1">
      <c r="O2203" s="4" t="s">
        <v>3483</v>
      </c>
    </row>
    <row r="2204" ht="15.75" customHeight="1">
      <c r="O2204" s="4" t="s">
        <v>3484</v>
      </c>
    </row>
    <row r="2205" ht="15.75" customHeight="1">
      <c r="O2205" s="4" t="s">
        <v>3485</v>
      </c>
    </row>
    <row r="2206" ht="15.75" customHeight="1">
      <c r="O2206" s="4" t="s">
        <v>3486</v>
      </c>
    </row>
    <row r="2207" ht="15.75" customHeight="1">
      <c r="O2207" s="4" t="s">
        <v>3487</v>
      </c>
    </row>
    <row r="2208" ht="15.75" customHeight="1">
      <c r="O2208" s="4" t="s">
        <v>3488</v>
      </c>
    </row>
    <row r="2209" ht="15.75" customHeight="1">
      <c r="O2209" s="4" t="s">
        <v>3489</v>
      </c>
    </row>
    <row r="2210" ht="15.75" customHeight="1">
      <c r="O2210" s="4" t="s">
        <v>3490</v>
      </c>
    </row>
    <row r="2211" ht="15.75" customHeight="1">
      <c r="O2211" s="4" t="s">
        <v>3491</v>
      </c>
    </row>
    <row r="2212" ht="15.75" customHeight="1">
      <c r="O2212" s="4" t="s">
        <v>3492</v>
      </c>
    </row>
    <row r="2213" ht="15.75" customHeight="1">
      <c r="O2213" s="4" t="s">
        <v>3493</v>
      </c>
    </row>
    <row r="2214" ht="15.75" customHeight="1">
      <c r="O2214" s="4" t="s">
        <v>3494</v>
      </c>
    </row>
    <row r="2215" ht="15.75" customHeight="1">
      <c r="O2215" s="4" t="s">
        <v>3495</v>
      </c>
    </row>
    <row r="2216" ht="15.75" customHeight="1">
      <c r="O2216" s="4" t="s">
        <v>3496</v>
      </c>
    </row>
    <row r="2217" ht="15.75" customHeight="1">
      <c r="O2217" s="4" t="s">
        <v>3497</v>
      </c>
    </row>
    <row r="2218" ht="15.75" customHeight="1">
      <c r="O2218" s="4" t="s">
        <v>3498</v>
      </c>
    </row>
    <row r="2219" ht="15.75" customHeight="1">
      <c r="O2219" s="4" t="s">
        <v>3499</v>
      </c>
    </row>
    <row r="2220" ht="15.75" customHeight="1">
      <c r="O2220" s="4" t="s">
        <v>3500</v>
      </c>
    </row>
    <row r="2221" ht="15.75" customHeight="1">
      <c r="O2221" s="4" t="s">
        <v>3501</v>
      </c>
    </row>
    <row r="2222" ht="15.75" customHeight="1">
      <c r="O2222" s="4" t="s">
        <v>3502</v>
      </c>
    </row>
    <row r="2223" ht="15.75" customHeight="1">
      <c r="O2223" s="4" t="s">
        <v>3503</v>
      </c>
    </row>
    <row r="2224" ht="15.75" customHeight="1">
      <c r="O2224" s="4" t="s">
        <v>3504</v>
      </c>
    </row>
    <row r="2225" ht="15.75" customHeight="1">
      <c r="O2225" s="4" t="s">
        <v>3505</v>
      </c>
    </row>
    <row r="2226" ht="15.75" customHeight="1">
      <c r="O2226" s="4" t="s">
        <v>3506</v>
      </c>
    </row>
    <row r="2227" ht="15.75" customHeight="1">
      <c r="O2227" s="4" t="s">
        <v>3507</v>
      </c>
    </row>
    <row r="2228" ht="15.75" customHeight="1">
      <c r="O2228" s="4" t="s">
        <v>3508</v>
      </c>
    </row>
    <row r="2229" ht="15.75" customHeight="1">
      <c r="O2229" s="4" t="s">
        <v>3509</v>
      </c>
    </row>
    <row r="2230" ht="15.75" customHeight="1">
      <c r="O2230" s="4" t="s">
        <v>3510</v>
      </c>
    </row>
    <row r="2231" ht="15.75" customHeight="1">
      <c r="O2231" s="4" t="s">
        <v>3511</v>
      </c>
    </row>
    <row r="2232" ht="15.75" customHeight="1">
      <c r="O2232" s="4" t="s">
        <v>3512</v>
      </c>
    </row>
    <row r="2233" ht="15.75" customHeight="1">
      <c r="O2233" s="4" t="s">
        <v>3513</v>
      </c>
    </row>
    <row r="2234" ht="15.75" customHeight="1">
      <c r="O2234" s="4" t="s">
        <v>3514</v>
      </c>
    </row>
    <row r="2235" ht="15.75" customHeight="1">
      <c r="O2235" s="4" t="s">
        <v>3515</v>
      </c>
    </row>
    <row r="2236" ht="15.75" customHeight="1">
      <c r="O2236" s="4" t="s">
        <v>3516</v>
      </c>
    </row>
    <row r="2237" ht="15.75" customHeight="1">
      <c r="O2237" s="4" t="s">
        <v>3517</v>
      </c>
    </row>
    <row r="2238" ht="15.75" customHeight="1">
      <c r="O2238" s="4" t="s">
        <v>3518</v>
      </c>
    </row>
    <row r="2239" ht="15.75" customHeight="1">
      <c r="O2239" s="4" t="s">
        <v>3519</v>
      </c>
    </row>
    <row r="2240" ht="15.75" customHeight="1">
      <c r="O2240" s="4" t="s">
        <v>3520</v>
      </c>
    </row>
    <row r="2241" ht="15.75" customHeight="1">
      <c r="O2241" s="4" t="s">
        <v>3521</v>
      </c>
    </row>
    <row r="2242" ht="15.75" customHeight="1">
      <c r="O2242" s="4" t="s">
        <v>3522</v>
      </c>
    </row>
    <row r="2243" ht="15.75" customHeight="1">
      <c r="O2243" s="4" t="s">
        <v>3523</v>
      </c>
    </row>
    <row r="2244" ht="15.75" customHeight="1">
      <c r="O2244" s="4" t="s">
        <v>3524</v>
      </c>
    </row>
    <row r="2245" ht="15.75" customHeight="1">
      <c r="O2245" s="4" t="s">
        <v>3525</v>
      </c>
    </row>
    <row r="2246" ht="15.75" customHeight="1">
      <c r="O2246" s="4" t="s">
        <v>3526</v>
      </c>
    </row>
    <row r="2247" ht="15.75" customHeight="1">
      <c r="O2247" s="4" t="s">
        <v>3527</v>
      </c>
    </row>
    <row r="2248" ht="15.75" customHeight="1">
      <c r="O2248" s="4" t="s">
        <v>3528</v>
      </c>
    </row>
    <row r="2249" ht="15.75" customHeight="1">
      <c r="O2249" s="4" t="s">
        <v>3529</v>
      </c>
    </row>
    <row r="2250" ht="15.75" customHeight="1">
      <c r="O2250" s="4" t="s">
        <v>3530</v>
      </c>
    </row>
    <row r="2251" ht="15.75" customHeight="1">
      <c r="O2251" s="4" t="s">
        <v>3531</v>
      </c>
    </row>
    <row r="2252" ht="15.75" customHeight="1">
      <c r="O2252" s="4" t="s">
        <v>3532</v>
      </c>
    </row>
    <row r="2253" ht="15.75" customHeight="1">
      <c r="O2253" s="4" t="s">
        <v>3533</v>
      </c>
    </row>
    <row r="2254" ht="15.75" customHeight="1">
      <c r="O2254" s="4" t="s">
        <v>3534</v>
      </c>
    </row>
    <row r="2255" ht="15.75" customHeight="1">
      <c r="O2255" s="4" t="s">
        <v>3535</v>
      </c>
    </row>
    <row r="2256" ht="15.75" customHeight="1">
      <c r="O2256" s="4" t="s">
        <v>3536</v>
      </c>
    </row>
    <row r="2257" ht="15.75" customHeight="1">
      <c r="O2257" s="4" t="s">
        <v>3537</v>
      </c>
    </row>
    <row r="2258" ht="15.75" customHeight="1">
      <c r="O2258" s="4" t="s">
        <v>3538</v>
      </c>
    </row>
    <row r="2259" ht="15.75" customHeight="1">
      <c r="O2259" s="4" t="s">
        <v>3539</v>
      </c>
    </row>
    <row r="2260" ht="15.75" customHeight="1">
      <c r="O2260" s="4" t="s">
        <v>3540</v>
      </c>
    </row>
    <row r="2261" ht="15.75" customHeight="1">
      <c r="O2261" s="4" t="s">
        <v>3541</v>
      </c>
    </row>
    <row r="2262" ht="15.75" customHeight="1">
      <c r="O2262" s="4" t="s">
        <v>3542</v>
      </c>
    </row>
    <row r="2263" ht="15.75" customHeight="1">
      <c r="O2263" s="4" t="s">
        <v>3543</v>
      </c>
    </row>
    <row r="2264" ht="15.75" customHeight="1">
      <c r="O2264" s="4" t="s">
        <v>3544</v>
      </c>
    </row>
    <row r="2265" ht="15.75" customHeight="1">
      <c r="O2265" s="4" t="s">
        <v>3545</v>
      </c>
    </row>
    <row r="2266" ht="15.75" customHeight="1">
      <c r="O2266" s="4" t="s">
        <v>3546</v>
      </c>
    </row>
    <row r="2267" ht="15.75" customHeight="1">
      <c r="O2267" s="4" t="s">
        <v>3547</v>
      </c>
    </row>
    <row r="2268" ht="15.75" customHeight="1">
      <c r="O2268" s="4" t="s">
        <v>3548</v>
      </c>
    </row>
    <row r="2269" ht="15.75" customHeight="1">
      <c r="O2269" s="4" t="s">
        <v>3549</v>
      </c>
    </row>
    <row r="2270" ht="15.75" customHeight="1">
      <c r="O2270" s="4" t="s">
        <v>3550</v>
      </c>
    </row>
    <row r="2271" ht="15.75" customHeight="1">
      <c r="O2271" s="4" t="s">
        <v>3551</v>
      </c>
    </row>
    <row r="2272" ht="15.75" customHeight="1">
      <c r="O2272" s="4" t="s">
        <v>3552</v>
      </c>
    </row>
    <row r="2273" ht="15.75" customHeight="1">
      <c r="O2273" s="4" t="s">
        <v>3553</v>
      </c>
    </row>
    <row r="2274" ht="15.75" customHeight="1">
      <c r="O2274" s="4" t="s">
        <v>3554</v>
      </c>
    </row>
    <row r="2275" ht="15.75" customHeight="1">
      <c r="O2275" s="4" t="s">
        <v>3555</v>
      </c>
    </row>
    <row r="2276" ht="15.75" customHeight="1">
      <c r="O2276" s="4" t="s">
        <v>3556</v>
      </c>
    </row>
    <row r="2277" ht="15.75" customHeight="1">
      <c r="O2277" s="4" t="s">
        <v>3557</v>
      </c>
    </row>
    <row r="2278" ht="15.75" customHeight="1">
      <c r="O2278" s="4" t="s">
        <v>3558</v>
      </c>
    </row>
    <row r="2279" ht="15.75" customHeight="1">
      <c r="O2279" s="4" t="s">
        <v>3559</v>
      </c>
    </row>
    <row r="2280" ht="15.75" customHeight="1">
      <c r="O2280" s="4" t="s">
        <v>3560</v>
      </c>
    </row>
    <row r="2281" ht="15.75" customHeight="1">
      <c r="O2281" s="4" t="s">
        <v>3561</v>
      </c>
    </row>
    <row r="2282" ht="15.75" customHeight="1">
      <c r="O2282" s="4" t="s">
        <v>3562</v>
      </c>
    </row>
    <row r="2283" ht="15.75" customHeight="1">
      <c r="O2283" s="4" t="s">
        <v>3563</v>
      </c>
    </row>
    <row r="2284" ht="15.75" customHeight="1">
      <c r="O2284" s="4" t="s">
        <v>3564</v>
      </c>
    </row>
    <row r="2285" ht="15.75" customHeight="1">
      <c r="O2285" s="4" t="s">
        <v>3565</v>
      </c>
    </row>
    <row r="2286" ht="15.75" customHeight="1">
      <c r="O2286" s="4" t="s">
        <v>3566</v>
      </c>
    </row>
    <row r="2287" ht="15.75" customHeight="1">
      <c r="O2287" s="4" t="s">
        <v>3567</v>
      </c>
    </row>
    <row r="2288" ht="15.75" customHeight="1">
      <c r="O2288" s="4" t="s">
        <v>3568</v>
      </c>
    </row>
    <row r="2289" ht="15.75" customHeight="1">
      <c r="O2289" s="4" t="s">
        <v>3569</v>
      </c>
    </row>
    <row r="2290" ht="15.75" customHeight="1">
      <c r="O2290" s="4" t="s">
        <v>3570</v>
      </c>
    </row>
    <row r="2291" ht="15.75" customHeight="1">
      <c r="O2291" s="4" t="s">
        <v>3571</v>
      </c>
    </row>
    <row r="2292" ht="15.75" customHeight="1">
      <c r="O2292" s="4" t="s">
        <v>3572</v>
      </c>
    </row>
    <row r="2293" ht="15.75" customHeight="1">
      <c r="O2293" s="4" t="s">
        <v>3573</v>
      </c>
    </row>
    <row r="2294" ht="15.75" customHeight="1">
      <c r="O2294" s="4" t="s">
        <v>3574</v>
      </c>
    </row>
    <row r="2295" ht="15.75" customHeight="1">
      <c r="O2295" s="4" t="s">
        <v>3575</v>
      </c>
    </row>
    <row r="2296" ht="15.75" customHeight="1">
      <c r="O2296" s="4" t="s">
        <v>3576</v>
      </c>
    </row>
    <row r="2297" ht="15.75" customHeight="1">
      <c r="O2297" s="4" t="s">
        <v>3577</v>
      </c>
    </row>
    <row r="2298" ht="15.75" customHeight="1">
      <c r="O2298" s="4" t="s">
        <v>3578</v>
      </c>
    </row>
    <row r="2299" ht="15.75" customHeight="1">
      <c r="O2299" s="4" t="s">
        <v>3579</v>
      </c>
    </row>
    <row r="2300" ht="15.75" customHeight="1">
      <c r="O2300" s="4" t="s">
        <v>3580</v>
      </c>
    </row>
    <row r="2301" ht="15.75" customHeight="1">
      <c r="O2301" s="4" t="s">
        <v>3581</v>
      </c>
    </row>
    <row r="2302" ht="15.75" customHeight="1">
      <c r="O2302" s="4" t="s">
        <v>3582</v>
      </c>
    </row>
    <row r="2303" ht="15.75" customHeight="1">
      <c r="O2303" s="4" t="s">
        <v>3583</v>
      </c>
    </row>
    <row r="2304" ht="15.75" customHeight="1">
      <c r="O2304" s="4" t="s">
        <v>3584</v>
      </c>
    </row>
    <row r="2305" ht="15.75" customHeight="1">
      <c r="O2305" s="4" t="s">
        <v>3585</v>
      </c>
    </row>
    <row r="2306" ht="15.75" customHeight="1">
      <c r="O2306" s="4" t="s">
        <v>3586</v>
      </c>
    </row>
    <row r="2307" ht="15.75" customHeight="1">
      <c r="O2307" s="4" t="s">
        <v>3587</v>
      </c>
    </row>
    <row r="2308" ht="15.75" customHeight="1">
      <c r="O2308" s="4" t="s">
        <v>3588</v>
      </c>
    </row>
    <row r="2309" ht="15.75" customHeight="1">
      <c r="O2309" s="4" t="s">
        <v>3589</v>
      </c>
    </row>
    <row r="2310" ht="15.75" customHeight="1">
      <c r="O2310" s="4" t="s">
        <v>3590</v>
      </c>
    </row>
    <row r="2311" ht="15.75" customHeight="1">
      <c r="O2311" s="4" t="s">
        <v>3591</v>
      </c>
    </row>
    <row r="2312" ht="15.75" customHeight="1">
      <c r="O2312" s="4" t="s">
        <v>3592</v>
      </c>
    </row>
    <row r="2313" ht="15.75" customHeight="1">
      <c r="O2313" s="4" t="s">
        <v>3593</v>
      </c>
    </row>
    <row r="2314" ht="15.75" customHeight="1">
      <c r="O2314" s="4" t="s">
        <v>3594</v>
      </c>
    </row>
    <row r="2315" ht="15.75" customHeight="1">
      <c r="O2315" s="4" t="s">
        <v>3595</v>
      </c>
    </row>
    <row r="2316" ht="15.75" customHeight="1">
      <c r="O2316" s="4" t="s">
        <v>3596</v>
      </c>
    </row>
    <row r="2317" ht="15.75" customHeight="1">
      <c r="O2317" s="4" t="s">
        <v>3597</v>
      </c>
    </row>
    <row r="2318" ht="15.75" customHeight="1">
      <c r="O2318" s="4" t="s">
        <v>3598</v>
      </c>
    </row>
    <row r="2319" ht="15.75" customHeight="1">
      <c r="O2319" s="4" t="s">
        <v>3599</v>
      </c>
    </row>
    <row r="2320" ht="15.75" customHeight="1">
      <c r="O2320" s="4" t="s">
        <v>3600</v>
      </c>
    </row>
    <row r="2321" ht="15.75" customHeight="1">
      <c r="O2321" s="4" t="s">
        <v>3601</v>
      </c>
    </row>
    <row r="2322" ht="15.75" customHeight="1">
      <c r="O2322" s="4" t="s">
        <v>3602</v>
      </c>
    </row>
    <row r="2323" ht="15.75" customHeight="1">
      <c r="O2323" s="4" t="s">
        <v>3603</v>
      </c>
    </row>
    <row r="2324" ht="15.75" customHeight="1">
      <c r="O2324" s="4" t="s">
        <v>3604</v>
      </c>
    </row>
    <row r="2325" ht="15.75" customHeight="1">
      <c r="O2325" s="4" t="s">
        <v>3605</v>
      </c>
    </row>
    <row r="2326" ht="15.75" customHeight="1">
      <c r="O2326" s="4" t="s">
        <v>3606</v>
      </c>
    </row>
    <row r="2327" ht="15.75" customHeight="1">
      <c r="O2327" s="4" t="s">
        <v>3607</v>
      </c>
    </row>
    <row r="2328" ht="15.75" customHeight="1">
      <c r="O2328" s="4" t="s">
        <v>3608</v>
      </c>
    </row>
    <row r="2329" ht="15.75" customHeight="1">
      <c r="O2329" s="4" t="s">
        <v>3609</v>
      </c>
    </row>
    <row r="2330" ht="15.75" customHeight="1">
      <c r="O2330" s="4" t="s">
        <v>3610</v>
      </c>
    </row>
    <row r="2331" ht="15.75" customHeight="1">
      <c r="O2331" s="4" t="s">
        <v>3611</v>
      </c>
    </row>
    <row r="2332" ht="15.75" customHeight="1">
      <c r="O2332" s="4" t="s">
        <v>3612</v>
      </c>
    </row>
    <row r="2333" ht="15.75" customHeight="1">
      <c r="O2333" s="4" t="s">
        <v>3613</v>
      </c>
    </row>
    <row r="2334" ht="15.75" customHeight="1">
      <c r="O2334" s="4" t="s">
        <v>3614</v>
      </c>
    </row>
    <row r="2335" ht="15.75" customHeight="1">
      <c r="O2335" s="4" t="s">
        <v>3615</v>
      </c>
    </row>
    <row r="2336" ht="15.75" customHeight="1">
      <c r="O2336" s="4" t="s">
        <v>3616</v>
      </c>
    </row>
    <row r="2337" ht="15.75" customHeight="1">
      <c r="O2337" s="4" t="s">
        <v>3617</v>
      </c>
    </row>
    <row r="2338" ht="15.75" customHeight="1">
      <c r="O2338" s="4" t="s">
        <v>3618</v>
      </c>
    </row>
    <row r="2339" ht="15.75" customHeight="1">
      <c r="O2339" s="4" t="s">
        <v>3619</v>
      </c>
    </row>
    <row r="2340" ht="15.75" customHeight="1">
      <c r="O2340" s="4" t="s">
        <v>3620</v>
      </c>
    </row>
    <row r="2341" ht="15.75" customHeight="1">
      <c r="O2341" s="4" t="s">
        <v>3621</v>
      </c>
    </row>
    <row r="2342" ht="15.75" customHeight="1">
      <c r="O2342" s="4" t="s">
        <v>3622</v>
      </c>
    </row>
    <row r="2343" ht="15.75" customHeight="1">
      <c r="O2343" s="4" t="s">
        <v>3623</v>
      </c>
    </row>
    <row r="2344" ht="15.75" customHeight="1">
      <c r="O2344" s="4" t="s">
        <v>3624</v>
      </c>
    </row>
    <row r="2345" ht="15.75" customHeight="1">
      <c r="O2345" s="4" t="s">
        <v>3625</v>
      </c>
    </row>
    <row r="2346" ht="15.75" customHeight="1">
      <c r="O2346" s="4" t="s">
        <v>3626</v>
      </c>
    </row>
    <row r="2347" ht="15.75" customHeight="1">
      <c r="O2347" s="4" t="s">
        <v>3627</v>
      </c>
    </row>
    <row r="2348" ht="15.75" customHeight="1">
      <c r="O2348" s="4" t="s">
        <v>3628</v>
      </c>
    </row>
    <row r="2349" ht="15.75" customHeight="1">
      <c r="O2349" s="4" t="s">
        <v>3629</v>
      </c>
    </row>
    <row r="2350" ht="15.75" customHeight="1">
      <c r="O2350" s="4" t="s">
        <v>3630</v>
      </c>
    </row>
    <row r="2351" ht="15.75" customHeight="1">
      <c r="O2351" s="4" t="s">
        <v>3631</v>
      </c>
    </row>
    <row r="2352" ht="15.75" customHeight="1">
      <c r="O2352" s="4" t="s">
        <v>3632</v>
      </c>
    </row>
    <row r="2353" ht="15.75" customHeight="1">
      <c r="O2353" s="4" t="s">
        <v>3633</v>
      </c>
    </row>
    <row r="2354" ht="15.75" customHeight="1">
      <c r="O2354" s="4" t="s">
        <v>3634</v>
      </c>
    </row>
    <row r="2355" ht="15.75" customHeight="1">
      <c r="O2355" s="4" t="s">
        <v>3635</v>
      </c>
    </row>
    <row r="2356" ht="15.75" customHeight="1">
      <c r="O2356" s="4" t="s">
        <v>3636</v>
      </c>
    </row>
    <row r="2357" ht="15.75" customHeight="1">
      <c r="O2357" s="4" t="s">
        <v>3637</v>
      </c>
    </row>
    <row r="2358" ht="15.75" customHeight="1">
      <c r="O2358" s="4" t="s">
        <v>3638</v>
      </c>
    </row>
    <row r="2359" ht="15.75" customHeight="1">
      <c r="O2359" s="4" t="s">
        <v>3639</v>
      </c>
    </row>
    <row r="2360" ht="15.75" customHeight="1">
      <c r="O2360" s="4" t="s">
        <v>3640</v>
      </c>
    </row>
    <row r="2361" ht="15.75" customHeight="1">
      <c r="O2361" s="4" t="s">
        <v>3641</v>
      </c>
    </row>
    <row r="2362" ht="15.75" customHeight="1">
      <c r="O2362" s="4" t="s">
        <v>3642</v>
      </c>
    </row>
    <row r="2363" ht="15.75" customHeight="1">
      <c r="O2363" s="4" t="s">
        <v>3643</v>
      </c>
    </row>
    <row r="2364" ht="15.75" customHeight="1">
      <c r="O2364" s="4" t="s">
        <v>3644</v>
      </c>
    </row>
    <row r="2365" ht="15.75" customHeight="1">
      <c r="O2365" s="4" t="s">
        <v>3645</v>
      </c>
    </row>
    <row r="2366" ht="15.75" customHeight="1">
      <c r="O2366" s="4" t="s">
        <v>3646</v>
      </c>
    </row>
    <row r="2367" ht="15.75" customHeight="1">
      <c r="O2367" s="4" t="s">
        <v>3647</v>
      </c>
    </row>
    <row r="2368" ht="15.75" customHeight="1">
      <c r="O2368" s="4" t="s">
        <v>3648</v>
      </c>
    </row>
    <row r="2369" ht="15.75" customHeight="1">
      <c r="O2369" s="4" t="s">
        <v>3649</v>
      </c>
    </row>
    <row r="2370" ht="15.75" customHeight="1">
      <c r="O2370" s="4" t="s">
        <v>3650</v>
      </c>
    </row>
    <row r="2371" ht="15.75" customHeight="1">
      <c r="O2371" s="4" t="s">
        <v>3651</v>
      </c>
    </row>
    <row r="2372" ht="15.75" customHeight="1">
      <c r="O2372" s="4" t="s">
        <v>3652</v>
      </c>
    </row>
    <row r="2373" ht="15.75" customHeight="1">
      <c r="O2373" s="4" t="s">
        <v>3653</v>
      </c>
    </row>
    <row r="2374" ht="15.75" customHeight="1">
      <c r="O2374" s="4" t="s">
        <v>3654</v>
      </c>
    </row>
    <row r="2375" ht="15.75" customHeight="1">
      <c r="O2375" s="4" t="s">
        <v>3655</v>
      </c>
    </row>
    <row r="2376" ht="15.75" customHeight="1">
      <c r="O2376" s="4" t="s">
        <v>3656</v>
      </c>
    </row>
    <row r="2377" ht="15.75" customHeight="1">
      <c r="O2377" s="4" t="s">
        <v>3657</v>
      </c>
    </row>
    <row r="2378" ht="15.75" customHeight="1">
      <c r="O2378" s="4" t="s">
        <v>3658</v>
      </c>
    </row>
    <row r="2379" ht="15.75" customHeight="1">
      <c r="O2379" s="4" t="s">
        <v>3659</v>
      </c>
    </row>
    <row r="2380" ht="15.75" customHeight="1">
      <c r="O2380" s="4" t="s">
        <v>3660</v>
      </c>
    </row>
    <row r="2381" ht="15.75" customHeight="1">
      <c r="O2381" s="4" t="s">
        <v>3661</v>
      </c>
    </row>
    <row r="2382" ht="15.75" customHeight="1">
      <c r="O2382" s="4" t="s">
        <v>3662</v>
      </c>
    </row>
    <row r="2383" ht="15.75" customHeight="1">
      <c r="O2383" s="4" t="s">
        <v>3663</v>
      </c>
    </row>
    <row r="2384" ht="15.75" customHeight="1">
      <c r="O2384" s="4" t="s">
        <v>3664</v>
      </c>
    </row>
    <row r="2385" ht="15.75" customHeight="1">
      <c r="O2385" s="4" t="s">
        <v>3665</v>
      </c>
    </row>
    <row r="2386" ht="15.75" customHeight="1">
      <c r="O2386" s="4" t="s">
        <v>3666</v>
      </c>
    </row>
    <row r="2387" ht="15.75" customHeight="1">
      <c r="O2387" s="4" t="s">
        <v>3667</v>
      </c>
    </row>
    <row r="2388" ht="15.75" customHeight="1">
      <c r="O2388" s="4" t="s">
        <v>3668</v>
      </c>
    </row>
    <row r="2389" ht="15.75" customHeight="1">
      <c r="O2389" s="4" t="s">
        <v>3669</v>
      </c>
    </row>
    <row r="2390" ht="15.75" customHeight="1">
      <c r="O2390" s="4" t="s">
        <v>3670</v>
      </c>
    </row>
    <row r="2391" ht="15.75" customHeight="1">
      <c r="O2391" s="4" t="s">
        <v>3671</v>
      </c>
    </row>
    <row r="2392" ht="15.75" customHeight="1">
      <c r="O2392" s="4" t="s">
        <v>3672</v>
      </c>
    </row>
    <row r="2393" ht="15.75" customHeight="1">
      <c r="O2393" s="4" t="s">
        <v>3673</v>
      </c>
    </row>
    <row r="2394" ht="15.75" customHeight="1">
      <c r="O2394" s="4" t="s">
        <v>3674</v>
      </c>
    </row>
    <row r="2395" ht="15.75" customHeight="1">
      <c r="O2395" s="4" t="s">
        <v>3675</v>
      </c>
    </row>
    <row r="2396" ht="15.75" customHeight="1">
      <c r="O2396" s="4" t="s">
        <v>3676</v>
      </c>
    </row>
    <row r="2397" ht="15.75" customHeight="1">
      <c r="O2397" s="4" t="s">
        <v>3677</v>
      </c>
    </row>
    <row r="2398" ht="15.75" customHeight="1">
      <c r="O2398" s="4" t="s">
        <v>3678</v>
      </c>
    </row>
    <row r="2399" ht="15.75" customHeight="1">
      <c r="O2399" s="4" t="s">
        <v>3679</v>
      </c>
    </row>
    <row r="2400" ht="15.75" customHeight="1">
      <c r="O2400" s="4" t="s">
        <v>3680</v>
      </c>
    </row>
    <row r="2401" ht="15.75" customHeight="1">
      <c r="O2401" s="4" t="s">
        <v>3681</v>
      </c>
    </row>
    <row r="2402" ht="15.75" customHeight="1">
      <c r="O2402" s="4" t="s">
        <v>3682</v>
      </c>
    </row>
    <row r="2403" ht="15.75" customHeight="1">
      <c r="O2403" s="4" t="s">
        <v>3683</v>
      </c>
    </row>
    <row r="2404" ht="15.75" customHeight="1">
      <c r="O2404" s="4" t="s">
        <v>3684</v>
      </c>
    </row>
    <row r="2405" ht="15.75" customHeight="1">
      <c r="O2405" s="4" t="s">
        <v>3685</v>
      </c>
    </row>
    <row r="2406" ht="15.75" customHeight="1">
      <c r="O2406" s="4" t="s">
        <v>3686</v>
      </c>
    </row>
    <row r="2407" ht="15.75" customHeight="1">
      <c r="O2407" s="4" t="s">
        <v>3687</v>
      </c>
    </row>
    <row r="2408" ht="15.75" customHeight="1">
      <c r="O2408" s="4" t="s">
        <v>3688</v>
      </c>
    </row>
    <row r="2409" ht="15.75" customHeight="1">
      <c r="O2409" s="4" t="s">
        <v>3689</v>
      </c>
    </row>
    <row r="2410" ht="15.75" customHeight="1">
      <c r="O2410" s="4" t="s">
        <v>3690</v>
      </c>
    </row>
    <row r="2411" ht="15.75" customHeight="1">
      <c r="O2411" s="4" t="s">
        <v>3691</v>
      </c>
    </row>
    <row r="2412" ht="15.75" customHeight="1">
      <c r="O2412" s="4" t="s">
        <v>3692</v>
      </c>
    </row>
    <row r="2413" ht="15.75" customHeight="1">
      <c r="O2413" s="4" t="s">
        <v>3693</v>
      </c>
    </row>
    <row r="2414" ht="15.75" customHeight="1">
      <c r="O2414" s="4" t="s">
        <v>3694</v>
      </c>
    </row>
    <row r="2415" ht="15.75" customHeight="1">
      <c r="O2415" s="4" t="s">
        <v>3695</v>
      </c>
    </row>
    <row r="2416" ht="15.75" customHeight="1">
      <c r="O2416" s="4" t="s">
        <v>3696</v>
      </c>
    </row>
    <row r="2417" ht="15.75" customHeight="1">
      <c r="O2417" s="4" t="s">
        <v>3697</v>
      </c>
    </row>
    <row r="2418" ht="15.75" customHeight="1">
      <c r="O2418" s="4" t="s">
        <v>3698</v>
      </c>
    </row>
    <row r="2419" ht="15.75" customHeight="1">
      <c r="O2419" s="4" t="s">
        <v>3699</v>
      </c>
    </row>
    <row r="2420" ht="15.75" customHeight="1">
      <c r="O2420" s="4" t="s">
        <v>3700</v>
      </c>
    </row>
    <row r="2421" ht="15.75" customHeight="1">
      <c r="O2421" s="4" t="s">
        <v>3701</v>
      </c>
    </row>
    <row r="2422" ht="15.75" customHeight="1">
      <c r="O2422" s="4" t="s">
        <v>3702</v>
      </c>
    </row>
    <row r="2423" ht="15.75" customHeight="1">
      <c r="O2423" s="4" t="s">
        <v>3703</v>
      </c>
    </row>
    <row r="2424" ht="15.75" customHeight="1">
      <c r="O2424" s="4" t="s">
        <v>3704</v>
      </c>
    </row>
    <row r="2425" ht="15.75" customHeight="1">
      <c r="O2425" s="4" t="s">
        <v>3705</v>
      </c>
    </row>
    <row r="2426" ht="15.75" customHeight="1">
      <c r="O2426" s="4" t="s">
        <v>3706</v>
      </c>
    </row>
    <row r="2427" ht="15.75" customHeight="1">
      <c r="O2427" s="4" t="s">
        <v>3707</v>
      </c>
    </row>
    <row r="2428" ht="15.75" customHeight="1">
      <c r="O2428" s="4" t="s">
        <v>3708</v>
      </c>
    </row>
    <row r="2429" ht="15.75" customHeight="1">
      <c r="O2429" s="4" t="s">
        <v>3709</v>
      </c>
    </row>
    <row r="2430" ht="15.75" customHeight="1">
      <c r="O2430" s="4" t="s">
        <v>3710</v>
      </c>
    </row>
    <row r="2431" ht="15.75" customHeight="1">
      <c r="O2431" s="4" t="s">
        <v>3711</v>
      </c>
    </row>
    <row r="2432" ht="15.75" customHeight="1">
      <c r="O2432" s="4" t="s">
        <v>3712</v>
      </c>
    </row>
    <row r="2433" ht="15.75" customHeight="1">
      <c r="O2433" s="4" t="s">
        <v>3713</v>
      </c>
    </row>
    <row r="2434" ht="15.75" customHeight="1">
      <c r="O2434" s="4" t="s">
        <v>3714</v>
      </c>
    </row>
    <row r="2435" ht="15.75" customHeight="1">
      <c r="O2435" s="4" t="s">
        <v>3715</v>
      </c>
    </row>
    <row r="2436" ht="15.75" customHeight="1">
      <c r="O2436" s="4" t="s">
        <v>3716</v>
      </c>
    </row>
    <row r="2437" ht="15.75" customHeight="1">
      <c r="O2437" s="4" t="s">
        <v>3717</v>
      </c>
    </row>
    <row r="2438" ht="15.75" customHeight="1">
      <c r="O2438" s="4" t="s">
        <v>3718</v>
      </c>
    </row>
    <row r="2439" ht="15.75" customHeight="1">
      <c r="O2439" s="4" t="s">
        <v>3719</v>
      </c>
    </row>
    <row r="2440" ht="15.75" customHeight="1">
      <c r="O2440" s="4" t="s">
        <v>3720</v>
      </c>
    </row>
    <row r="2441" ht="15.75" customHeight="1">
      <c r="O2441" s="4" t="s">
        <v>3721</v>
      </c>
    </row>
    <row r="2442" ht="15.75" customHeight="1">
      <c r="O2442" s="4" t="s">
        <v>3722</v>
      </c>
    </row>
    <row r="2443" ht="15.75" customHeight="1">
      <c r="O2443" s="4" t="s">
        <v>3723</v>
      </c>
    </row>
    <row r="2444" ht="15.75" customHeight="1">
      <c r="O2444" s="4" t="s">
        <v>3724</v>
      </c>
    </row>
    <row r="2445" ht="15.75" customHeight="1">
      <c r="O2445" s="4" t="s">
        <v>3725</v>
      </c>
    </row>
    <row r="2446" ht="15.75" customHeight="1">
      <c r="O2446" s="4" t="s">
        <v>3726</v>
      </c>
    </row>
    <row r="2447" ht="15.75" customHeight="1">
      <c r="O2447" s="4" t="s">
        <v>3727</v>
      </c>
    </row>
    <row r="2448" ht="15.75" customHeight="1">
      <c r="O2448" s="4" t="s">
        <v>3728</v>
      </c>
    </row>
    <row r="2449" ht="15.75" customHeight="1">
      <c r="O2449" s="4" t="s">
        <v>3729</v>
      </c>
    </row>
    <row r="2450" ht="15.75" customHeight="1">
      <c r="O2450" s="4" t="s">
        <v>3730</v>
      </c>
    </row>
    <row r="2451" ht="15.75" customHeight="1">
      <c r="O2451" s="4" t="s">
        <v>3731</v>
      </c>
    </row>
    <row r="2452" ht="15.75" customHeight="1">
      <c r="O2452" s="4" t="s">
        <v>3732</v>
      </c>
    </row>
    <row r="2453" ht="15.75" customHeight="1">
      <c r="O2453" s="4" t="s">
        <v>3733</v>
      </c>
    </row>
    <row r="2454" ht="15.75" customHeight="1">
      <c r="O2454" s="4" t="s">
        <v>3734</v>
      </c>
    </row>
    <row r="2455" ht="15.75" customHeight="1">
      <c r="O2455" s="4" t="s">
        <v>3735</v>
      </c>
    </row>
    <row r="2456" ht="15.75" customHeight="1">
      <c r="O2456" s="4" t="s">
        <v>3736</v>
      </c>
    </row>
    <row r="2457" ht="15.75" customHeight="1">
      <c r="O2457" s="4" t="s">
        <v>3737</v>
      </c>
    </row>
    <row r="2458" ht="15.75" customHeight="1">
      <c r="O2458" s="4" t="s">
        <v>3738</v>
      </c>
    </row>
    <row r="2459" ht="15.75" customHeight="1">
      <c r="O2459" s="5" t="s">
        <v>3739</v>
      </c>
    </row>
    <row r="2460" ht="15.75" customHeight="1">
      <c r="O2460" s="4" t="s">
        <v>3740</v>
      </c>
    </row>
    <row r="2461" ht="15.75" customHeight="1">
      <c r="O2461" s="4" t="s">
        <v>3741</v>
      </c>
    </row>
    <row r="2462" ht="15.75" customHeight="1">
      <c r="O2462" s="4" t="s">
        <v>3742</v>
      </c>
    </row>
    <row r="2463" ht="15.75" customHeight="1">
      <c r="O2463" s="4" t="s">
        <v>3743</v>
      </c>
    </row>
    <row r="2464" ht="15.75" customHeight="1">
      <c r="O2464" s="4" t="s">
        <v>3744</v>
      </c>
    </row>
    <row r="2465" ht="15.75" customHeight="1">
      <c r="O2465" s="5" t="s">
        <v>3745</v>
      </c>
    </row>
    <row r="2466" ht="15.75" customHeight="1">
      <c r="O2466" s="4" t="s">
        <v>3746</v>
      </c>
    </row>
    <row r="2467" ht="15.75" customHeight="1">
      <c r="O2467" s="4" t="s">
        <v>3747</v>
      </c>
    </row>
    <row r="2468" ht="15.75" customHeight="1">
      <c r="O2468" s="4" t="s">
        <v>3748</v>
      </c>
    </row>
    <row r="2469" ht="15.75" customHeight="1">
      <c r="O2469" s="4" t="s">
        <v>3749</v>
      </c>
    </row>
    <row r="2470" ht="15.75" customHeight="1">
      <c r="O2470" s="4" t="s">
        <v>3750</v>
      </c>
    </row>
    <row r="2471" ht="15.75" customHeight="1">
      <c r="O2471" s="4" t="s">
        <v>3751</v>
      </c>
    </row>
    <row r="2472" ht="15.75" customHeight="1">
      <c r="O2472" s="4" t="s">
        <v>3752</v>
      </c>
    </row>
    <row r="2473" ht="15.75" customHeight="1">
      <c r="O2473" s="4" t="s">
        <v>3753</v>
      </c>
    </row>
    <row r="2474" ht="15.75" customHeight="1">
      <c r="O2474" s="4" t="s">
        <v>3754</v>
      </c>
    </row>
    <row r="2475" ht="15.75" customHeight="1">
      <c r="O2475" s="4" t="s">
        <v>3755</v>
      </c>
    </row>
    <row r="2476" ht="15.75" customHeight="1">
      <c r="O2476" s="4" t="s">
        <v>3756</v>
      </c>
    </row>
    <row r="2477" ht="15.75" customHeight="1">
      <c r="O2477" s="4" t="s">
        <v>3757</v>
      </c>
    </row>
    <row r="2478" ht="15.75" customHeight="1">
      <c r="O2478" s="4" t="s">
        <v>3758</v>
      </c>
    </row>
    <row r="2479" ht="15.75" customHeight="1">
      <c r="O2479" s="4" t="s">
        <v>3759</v>
      </c>
    </row>
    <row r="2480" ht="15.75" customHeight="1">
      <c r="O2480" s="4" t="s">
        <v>3760</v>
      </c>
    </row>
    <row r="2481" ht="15.75" customHeight="1">
      <c r="O2481" s="4" t="s">
        <v>3761</v>
      </c>
    </row>
    <row r="2482" ht="15.75" customHeight="1">
      <c r="O2482" s="4" t="s">
        <v>3762</v>
      </c>
    </row>
    <row r="2483" ht="15.75" customHeight="1">
      <c r="O2483" s="4" t="s">
        <v>3763</v>
      </c>
    </row>
    <row r="2484" ht="15.75" customHeight="1">
      <c r="O2484" s="4" t="s">
        <v>3764</v>
      </c>
    </row>
    <row r="2485" ht="15.75" customHeight="1">
      <c r="O2485" s="4" t="s">
        <v>3765</v>
      </c>
    </row>
    <row r="2486" ht="15.75" customHeight="1">
      <c r="O2486" s="4" t="s">
        <v>3766</v>
      </c>
    </row>
    <row r="2487" ht="15.75" customHeight="1">
      <c r="O2487" s="4" t="s">
        <v>3767</v>
      </c>
    </row>
    <row r="2488" ht="15.75" customHeight="1">
      <c r="O2488" s="4" t="s">
        <v>3768</v>
      </c>
    </row>
    <row r="2489" ht="15.75" customHeight="1">
      <c r="O2489" s="4" t="s">
        <v>3769</v>
      </c>
    </row>
    <row r="2490" ht="15.75" customHeight="1">
      <c r="O2490" s="4" t="s">
        <v>3770</v>
      </c>
    </row>
    <row r="2491" ht="15.75" customHeight="1">
      <c r="O2491" s="4" t="s">
        <v>3771</v>
      </c>
    </row>
    <row r="2492" ht="15.75" customHeight="1">
      <c r="O2492" s="4" t="s">
        <v>3772</v>
      </c>
    </row>
    <row r="2493" ht="15.75" customHeight="1">
      <c r="O2493" s="4" t="s">
        <v>3773</v>
      </c>
    </row>
    <row r="2494" ht="15.75" customHeight="1">
      <c r="O2494" s="4" t="s">
        <v>3774</v>
      </c>
    </row>
    <row r="2495" ht="15.75" customHeight="1">
      <c r="O2495" s="4" t="s">
        <v>3775</v>
      </c>
    </row>
    <row r="2496" ht="15.75" customHeight="1">
      <c r="O2496" s="4" t="s">
        <v>3776</v>
      </c>
    </row>
    <row r="2497" ht="15.75" customHeight="1">
      <c r="O2497" s="4" t="s">
        <v>3777</v>
      </c>
    </row>
    <row r="2498" ht="15.75" customHeight="1">
      <c r="O2498" s="4" t="s">
        <v>3778</v>
      </c>
    </row>
    <row r="2499" ht="15.75" customHeight="1">
      <c r="O2499" s="4" t="s">
        <v>3779</v>
      </c>
    </row>
    <row r="2500" ht="15.75" customHeight="1">
      <c r="O2500" s="4" t="s">
        <v>3780</v>
      </c>
    </row>
    <row r="2501" ht="15.75" customHeight="1">
      <c r="O2501" s="4" t="s">
        <v>3781</v>
      </c>
    </row>
    <row r="2502" ht="15.75" customHeight="1">
      <c r="O2502" s="4" t="s">
        <v>3782</v>
      </c>
    </row>
    <row r="2503" ht="15.75" customHeight="1">
      <c r="O2503" s="4" t="s">
        <v>3783</v>
      </c>
    </row>
    <row r="2504" ht="15.75" customHeight="1">
      <c r="O2504" s="4" t="s">
        <v>3784</v>
      </c>
    </row>
    <row r="2505" ht="15.75" customHeight="1">
      <c r="O2505" s="4" t="s">
        <v>3785</v>
      </c>
    </row>
    <row r="2506" ht="15.75" customHeight="1">
      <c r="O2506" s="4" t="s">
        <v>3786</v>
      </c>
    </row>
    <row r="2507" ht="15.75" customHeight="1">
      <c r="O2507" s="4" t="s">
        <v>3787</v>
      </c>
    </row>
    <row r="2508" ht="15.75" customHeight="1">
      <c r="O2508" s="4" t="s">
        <v>3788</v>
      </c>
    </row>
    <row r="2509" ht="15.75" customHeight="1">
      <c r="O2509" s="4" t="s">
        <v>3789</v>
      </c>
    </row>
    <row r="2510" ht="15.75" customHeight="1">
      <c r="O2510" s="4" t="s">
        <v>3790</v>
      </c>
    </row>
    <row r="2511" ht="15.75" customHeight="1">
      <c r="O2511" s="4" t="s">
        <v>3791</v>
      </c>
    </row>
    <row r="2512" ht="15.75" customHeight="1">
      <c r="O2512" s="4" t="s">
        <v>3792</v>
      </c>
    </row>
    <row r="2513" ht="15.75" customHeight="1">
      <c r="O2513" s="4" t="s">
        <v>3793</v>
      </c>
    </row>
    <row r="2514" ht="15.75" customHeight="1">
      <c r="O2514" s="4" t="s">
        <v>3794</v>
      </c>
    </row>
    <row r="2515" ht="15.75" customHeight="1">
      <c r="O2515" s="4" t="s">
        <v>3795</v>
      </c>
    </row>
    <row r="2516" ht="15.75" customHeight="1">
      <c r="O2516" s="4" t="s">
        <v>3796</v>
      </c>
    </row>
    <row r="2517" ht="15.75" customHeight="1">
      <c r="O2517" s="4" t="s">
        <v>3797</v>
      </c>
    </row>
    <row r="2518" ht="15.75" customHeight="1">
      <c r="O2518" s="4" t="s">
        <v>3798</v>
      </c>
    </row>
    <row r="2519" ht="15.75" customHeight="1">
      <c r="O2519" s="4" t="s">
        <v>3799</v>
      </c>
    </row>
    <row r="2520" ht="15.75" customHeight="1">
      <c r="O2520" s="4" t="s">
        <v>3800</v>
      </c>
    </row>
    <row r="2521" ht="15.75" customHeight="1">
      <c r="O2521" s="4" t="s">
        <v>3801</v>
      </c>
    </row>
    <row r="2522" ht="15.75" customHeight="1">
      <c r="O2522" s="4" t="s">
        <v>3802</v>
      </c>
    </row>
    <row r="2523" ht="15.75" customHeight="1">
      <c r="O2523" s="4" t="s">
        <v>3803</v>
      </c>
    </row>
    <row r="2524" ht="15.75" customHeight="1">
      <c r="O2524" s="4" t="s">
        <v>3804</v>
      </c>
    </row>
    <row r="2525" ht="15.75" customHeight="1">
      <c r="O2525" s="4" t="s">
        <v>3805</v>
      </c>
    </row>
    <row r="2526" ht="15.75" customHeight="1">
      <c r="O2526" s="4" t="s">
        <v>3806</v>
      </c>
    </row>
    <row r="2527" ht="15.75" customHeight="1">
      <c r="O2527" s="4" t="s">
        <v>3807</v>
      </c>
    </row>
    <row r="2528" ht="15.75" customHeight="1">
      <c r="O2528" s="4" t="s">
        <v>3808</v>
      </c>
    </row>
    <row r="2529" ht="15.75" customHeight="1">
      <c r="O2529" s="4" t="s">
        <v>3809</v>
      </c>
    </row>
    <row r="2530" ht="15.75" customHeight="1">
      <c r="O2530" s="4" t="s">
        <v>3810</v>
      </c>
    </row>
    <row r="2531" ht="15.75" customHeight="1">
      <c r="O2531" s="4" t="s">
        <v>3811</v>
      </c>
    </row>
    <row r="2532" ht="15.75" customHeight="1">
      <c r="O2532" s="4" t="s">
        <v>3812</v>
      </c>
    </row>
    <row r="2533" ht="15.75" customHeight="1">
      <c r="O2533" s="4" t="s">
        <v>3813</v>
      </c>
    </row>
    <row r="2534" ht="15.75" customHeight="1">
      <c r="O2534" s="4" t="s">
        <v>3814</v>
      </c>
    </row>
    <row r="2535" ht="15.75" customHeight="1">
      <c r="O2535" s="4" t="s">
        <v>3815</v>
      </c>
    </row>
    <row r="2536" ht="15.75" customHeight="1">
      <c r="O2536" s="4" t="s">
        <v>3816</v>
      </c>
    </row>
    <row r="2537" ht="15.75" customHeight="1">
      <c r="O2537" s="4" t="s">
        <v>3817</v>
      </c>
    </row>
    <row r="2538" ht="15.75" customHeight="1">
      <c r="O2538" s="4" t="s">
        <v>3818</v>
      </c>
    </row>
    <row r="2539" ht="15.75" customHeight="1">
      <c r="O2539" s="4" t="s">
        <v>3819</v>
      </c>
    </row>
    <row r="2540" ht="15.75" customHeight="1">
      <c r="O2540" s="4" t="s">
        <v>3820</v>
      </c>
    </row>
    <row r="2541" ht="15.75" customHeight="1">
      <c r="O2541" s="4" t="s">
        <v>3821</v>
      </c>
    </row>
    <row r="2542" ht="15.75" customHeight="1">
      <c r="O2542" s="4" t="s">
        <v>3822</v>
      </c>
    </row>
    <row r="2543" ht="15.75" customHeight="1">
      <c r="O2543" s="4" t="s">
        <v>3823</v>
      </c>
    </row>
    <row r="2544" ht="15.75" customHeight="1">
      <c r="O2544" s="4" t="s">
        <v>3824</v>
      </c>
    </row>
    <row r="2545" ht="15.75" customHeight="1">
      <c r="O2545" s="4" t="s">
        <v>3825</v>
      </c>
    </row>
    <row r="2546" ht="15.75" customHeight="1">
      <c r="O2546" s="4" t="s">
        <v>3826</v>
      </c>
    </row>
    <row r="2547" ht="15.75" customHeight="1">
      <c r="O2547" s="4" t="s">
        <v>3827</v>
      </c>
    </row>
    <row r="2548" ht="15.75" customHeight="1">
      <c r="O2548" s="4" t="s">
        <v>3828</v>
      </c>
    </row>
    <row r="2549" ht="15.75" customHeight="1">
      <c r="O2549" s="4" t="s">
        <v>3829</v>
      </c>
    </row>
    <row r="2550" ht="15.75" customHeight="1">
      <c r="O2550" s="4" t="s">
        <v>3830</v>
      </c>
    </row>
    <row r="2551" ht="15.75" customHeight="1">
      <c r="O2551" s="4" t="s">
        <v>3831</v>
      </c>
    </row>
    <row r="2552" ht="15.75" customHeight="1">
      <c r="O2552" s="4" t="s">
        <v>3832</v>
      </c>
    </row>
    <row r="2553" ht="15.75" customHeight="1">
      <c r="O2553" s="4" t="s">
        <v>3833</v>
      </c>
    </row>
    <row r="2554" ht="15.75" customHeight="1">
      <c r="O2554" s="4" t="s">
        <v>3834</v>
      </c>
    </row>
    <row r="2555" ht="15.75" customHeight="1">
      <c r="O2555" s="4" t="s">
        <v>3835</v>
      </c>
    </row>
    <row r="2556" ht="15.75" customHeight="1">
      <c r="O2556" s="4" t="s">
        <v>3836</v>
      </c>
    </row>
    <row r="2557" ht="15.75" customHeight="1">
      <c r="O2557" s="4" t="s">
        <v>3837</v>
      </c>
    </row>
    <row r="2558" ht="15.75" customHeight="1">
      <c r="O2558" s="4" t="s">
        <v>3838</v>
      </c>
    </row>
    <row r="2559" ht="15.75" customHeight="1">
      <c r="O2559" s="4" t="s">
        <v>3839</v>
      </c>
    </row>
    <row r="2560" ht="15.75" customHeight="1">
      <c r="O2560" s="4" t="s">
        <v>3840</v>
      </c>
    </row>
    <row r="2561" ht="15.75" customHeight="1">
      <c r="O2561" s="4" t="s">
        <v>3841</v>
      </c>
    </row>
    <row r="2562" ht="15.75" customHeight="1">
      <c r="O2562" s="4" t="s">
        <v>3842</v>
      </c>
    </row>
    <row r="2563" ht="15.75" customHeight="1">
      <c r="O2563" s="4" t="s">
        <v>3843</v>
      </c>
    </row>
    <row r="2564" ht="15.75" customHeight="1">
      <c r="O2564" s="4" t="s">
        <v>3844</v>
      </c>
    </row>
    <row r="2565" ht="15.75" customHeight="1">
      <c r="O2565" s="4" t="s">
        <v>3845</v>
      </c>
    </row>
    <row r="2566" ht="15.75" customHeight="1">
      <c r="O2566" s="4" t="s">
        <v>3846</v>
      </c>
    </row>
    <row r="2567" ht="15.75" customHeight="1">
      <c r="O2567" s="4" t="s">
        <v>3847</v>
      </c>
    </row>
    <row r="2568" ht="15.75" customHeight="1">
      <c r="O2568" s="4" t="s">
        <v>3848</v>
      </c>
    </row>
    <row r="2569" ht="15.75" customHeight="1">
      <c r="O2569" s="4" t="s">
        <v>3849</v>
      </c>
    </row>
    <row r="2570" ht="15.75" customHeight="1">
      <c r="O2570" s="4" t="s">
        <v>3850</v>
      </c>
    </row>
    <row r="2571" ht="15.75" customHeight="1">
      <c r="O2571" s="4" t="s">
        <v>3851</v>
      </c>
    </row>
    <row r="2572" ht="15.75" customHeight="1">
      <c r="O2572" s="4" t="s">
        <v>3852</v>
      </c>
    </row>
    <row r="2573" ht="15.75" customHeight="1">
      <c r="O2573" s="4" t="s">
        <v>3853</v>
      </c>
    </row>
    <row r="2574" ht="15.75" customHeight="1">
      <c r="O2574" s="4" t="s">
        <v>3854</v>
      </c>
    </row>
    <row r="2575" ht="15.75" customHeight="1">
      <c r="O2575" s="4" t="s">
        <v>3855</v>
      </c>
    </row>
    <row r="2576" ht="15.75" customHeight="1">
      <c r="O2576" s="4" t="s">
        <v>3856</v>
      </c>
    </row>
    <row r="2577" ht="15.75" customHeight="1">
      <c r="O2577" s="4" t="s">
        <v>3857</v>
      </c>
    </row>
    <row r="2578" ht="15.75" customHeight="1">
      <c r="O2578" s="4" t="s">
        <v>3858</v>
      </c>
    </row>
    <row r="2579" ht="15.75" customHeight="1">
      <c r="O2579" s="4" t="s">
        <v>3859</v>
      </c>
    </row>
    <row r="2580" ht="15.75" customHeight="1">
      <c r="O2580" s="4" t="s">
        <v>3860</v>
      </c>
    </row>
    <row r="2581" ht="15.75" customHeight="1">
      <c r="O2581" s="4" t="s">
        <v>3861</v>
      </c>
    </row>
    <row r="2582" ht="15.75" customHeight="1">
      <c r="O2582" s="4" t="s">
        <v>3862</v>
      </c>
    </row>
    <row r="2583" ht="15.75" customHeight="1">
      <c r="O2583" s="4" t="s">
        <v>3863</v>
      </c>
    </row>
    <row r="2584" ht="15.75" customHeight="1">
      <c r="O2584" s="4" t="s">
        <v>3864</v>
      </c>
    </row>
    <row r="2585" ht="15.75" customHeight="1">
      <c r="O2585" s="4" t="s">
        <v>3865</v>
      </c>
    </row>
    <row r="2586" ht="15.75" customHeight="1">
      <c r="O2586" s="4" t="s">
        <v>3866</v>
      </c>
    </row>
    <row r="2587" ht="15.75" customHeight="1">
      <c r="O2587" s="4" t="s">
        <v>3867</v>
      </c>
    </row>
    <row r="2588" ht="15.75" customHeight="1">
      <c r="O2588" s="4" t="s">
        <v>3868</v>
      </c>
    </row>
    <row r="2589" ht="15.75" customHeight="1">
      <c r="O2589" s="4" t="s">
        <v>3869</v>
      </c>
    </row>
    <row r="2590" ht="15.75" customHeight="1">
      <c r="O2590" s="4" t="s">
        <v>3870</v>
      </c>
    </row>
    <row r="2591" ht="15.75" customHeight="1">
      <c r="O2591" s="4" t="s">
        <v>3871</v>
      </c>
    </row>
    <row r="2592" ht="15.75" customHeight="1">
      <c r="O2592" s="4" t="s">
        <v>3872</v>
      </c>
    </row>
    <row r="2593" ht="15.75" customHeight="1">
      <c r="O2593" s="4" t="s">
        <v>3873</v>
      </c>
    </row>
    <row r="2594" ht="15.75" customHeight="1">
      <c r="O2594" s="4" t="s">
        <v>3874</v>
      </c>
    </row>
    <row r="2595" ht="15.75" customHeight="1">
      <c r="O2595" s="4" t="s">
        <v>3875</v>
      </c>
    </row>
    <row r="2596" ht="15.75" customHeight="1">
      <c r="O2596" s="4" t="s">
        <v>3876</v>
      </c>
    </row>
    <row r="2597" ht="15.75" customHeight="1">
      <c r="O2597" s="4" t="s">
        <v>3877</v>
      </c>
    </row>
    <row r="2598" ht="15.75" customHeight="1">
      <c r="O2598" s="4" t="s">
        <v>3878</v>
      </c>
    </row>
    <row r="2599" ht="15.75" customHeight="1">
      <c r="O2599" s="4" t="s">
        <v>3879</v>
      </c>
    </row>
    <row r="2600" ht="15.75" customHeight="1">
      <c r="O2600" s="4" t="s">
        <v>3880</v>
      </c>
    </row>
    <row r="2601" ht="15.75" customHeight="1">
      <c r="O2601" s="4" t="s">
        <v>3881</v>
      </c>
    </row>
    <row r="2602" ht="15.75" customHeight="1">
      <c r="O2602" s="4" t="s">
        <v>3882</v>
      </c>
    </row>
    <row r="2603" ht="15.75" customHeight="1">
      <c r="O2603" s="4" t="s">
        <v>3883</v>
      </c>
    </row>
    <row r="2604" ht="15.75" customHeight="1">
      <c r="O2604" s="4" t="s">
        <v>3884</v>
      </c>
    </row>
    <row r="2605" ht="15.75" customHeight="1">
      <c r="O2605" s="4" t="s">
        <v>3885</v>
      </c>
    </row>
    <row r="2606" ht="15.75" customHeight="1">
      <c r="O2606" s="4" t="s">
        <v>3886</v>
      </c>
    </row>
    <row r="2607" ht="15.75" customHeight="1">
      <c r="O2607" s="4" t="s">
        <v>3887</v>
      </c>
    </row>
    <row r="2608" ht="15.75" customHeight="1">
      <c r="O2608" s="4" t="s">
        <v>3888</v>
      </c>
    </row>
    <row r="2609" ht="15.75" customHeight="1">
      <c r="O2609" s="4" t="s">
        <v>3889</v>
      </c>
    </row>
    <row r="2610" ht="15.75" customHeight="1">
      <c r="O2610" s="4" t="s">
        <v>3890</v>
      </c>
    </row>
    <row r="2611" ht="15.75" customHeight="1">
      <c r="O2611" s="4" t="s">
        <v>3891</v>
      </c>
    </row>
    <row r="2612" ht="15.75" customHeight="1">
      <c r="O2612" s="4" t="s">
        <v>3892</v>
      </c>
    </row>
    <row r="2613" ht="15.75" customHeight="1">
      <c r="O2613" s="4" t="s">
        <v>3893</v>
      </c>
    </row>
    <row r="2614" ht="15.75" customHeight="1">
      <c r="O2614" s="4" t="s">
        <v>3894</v>
      </c>
    </row>
    <row r="2615" ht="15.75" customHeight="1">
      <c r="O2615" s="4" t="s">
        <v>3895</v>
      </c>
    </row>
    <row r="2616" ht="15.75" customHeight="1">
      <c r="O2616" s="4" t="s">
        <v>3896</v>
      </c>
    </row>
    <row r="2617" ht="15.75" customHeight="1">
      <c r="O2617" s="4" t="s">
        <v>3897</v>
      </c>
    </row>
    <row r="2618" ht="15.75" customHeight="1">
      <c r="O2618" s="4" t="s">
        <v>3898</v>
      </c>
    </row>
    <row r="2619" ht="15.75" customHeight="1">
      <c r="O2619" s="4" t="s">
        <v>3899</v>
      </c>
    </row>
    <row r="2620" ht="15.75" customHeight="1">
      <c r="O2620" s="4" t="s">
        <v>3900</v>
      </c>
    </row>
    <row r="2621" ht="15.75" customHeight="1">
      <c r="O2621" s="4" t="s">
        <v>3901</v>
      </c>
    </row>
    <row r="2622" ht="15.75" customHeight="1">
      <c r="O2622" s="4" t="s">
        <v>3902</v>
      </c>
    </row>
    <row r="2623" ht="15.75" customHeight="1">
      <c r="O2623" s="4" t="s">
        <v>3903</v>
      </c>
    </row>
    <row r="2624" ht="15.75" customHeight="1">
      <c r="O2624" s="4" t="s">
        <v>3904</v>
      </c>
    </row>
    <row r="2625" ht="15.75" customHeight="1">
      <c r="O2625" s="4" t="s">
        <v>3905</v>
      </c>
    </row>
    <row r="2626" ht="15.75" customHeight="1">
      <c r="O2626" s="4" t="s">
        <v>3906</v>
      </c>
    </row>
    <row r="2627" ht="15.75" customHeight="1">
      <c r="O2627" s="4" t="s">
        <v>3907</v>
      </c>
    </row>
    <row r="2628" ht="15.75" customHeight="1">
      <c r="O2628" s="4" t="s">
        <v>3908</v>
      </c>
    </row>
    <row r="2629" ht="15.75" customHeight="1">
      <c r="O2629" s="4" t="s">
        <v>3909</v>
      </c>
    </row>
    <row r="2630" ht="15.75" customHeight="1">
      <c r="O2630" s="4" t="s">
        <v>3910</v>
      </c>
    </row>
    <row r="2631" ht="15.75" customHeight="1">
      <c r="O2631" s="4" t="s">
        <v>3911</v>
      </c>
    </row>
    <row r="2632" ht="15.75" customHeight="1">
      <c r="O2632" s="4" t="s">
        <v>3912</v>
      </c>
    </row>
    <row r="2633" ht="15.75" customHeight="1">
      <c r="O2633" s="4" t="s">
        <v>3913</v>
      </c>
    </row>
    <row r="2634" ht="15.75" customHeight="1">
      <c r="O2634" s="4" t="s">
        <v>3914</v>
      </c>
    </row>
    <row r="2635" ht="15.75" customHeight="1">
      <c r="O2635" s="4" t="s">
        <v>3915</v>
      </c>
    </row>
    <row r="2636" ht="15.75" customHeight="1">
      <c r="O2636" s="4" t="s">
        <v>3916</v>
      </c>
    </row>
    <row r="2637" ht="15.75" customHeight="1">
      <c r="O2637" s="4" t="s">
        <v>3917</v>
      </c>
    </row>
    <row r="2638" ht="15.75" customHeight="1">
      <c r="O2638" s="4" t="s">
        <v>3918</v>
      </c>
    </row>
    <row r="2639" ht="15.75" customHeight="1">
      <c r="O2639" s="4" t="s">
        <v>3919</v>
      </c>
    </row>
    <row r="2640" ht="15.75" customHeight="1">
      <c r="O2640" s="4" t="s">
        <v>3920</v>
      </c>
    </row>
    <row r="2641" ht="15.75" customHeight="1">
      <c r="O2641" s="4" t="s">
        <v>3921</v>
      </c>
    </row>
    <row r="2642" ht="15.75" customHeight="1">
      <c r="O2642" s="4" t="s">
        <v>3922</v>
      </c>
    </row>
    <row r="2643" ht="15.75" customHeight="1">
      <c r="O2643" s="4" t="s">
        <v>3923</v>
      </c>
    </row>
    <row r="2644" ht="15.75" customHeight="1">
      <c r="O2644" s="4" t="s">
        <v>3924</v>
      </c>
    </row>
    <row r="2645" ht="15.75" customHeight="1">
      <c r="O2645" s="4" t="s">
        <v>3925</v>
      </c>
    </row>
    <row r="2646" ht="15.75" customHeight="1">
      <c r="O2646" s="4" t="s">
        <v>3926</v>
      </c>
    </row>
    <row r="2647" ht="15.75" customHeight="1">
      <c r="O2647" s="4" t="s">
        <v>3927</v>
      </c>
    </row>
    <row r="2648" ht="15.75" customHeight="1">
      <c r="O2648" s="4" t="s">
        <v>3928</v>
      </c>
    </row>
    <row r="2649" ht="15.75" customHeight="1">
      <c r="O2649" s="4" t="s">
        <v>3929</v>
      </c>
    </row>
    <row r="2650" ht="15.75" customHeight="1">
      <c r="O2650" s="4" t="s">
        <v>3930</v>
      </c>
    </row>
    <row r="2651" ht="15.75" customHeight="1">
      <c r="O2651" s="4" t="s">
        <v>3931</v>
      </c>
    </row>
    <row r="2652" ht="15.75" customHeight="1">
      <c r="O2652" s="4" t="s">
        <v>3932</v>
      </c>
    </row>
    <row r="2653" ht="15.75" customHeight="1">
      <c r="O2653" s="4" t="s">
        <v>3933</v>
      </c>
    </row>
    <row r="2654" ht="15.75" customHeight="1">
      <c r="O2654" s="4" t="s">
        <v>3934</v>
      </c>
    </row>
    <row r="2655" ht="15.75" customHeight="1">
      <c r="O2655" s="4" t="s">
        <v>3935</v>
      </c>
    </row>
    <row r="2656" ht="15.75" customHeight="1">
      <c r="O2656" s="4" t="s">
        <v>3936</v>
      </c>
    </row>
    <row r="2657" ht="15.75" customHeight="1">
      <c r="O2657" s="4" t="s">
        <v>3937</v>
      </c>
    </row>
    <row r="2658" ht="15.75" customHeight="1">
      <c r="O2658" s="4" t="s">
        <v>3938</v>
      </c>
    </row>
    <row r="2659" ht="15.75" customHeight="1">
      <c r="O2659" s="4" t="s">
        <v>3939</v>
      </c>
    </row>
    <row r="2660" ht="15.75" customHeight="1">
      <c r="O2660" s="4" t="s">
        <v>3940</v>
      </c>
    </row>
    <row r="2661" ht="15.75" customHeight="1">
      <c r="O2661" s="4" t="s">
        <v>3941</v>
      </c>
    </row>
    <row r="2662" ht="15.75" customHeight="1">
      <c r="O2662" s="4" t="s">
        <v>3942</v>
      </c>
    </row>
    <row r="2663" ht="15.75" customHeight="1">
      <c r="O2663" s="4" t="s">
        <v>3943</v>
      </c>
    </row>
    <row r="2664" ht="15.75" customHeight="1">
      <c r="O2664" s="4" t="s">
        <v>3944</v>
      </c>
    </row>
    <row r="2665" ht="15.75" customHeight="1">
      <c r="O2665" s="4" t="s">
        <v>3945</v>
      </c>
    </row>
    <row r="2666" ht="15.75" customHeight="1">
      <c r="O2666" s="4" t="s">
        <v>3946</v>
      </c>
    </row>
    <row r="2667" ht="15.75" customHeight="1">
      <c r="O2667" s="4" t="s">
        <v>3947</v>
      </c>
    </row>
    <row r="2668" ht="15.75" customHeight="1">
      <c r="O2668" s="4" t="s">
        <v>3948</v>
      </c>
    </row>
    <row r="2669" ht="15.75" customHeight="1">
      <c r="O2669" s="4" t="s">
        <v>3949</v>
      </c>
    </row>
    <row r="2670" ht="15.75" customHeight="1">
      <c r="O2670" s="4" t="s">
        <v>3950</v>
      </c>
    </row>
    <row r="2671" ht="15.75" customHeight="1">
      <c r="O2671" s="4" t="s">
        <v>3951</v>
      </c>
    </row>
    <row r="2672" ht="15.75" customHeight="1">
      <c r="O2672" s="4" t="s">
        <v>3952</v>
      </c>
    </row>
    <row r="2673" ht="15.75" customHeight="1">
      <c r="O2673" s="4" t="s">
        <v>3953</v>
      </c>
    </row>
    <row r="2674" ht="15.75" customHeight="1">
      <c r="O2674" s="4" t="s">
        <v>3954</v>
      </c>
    </row>
    <row r="2675" ht="15.75" customHeight="1">
      <c r="O2675" s="4" t="s">
        <v>3955</v>
      </c>
    </row>
    <row r="2676" ht="15.75" customHeight="1">
      <c r="O2676" s="4" t="s">
        <v>3956</v>
      </c>
    </row>
    <row r="2677" ht="15.75" customHeight="1">
      <c r="O2677" s="4" t="s">
        <v>3957</v>
      </c>
    </row>
    <row r="2678" ht="15.75" customHeight="1">
      <c r="O2678" s="4" t="s">
        <v>3958</v>
      </c>
    </row>
    <row r="2679" ht="15.75" customHeight="1">
      <c r="O2679" s="4" t="s">
        <v>3959</v>
      </c>
    </row>
    <row r="2680" ht="15.75" customHeight="1">
      <c r="O2680" s="4" t="s">
        <v>3960</v>
      </c>
    </row>
    <row r="2681" ht="15.75" customHeight="1">
      <c r="O2681" s="4" t="s">
        <v>3961</v>
      </c>
    </row>
    <row r="2682" ht="15.75" customHeight="1">
      <c r="O2682" s="4" t="s">
        <v>3962</v>
      </c>
    </row>
    <row r="2683" ht="15.75" customHeight="1">
      <c r="O2683" s="4" t="s">
        <v>3963</v>
      </c>
    </row>
    <row r="2684" ht="15.75" customHeight="1">
      <c r="O2684" s="4" t="s">
        <v>3964</v>
      </c>
    </row>
    <row r="2685" ht="15.75" customHeight="1">
      <c r="O2685" s="4" t="s">
        <v>3965</v>
      </c>
    </row>
    <row r="2686" ht="15.75" customHeight="1">
      <c r="O2686" s="4" t="s">
        <v>3966</v>
      </c>
    </row>
    <row r="2687" ht="15.75" customHeight="1">
      <c r="O2687" s="4" t="s">
        <v>3967</v>
      </c>
    </row>
    <row r="2688" ht="15.75" customHeight="1">
      <c r="O2688" s="4" t="s">
        <v>3968</v>
      </c>
    </row>
    <row r="2689" ht="15.75" customHeight="1">
      <c r="O2689" s="4" t="s">
        <v>3969</v>
      </c>
    </row>
    <row r="2690" ht="15.75" customHeight="1">
      <c r="O2690" s="4" t="s">
        <v>3970</v>
      </c>
    </row>
    <row r="2691" ht="15.75" customHeight="1">
      <c r="O2691" s="4" t="s">
        <v>3971</v>
      </c>
    </row>
    <row r="2692" ht="15.75" customHeight="1">
      <c r="O2692" s="4" t="s">
        <v>3972</v>
      </c>
    </row>
    <row r="2693" ht="15.75" customHeight="1">
      <c r="O2693" s="4" t="s">
        <v>3973</v>
      </c>
    </row>
    <row r="2694" ht="15.75" customHeight="1">
      <c r="O2694" s="4" t="s">
        <v>3974</v>
      </c>
    </row>
    <row r="2695" ht="15.75" customHeight="1">
      <c r="O2695" s="4" t="s">
        <v>3975</v>
      </c>
    </row>
    <row r="2696" ht="15.75" customHeight="1">
      <c r="O2696" s="4" t="s">
        <v>3976</v>
      </c>
    </row>
    <row r="2697" ht="15.75" customHeight="1">
      <c r="O2697" s="4" t="s">
        <v>3977</v>
      </c>
    </row>
    <row r="2698" ht="15.75" customHeight="1">
      <c r="O2698" s="4" t="s">
        <v>3978</v>
      </c>
    </row>
    <row r="2699" ht="15.75" customHeight="1">
      <c r="O2699" s="4" t="s">
        <v>3979</v>
      </c>
    </row>
    <row r="2700" ht="15.75" customHeight="1">
      <c r="O2700" s="4" t="s">
        <v>3980</v>
      </c>
    </row>
    <row r="2701" ht="15.75" customHeight="1">
      <c r="O2701" s="4" t="s">
        <v>3981</v>
      </c>
    </row>
    <row r="2702" ht="15.75" customHeight="1">
      <c r="O2702" s="4" t="s">
        <v>3982</v>
      </c>
    </row>
    <row r="2703" ht="15.75" customHeight="1">
      <c r="O2703" s="4" t="s">
        <v>3983</v>
      </c>
    </row>
    <row r="2704" ht="15.75" customHeight="1">
      <c r="O2704" s="4" t="s">
        <v>3984</v>
      </c>
    </row>
    <row r="2705" ht="15.75" customHeight="1">
      <c r="O2705" s="4" t="s">
        <v>3985</v>
      </c>
    </row>
    <row r="2706" ht="15.75" customHeight="1">
      <c r="O2706" s="4" t="s">
        <v>3986</v>
      </c>
    </row>
    <row r="2707" ht="15.75" customHeight="1">
      <c r="O2707" s="4" t="s">
        <v>3987</v>
      </c>
    </row>
    <row r="2708" ht="15.75" customHeight="1">
      <c r="O2708" s="4" t="s">
        <v>3988</v>
      </c>
    </row>
    <row r="2709" ht="15.75" customHeight="1">
      <c r="O2709" s="4" t="s">
        <v>3989</v>
      </c>
    </row>
    <row r="2710" ht="15.75" customHeight="1">
      <c r="O2710" s="4" t="s">
        <v>3990</v>
      </c>
    </row>
    <row r="2711" ht="15.75" customHeight="1">
      <c r="O2711" s="4" t="s">
        <v>3991</v>
      </c>
    </row>
    <row r="2712" ht="15.75" customHeight="1">
      <c r="O2712" s="4" t="s">
        <v>3992</v>
      </c>
    </row>
    <row r="2713" ht="15.75" customHeight="1">
      <c r="O2713" s="4" t="s">
        <v>3993</v>
      </c>
    </row>
    <row r="2714" ht="15.75" customHeight="1">
      <c r="O2714" s="4" t="s">
        <v>3994</v>
      </c>
    </row>
    <row r="2715" ht="15.75" customHeight="1">
      <c r="O2715" s="4" t="s">
        <v>3995</v>
      </c>
    </row>
    <row r="2716" ht="15.75" customHeight="1">
      <c r="O2716" s="4" t="s">
        <v>3996</v>
      </c>
    </row>
    <row r="2717" ht="15.75" customHeight="1">
      <c r="O2717" s="4" t="s">
        <v>3997</v>
      </c>
    </row>
    <row r="2718" ht="15.75" customHeight="1">
      <c r="O2718" s="4" t="s">
        <v>3998</v>
      </c>
    </row>
    <row r="2719" ht="15.75" customHeight="1">
      <c r="O2719" s="4" t="s">
        <v>3999</v>
      </c>
    </row>
    <row r="2720" ht="15.75" customHeight="1">
      <c r="O2720" s="4" t="s">
        <v>4000</v>
      </c>
    </row>
    <row r="2721" ht="15.75" customHeight="1">
      <c r="O2721" s="4" t="s">
        <v>4001</v>
      </c>
    </row>
    <row r="2722" ht="15.75" customHeight="1">
      <c r="O2722" s="4" t="s">
        <v>4002</v>
      </c>
    </row>
    <row r="2723" ht="15.75" customHeight="1">
      <c r="O2723" s="4" t="s">
        <v>4003</v>
      </c>
    </row>
    <row r="2724" ht="15.75" customHeight="1">
      <c r="O2724" s="4" t="s">
        <v>4004</v>
      </c>
    </row>
    <row r="2725" ht="15.75" customHeight="1">
      <c r="O2725" s="4" t="s">
        <v>4005</v>
      </c>
    </row>
    <row r="2726" ht="15.75" customHeight="1">
      <c r="O2726" s="4" t="s">
        <v>4006</v>
      </c>
    </row>
    <row r="2727" ht="15.75" customHeight="1">
      <c r="O2727" s="4" t="s">
        <v>4007</v>
      </c>
    </row>
    <row r="2728" ht="15.75" customHeight="1">
      <c r="O2728" s="4" t="s">
        <v>4008</v>
      </c>
    </row>
    <row r="2729" ht="15.75" customHeight="1">
      <c r="O2729" s="4" t="s">
        <v>4009</v>
      </c>
    </row>
    <row r="2730" ht="15.75" customHeight="1">
      <c r="O2730" s="4" t="s">
        <v>4010</v>
      </c>
    </row>
    <row r="2731" ht="15.75" customHeight="1">
      <c r="O2731" s="4" t="s">
        <v>4011</v>
      </c>
    </row>
    <row r="2732" ht="15.75" customHeight="1">
      <c r="O2732" s="4" t="s">
        <v>4012</v>
      </c>
    </row>
    <row r="2733" ht="15.75" customHeight="1">
      <c r="O2733" s="4" t="s">
        <v>4013</v>
      </c>
    </row>
    <row r="2734" ht="15.75" customHeight="1">
      <c r="O2734" s="4" t="s">
        <v>4014</v>
      </c>
    </row>
    <row r="2735" ht="15.75" customHeight="1">
      <c r="O2735" s="4" t="s">
        <v>4015</v>
      </c>
    </row>
    <row r="2736" ht="15.75" customHeight="1">
      <c r="O2736" s="4" t="s">
        <v>4016</v>
      </c>
    </row>
    <row r="2737" ht="15.75" customHeight="1">
      <c r="O2737" s="4" t="s">
        <v>4017</v>
      </c>
    </row>
    <row r="2738" ht="15.75" customHeight="1">
      <c r="O2738" s="4" t="s">
        <v>4018</v>
      </c>
    </row>
    <row r="2739" ht="15.75" customHeight="1">
      <c r="O2739" s="4" t="s">
        <v>4019</v>
      </c>
    </row>
    <row r="2740" ht="15.75" customHeight="1">
      <c r="O2740" s="4" t="s">
        <v>4020</v>
      </c>
    </row>
    <row r="2741" ht="15.75" customHeight="1">
      <c r="O2741" s="4" t="s">
        <v>4021</v>
      </c>
    </row>
    <row r="2742" ht="15.75" customHeight="1">
      <c r="O2742" s="4" t="s">
        <v>4022</v>
      </c>
    </row>
    <row r="2743" ht="15.75" customHeight="1">
      <c r="O2743" s="4" t="s">
        <v>4023</v>
      </c>
    </row>
    <row r="2744" ht="15.75" customHeight="1">
      <c r="O2744" s="4" t="s">
        <v>4024</v>
      </c>
    </row>
    <row r="2745" ht="15.75" customHeight="1">
      <c r="O2745" s="4" t="s">
        <v>4025</v>
      </c>
    </row>
    <row r="2746" ht="15.75" customHeight="1">
      <c r="O2746" s="4" t="s">
        <v>4026</v>
      </c>
    </row>
    <row r="2747" ht="15.75" customHeight="1">
      <c r="O2747" s="4" t="s">
        <v>4027</v>
      </c>
    </row>
    <row r="2748" ht="15.75" customHeight="1">
      <c r="O2748" s="4" t="s">
        <v>4028</v>
      </c>
    </row>
    <row r="2749" ht="15.75" customHeight="1">
      <c r="O2749" s="4" t="s">
        <v>4029</v>
      </c>
    </row>
    <row r="2750" ht="15.75" customHeight="1">
      <c r="O2750" s="4" t="s">
        <v>4030</v>
      </c>
    </row>
    <row r="2751" ht="15.75" customHeight="1">
      <c r="O2751" s="4" t="s">
        <v>4031</v>
      </c>
    </row>
    <row r="2752" ht="15.75" customHeight="1">
      <c r="O2752" s="4" t="s">
        <v>4032</v>
      </c>
    </row>
    <row r="2753" ht="15.75" customHeight="1">
      <c r="O2753" s="4" t="s">
        <v>4033</v>
      </c>
    </row>
    <row r="2754" ht="15.75" customHeight="1">
      <c r="O2754" s="4" t="s">
        <v>4034</v>
      </c>
    </row>
    <row r="2755" ht="15.75" customHeight="1">
      <c r="O2755" s="4" t="s">
        <v>4035</v>
      </c>
    </row>
    <row r="2756" ht="15.75" customHeight="1">
      <c r="O2756" s="4" t="s">
        <v>4036</v>
      </c>
    </row>
    <row r="2757" ht="15.75" customHeight="1">
      <c r="O2757" s="4" t="s">
        <v>4037</v>
      </c>
    </row>
    <row r="2758" ht="15.75" customHeight="1">
      <c r="O2758" s="4" t="s">
        <v>4038</v>
      </c>
    </row>
    <row r="2759" ht="15.75" customHeight="1">
      <c r="O2759" s="4" t="s">
        <v>4039</v>
      </c>
    </row>
    <row r="2760" ht="15.75" customHeight="1">
      <c r="O2760" s="4" t="s">
        <v>4040</v>
      </c>
    </row>
    <row r="2761" ht="15.75" customHeight="1">
      <c r="O2761" s="4" t="s">
        <v>4041</v>
      </c>
    </row>
    <row r="2762" ht="15.75" customHeight="1">
      <c r="O2762" s="4" t="s">
        <v>4042</v>
      </c>
    </row>
    <row r="2763" ht="15.75" customHeight="1">
      <c r="O2763" s="4" t="s">
        <v>4043</v>
      </c>
    </row>
    <row r="2764" ht="15.75" customHeight="1">
      <c r="O2764" s="4" t="s">
        <v>4044</v>
      </c>
    </row>
    <row r="2765" ht="15.75" customHeight="1">
      <c r="O2765" s="4" t="s">
        <v>4045</v>
      </c>
    </row>
    <row r="2766" ht="15.75" customHeight="1">
      <c r="O2766" s="4" t="s">
        <v>4046</v>
      </c>
    </row>
    <row r="2767" ht="15.75" customHeight="1">
      <c r="O2767" s="4" t="s">
        <v>4047</v>
      </c>
    </row>
    <row r="2768" ht="15.75" customHeight="1">
      <c r="O2768" s="4" t="s">
        <v>4048</v>
      </c>
    </row>
    <row r="2769" ht="15.75" customHeight="1">
      <c r="O2769" s="4" t="s">
        <v>4049</v>
      </c>
    </row>
    <row r="2770" ht="15.75" customHeight="1">
      <c r="O2770" s="4" t="s">
        <v>4050</v>
      </c>
    </row>
    <row r="2771" ht="15.75" customHeight="1">
      <c r="O2771" s="4" t="s">
        <v>4051</v>
      </c>
    </row>
    <row r="2772" ht="15.75" customHeight="1">
      <c r="O2772" s="4" t="s">
        <v>4052</v>
      </c>
    </row>
    <row r="2773" ht="15.75" customHeight="1">
      <c r="O2773" s="4" t="s">
        <v>4053</v>
      </c>
    </row>
    <row r="2774" ht="15.75" customHeight="1">
      <c r="O2774" s="4" t="s">
        <v>4054</v>
      </c>
    </row>
    <row r="2775" ht="15.75" customHeight="1">
      <c r="O2775" s="4" t="s">
        <v>4055</v>
      </c>
    </row>
    <row r="2776" ht="15.75" customHeight="1">
      <c r="O2776" s="4" t="s">
        <v>4056</v>
      </c>
    </row>
    <row r="2777" ht="15.75" customHeight="1">
      <c r="O2777" s="4" t="s">
        <v>4057</v>
      </c>
    </row>
    <row r="2778" ht="15.75" customHeight="1">
      <c r="O2778" s="4" t="s">
        <v>4058</v>
      </c>
    </row>
    <row r="2779" ht="15.75" customHeight="1">
      <c r="O2779" s="4" t="s">
        <v>4059</v>
      </c>
    </row>
    <row r="2780" ht="15.75" customHeight="1">
      <c r="O2780" s="4" t="s">
        <v>4060</v>
      </c>
    </row>
    <row r="2781" ht="15.75" customHeight="1">
      <c r="O2781" s="4" t="s">
        <v>4061</v>
      </c>
    </row>
    <row r="2782" ht="15.75" customHeight="1">
      <c r="O2782" s="4" t="s">
        <v>4062</v>
      </c>
    </row>
    <row r="2783" ht="15.75" customHeight="1">
      <c r="O2783" s="4" t="s">
        <v>4063</v>
      </c>
    </row>
    <row r="2784" ht="15.75" customHeight="1">
      <c r="O2784" s="4" t="s">
        <v>4064</v>
      </c>
    </row>
    <row r="2785" ht="15.75" customHeight="1">
      <c r="O2785" s="4" t="s">
        <v>4065</v>
      </c>
    </row>
    <row r="2786" ht="15.75" customHeight="1">
      <c r="O2786" s="4" t="s">
        <v>4066</v>
      </c>
    </row>
    <row r="2787" ht="15.75" customHeight="1">
      <c r="O2787" s="4" t="s">
        <v>4067</v>
      </c>
    </row>
    <row r="2788" ht="15.75" customHeight="1">
      <c r="O2788" s="4" t="s">
        <v>4068</v>
      </c>
    </row>
    <row r="2789" ht="15.75" customHeight="1">
      <c r="O2789" s="4" t="s">
        <v>4069</v>
      </c>
    </row>
    <row r="2790" ht="15.75" customHeight="1">
      <c r="O2790" s="4" t="s">
        <v>4070</v>
      </c>
    </row>
    <row r="2791" ht="15.75" customHeight="1">
      <c r="O2791" s="4" t="s">
        <v>4071</v>
      </c>
    </row>
    <row r="2792" ht="15.75" customHeight="1">
      <c r="O2792" s="4" t="s">
        <v>4072</v>
      </c>
    </row>
    <row r="2793" ht="15.75" customHeight="1">
      <c r="O2793" s="4" t="s">
        <v>4073</v>
      </c>
    </row>
    <row r="2794" ht="15.75" customHeight="1">
      <c r="O2794" s="4" t="s">
        <v>4074</v>
      </c>
    </row>
    <row r="2795" ht="15.75" customHeight="1">
      <c r="O2795" s="4" t="s">
        <v>4075</v>
      </c>
    </row>
    <row r="2796" ht="15.75" customHeight="1">
      <c r="O2796" s="4" t="s">
        <v>4076</v>
      </c>
    </row>
    <row r="2797" ht="15.75" customHeight="1">
      <c r="O2797" s="4" t="s">
        <v>4077</v>
      </c>
    </row>
    <row r="2798" ht="15.75" customHeight="1">
      <c r="O2798" s="4" t="s">
        <v>4078</v>
      </c>
    </row>
    <row r="2799" ht="15.75" customHeight="1">
      <c r="O2799" s="4" t="s">
        <v>4079</v>
      </c>
    </row>
    <row r="2800" ht="15.75" customHeight="1">
      <c r="O2800" s="4" t="s">
        <v>4080</v>
      </c>
    </row>
    <row r="2801" ht="15.75" customHeight="1">
      <c r="O2801" s="4" t="s">
        <v>4081</v>
      </c>
    </row>
    <row r="2802" ht="15.75" customHeight="1">
      <c r="O2802" s="4" t="s">
        <v>4082</v>
      </c>
    </row>
    <row r="2803" ht="15.75" customHeight="1">
      <c r="O2803" s="4" t="s">
        <v>4083</v>
      </c>
    </row>
    <row r="2804" ht="15.75" customHeight="1">
      <c r="O2804" s="4" t="s">
        <v>4084</v>
      </c>
    </row>
    <row r="2805" ht="15.75" customHeight="1">
      <c r="O2805" s="4" t="s">
        <v>4085</v>
      </c>
    </row>
    <row r="2806" ht="15.75" customHeight="1">
      <c r="O2806" s="4" t="s">
        <v>4086</v>
      </c>
    </row>
    <row r="2807" ht="15.75" customHeight="1">
      <c r="O2807" s="4" t="s">
        <v>4087</v>
      </c>
    </row>
    <row r="2808" ht="15.75" customHeight="1">
      <c r="O2808" s="4" t="s">
        <v>4088</v>
      </c>
    </row>
    <row r="2809" ht="15.75" customHeight="1">
      <c r="O2809" s="4" t="s">
        <v>4089</v>
      </c>
    </row>
    <row r="2810" ht="15.75" customHeight="1">
      <c r="O2810" s="4" t="s">
        <v>4090</v>
      </c>
    </row>
    <row r="2811" ht="15.75" customHeight="1">
      <c r="O2811" s="4" t="s">
        <v>4091</v>
      </c>
    </row>
    <row r="2812" ht="15.75" customHeight="1">
      <c r="O2812" s="4" t="s">
        <v>4092</v>
      </c>
    </row>
    <row r="2813" ht="15.75" customHeight="1">
      <c r="O2813" s="4" t="s">
        <v>4093</v>
      </c>
    </row>
    <row r="2814" ht="15.75" customHeight="1">
      <c r="O2814" s="4" t="s">
        <v>4094</v>
      </c>
    </row>
    <row r="2815" ht="15.75" customHeight="1">
      <c r="O2815" s="4" t="s">
        <v>4095</v>
      </c>
    </row>
    <row r="2816" ht="15.75" customHeight="1">
      <c r="O2816" s="4" t="s">
        <v>4096</v>
      </c>
    </row>
    <row r="2817" ht="15.75" customHeight="1">
      <c r="O2817" s="4" t="s">
        <v>4097</v>
      </c>
    </row>
    <row r="2818" ht="15.75" customHeight="1">
      <c r="O2818" s="4" t="s">
        <v>4098</v>
      </c>
    </row>
    <row r="2819" ht="15.75" customHeight="1">
      <c r="O2819" s="4" t="s">
        <v>4099</v>
      </c>
    </row>
    <row r="2820" ht="15.75" customHeight="1">
      <c r="O2820" s="4" t="s">
        <v>4100</v>
      </c>
    </row>
    <row r="2821" ht="15.75" customHeight="1">
      <c r="O2821" s="4" t="s">
        <v>4101</v>
      </c>
    </row>
    <row r="2822" ht="15.75" customHeight="1">
      <c r="O2822" s="4" t="s">
        <v>4102</v>
      </c>
    </row>
    <row r="2823" ht="15.75" customHeight="1">
      <c r="O2823" s="4" t="s">
        <v>4103</v>
      </c>
    </row>
    <row r="2824" ht="15.75" customHeight="1">
      <c r="O2824" s="4" t="s">
        <v>4104</v>
      </c>
    </row>
    <row r="2825" ht="15.75" customHeight="1">
      <c r="O2825" s="4" t="s">
        <v>4105</v>
      </c>
    </row>
    <row r="2826" ht="15.75" customHeight="1">
      <c r="O2826" s="4" t="s">
        <v>4106</v>
      </c>
    </row>
    <row r="2827" ht="15.75" customHeight="1">
      <c r="O2827" s="4" t="s">
        <v>4107</v>
      </c>
    </row>
    <row r="2828" ht="15.75" customHeight="1">
      <c r="O2828" s="4" t="s">
        <v>4108</v>
      </c>
    </row>
    <row r="2829" ht="15.75" customHeight="1">
      <c r="O2829" s="4" t="s">
        <v>4109</v>
      </c>
    </row>
    <row r="2830" ht="15.75" customHeight="1">
      <c r="O2830" s="4" t="s">
        <v>4110</v>
      </c>
    </row>
    <row r="2831" ht="15.75" customHeight="1">
      <c r="O2831" s="4" t="s">
        <v>4111</v>
      </c>
    </row>
    <row r="2832" ht="15.75" customHeight="1">
      <c r="O2832" s="4" t="s">
        <v>4112</v>
      </c>
    </row>
    <row r="2833" ht="15.75" customHeight="1">
      <c r="O2833" s="4" t="s">
        <v>4113</v>
      </c>
    </row>
    <row r="2834" ht="15.75" customHeight="1">
      <c r="O2834" s="4" t="s">
        <v>4114</v>
      </c>
    </row>
    <row r="2835" ht="15.75" customHeight="1">
      <c r="O2835" s="4" t="s">
        <v>4115</v>
      </c>
    </row>
    <row r="2836" ht="15.75" customHeight="1">
      <c r="O2836" s="4" t="s">
        <v>4116</v>
      </c>
    </row>
    <row r="2837" ht="15.75" customHeight="1">
      <c r="O2837" s="4" t="s">
        <v>4117</v>
      </c>
    </row>
    <row r="2838" ht="15.75" customHeight="1">
      <c r="O2838" s="4" t="s">
        <v>4118</v>
      </c>
    </row>
    <row r="2839" ht="15.75" customHeight="1">
      <c r="O2839" s="4" t="s">
        <v>4119</v>
      </c>
    </row>
    <row r="2840" ht="15.75" customHeight="1">
      <c r="O2840" s="4" t="s">
        <v>4120</v>
      </c>
    </row>
    <row r="2841" ht="15.75" customHeight="1">
      <c r="O2841" s="4" t="s">
        <v>4121</v>
      </c>
    </row>
    <row r="2842" ht="15.75" customHeight="1">
      <c r="O2842" s="4" t="s">
        <v>4122</v>
      </c>
    </row>
    <row r="2843" ht="15.75" customHeight="1">
      <c r="O2843" s="4" t="s">
        <v>4123</v>
      </c>
    </row>
    <row r="2844" ht="15.75" customHeight="1">
      <c r="O2844" s="4" t="s">
        <v>4124</v>
      </c>
    </row>
    <row r="2845" ht="15.75" customHeight="1">
      <c r="O2845" s="4" t="s">
        <v>4125</v>
      </c>
    </row>
    <row r="2846" ht="15.75" customHeight="1">
      <c r="O2846" s="4" t="s">
        <v>4126</v>
      </c>
    </row>
    <row r="2847" ht="15.75" customHeight="1">
      <c r="O2847" s="4" t="s">
        <v>4127</v>
      </c>
    </row>
    <row r="2848" ht="15.75" customHeight="1">
      <c r="O2848" s="4" t="s">
        <v>4128</v>
      </c>
    </row>
    <row r="2849" ht="15.75" customHeight="1">
      <c r="O2849" s="4" t="s">
        <v>4129</v>
      </c>
    </row>
    <row r="2850" ht="15.75" customHeight="1">
      <c r="O2850" s="4" t="s">
        <v>4130</v>
      </c>
    </row>
    <row r="2851" ht="15.75" customHeight="1">
      <c r="O2851" s="4" t="s">
        <v>4131</v>
      </c>
    </row>
    <row r="2852" ht="15.75" customHeight="1">
      <c r="O2852" s="4" t="s">
        <v>4132</v>
      </c>
    </row>
    <row r="2853" ht="15.75" customHeight="1">
      <c r="O2853" s="4" t="s">
        <v>4133</v>
      </c>
    </row>
    <row r="2854" ht="15.75" customHeight="1">
      <c r="O2854" s="4" t="s">
        <v>4134</v>
      </c>
    </row>
    <row r="2855" ht="15.75" customHeight="1">
      <c r="O2855" s="4" t="s">
        <v>4135</v>
      </c>
    </row>
    <row r="2856" ht="15.75" customHeight="1">
      <c r="O2856" s="4" t="s">
        <v>4136</v>
      </c>
    </row>
    <row r="2857" ht="15.75" customHeight="1">
      <c r="O2857" s="4" t="s">
        <v>4137</v>
      </c>
    </row>
    <row r="2858" ht="15.75" customHeight="1">
      <c r="O2858" s="4" t="s">
        <v>4138</v>
      </c>
    </row>
    <row r="2859" ht="15.75" customHeight="1">
      <c r="O2859" s="4" t="s">
        <v>4139</v>
      </c>
    </row>
    <row r="2860" ht="15.75" customHeight="1">
      <c r="O2860" s="4" t="s">
        <v>4140</v>
      </c>
    </row>
    <row r="2861" ht="15.75" customHeight="1">
      <c r="O2861" s="4" t="s">
        <v>4141</v>
      </c>
    </row>
    <row r="2862" ht="15.75" customHeight="1">
      <c r="O2862" s="4" t="s">
        <v>4142</v>
      </c>
    </row>
    <row r="2863" ht="15.75" customHeight="1">
      <c r="O2863" s="4" t="s">
        <v>4143</v>
      </c>
    </row>
    <row r="2864" ht="15.75" customHeight="1">
      <c r="O2864" s="4" t="s">
        <v>4144</v>
      </c>
    </row>
    <row r="2865" ht="15.75" customHeight="1">
      <c r="O2865" s="4" t="s">
        <v>4145</v>
      </c>
    </row>
    <row r="2866" ht="15.75" customHeight="1">
      <c r="O2866" s="4" t="s">
        <v>4146</v>
      </c>
    </row>
    <row r="2867" ht="15.75" customHeight="1">
      <c r="O2867" s="4" t="s">
        <v>4147</v>
      </c>
    </row>
    <row r="2868" ht="15.75" customHeight="1">
      <c r="O2868" s="4" t="s">
        <v>4148</v>
      </c>
    </row>
    <row r="2869" ht="15.75" customHeight="1">
      <c r="O2869" s="4" t="s">
        <v>4149</v>
      </c>
    </row>
    <row r="2870" ht="15.75" customHeight="1">
      <c r="O2870" s="4" t="s">
        <v>4150</v>
      </c>
    </row>
    <row r="2871" ht="15.75" customHeight="1">
      <c r="O2871" s="4" t="s">
        <v>4151</v>
      </c>
    </row>
    <row r="2872" ht="15.75" customHeight="1">
      <c r="O2872" s="4" t="s">
        <v>4152</v>
      </c>
    </row>
    <row r="2873" ht="15.75" customHeight="1">
      <c r="O2873" s="4" t="s">
        <v>4153</v>
      </c>
    </row>
    <row r="2874" ht="15.75" customHeight="1">
      <c r="O2874" s="4" t="s">
        <v>4154</v>
      </c>
    </row>
    <row r="2875" ht="15.75" customHeight="1">
      <c r="O2875" s="4" t="s">
        <v>4155</v>
      </c>
    </row>
    <row r="2876" ht="15.75" customHeight="1">
      <c r="O2876" s="4" t="s">
        <v>4156</v>
      </c>
    </row>
    <row r="2877" ht="15.75" customHeight="1">
      <c r="O2877" s="4" t="s">
        <v>4157</v>
      </c>
    </row>
    <row r="2878" ht="15.75" customHeight="1">
      <c r="O2878" s="4" t="s">
        <v>4158</v>
      </c>
    </row>
    <row r="2879" ht="15.75" customHeight="1">
      <c r="O2879" s="4" t="s">
        <v>4159</v>
      </c>
    </row>
    <row r="2880" ht="15.75" customHeight="1">
      <c r="O2880" s="4" t="s">
        <v>4160</v>
      </c>
    </row>
    <row r="2881" ht="15.75" customHeight="1">
      <c r="O2881" s="4" t="s">
        <v>4161</v>
      </c>
    </row>
    <row r="2882" ht="15.75" customHeight="1">
      <c r="O2882" s="4" t="s">
        <v>4162</v>
      </c>
    </row>
    <row r="2883" ht="15.75" customHeight="1">
      <c r="O2883" s="4" t="s">
        <v>4163</v>
      </c>
    </row>
    <row r="2884" ht="15.75" customHeight="1">
      <c r="O2884" s="4" t="s">
        <v>4164</v>
      </c>
    </row>
    <row r="2885" ht="15.75" customHeight="1">
      <c r="O2885" s="4" t="s">
        <v>4165</v>
      </c>
    </row>
    <row r="2886" ht="15.75" customHeight="1">
      <c r="O2886" s="4" t="s">
        <v>4166</v>
      </c>
    </row>
    <row r="2887" ht="15.75" customHeight="1">
      <c r="O2887" s="4" t="s">
        <v>4167</v>
      </c>
    </row>
    <row r="2888" ht="15.75" customHeight="1">
      <c r="O2888" s="4" t="s">
        <v>4168</v>
      </c>
    </row>
    <row r="2889" ht="15.75" customHeight="1">
      <c r="O2889" s="4" t="s">
        <v>4169</v>
      </c>
    </row>
    <row r="2890" ht="15.75" customHeight="1">
      <c r="O2890" s="4" t="s">
        <v>4170</v>
      </c>
    </row>
    <row r="2891" ht="15.75" customHeight="1">
      <c r="O2891" s="4" t="s">
        <v>4171</v>
      </c>
    </row>
    <row r="2892" ht="15.75" customHeight="1">
      <c r="O2892" s="4" t="s">
        <v>4172</v>
      </c>
    </row>
    <row r="2893" ht="15.75" customHeight="1">
      <c r="O2893" s="4" t="s">
        <v>4173</v>
      </c>
    </row>
    <row r="2894" ht="15.75" customHeight="1">
      <c r="O2894" s="4" t="s">
        <v>4174</v>
      </c>
    </row>
    <row r="2895" ht="15.75" customHeight="1">
      <c r="O2895" s="4" t="s">
        <v>4175</v>
      </c>
    </row>
    <row r="2896" ht="15.75" customHeight="1">
      <c r="O2896" s="4" t="s">
        <v>4176</v>
      </c>
    </row>
    <row r="2897" ht="15.75" customHeight="1">
      <c r="O2897" s="4" t="s">
        <v>4177</v>
      </c>
    </row>
    <row r="2898" ht="15.75" customHeight="1">
      <c r="O2898" s="4" t="s">
        <v>4178</v>
      </c>
    </row>
    <row r="2899" ht="15.75" customHeight="1">
      <c r="O2899" s="4" t="s">
        <v>4179</v>
      </c>
    </row>
    <row r="2900" ht="15.75" customHeight="1">
      <c r="O2900" s="4" t="s">
        <v>4180</v>
      </c>
    </row>
    <row r="2901" ht="15.75" customHeight="1">
      <c r="O2901" s="4" t="s">
        <v>4181</v>
      </c>
    </row>
    <row r="2902" ht="15.75" customHeight="1">
      <c r="O2902" s="4" t="s">
        <v>4182</v>
      </c>
    </row>
    <row r="2903" ht="15.75" customHeight="1">
      <c r="O2903" s="4" t="s">
        <v>4183</v>
      </c>
    </row>
    <row r="2904" ht="15.75" customHeight="1">
      <c r="O2904" s="4" t="s">
        <v>4184</v>
      </c>
    </row>
    <row r="2905" ht="15.75" customHeight="1">
      <c r="O2905" s="4" t="s">
        <v>4185</v>
      </c>
    </row>
    <row r="2906" ht="15.75" customHeight="1">
      <c r="O2906" s="4" t="s">
        <v>4186</v>
      </c>
    </row>
    <row r="2907" ht="15.75" customHeight="1">
      <c r="O2907" s="4" t="s">
        <v>4187</v>
      </c>
    </row>
    <row r="2908" ht="15.75" customHeight="1">
      <c r="O2908" s="4" t="s">
        <v>447</v>
      </c>
    </row>
    <row r="2909" ht="15.75" customHeight="1">
      <c r="O2909" s="4" t="s">
        <v>4188</v>
      </c>
    </row>
    <row r="2910" ht="15.75" customHeight="1">
      <c r="O2910" s="4" t="s">
        <v>4189</v>
      </c>
    </row>
    <row r="2911" ht="15.75" customHeight="1">
      <c r="O2911" s="4" t="s">
        <v>4190</v>
      </c>
    </row>
    <row r="2912" ht="15.75" customHeight="1">
      <c r="O2912" s="4" t="s">
        <v>4191</v>
      </c>
    </row>
    <row r="2913" ht="15.75" customHeight="1">
      <c r="O2913" s="4" t="s">
        <v>4192</v>
      </c>
    </row>
    <row r="2914" ht="15.75" customHeight="1">
      <c r="O2914" s="4" t="s">
        <v>4193</v>
      </c>
    </row>
    <row r="2915" ht="15.75" customHeight="1">
      <c r="O2915" s="4" t="s">
        <v>4194</v>
      </c>
    </row>
    <row r="2916" ht="15.75" customHeight="1">
      <c r="O2916" s="4" t="s">
        <v>4195</v>
      </c>
    </row>
    <row r="2917" ht="15.75" customHeight="1">
      <c r="O2917" s="4" t="s">
        <v>4196</v>
      </c>
    </row>
    <row r="2918" ht="15.75" customHeight="1">
      <c r="O2918" s="4" t="s">
        <v>4197</v>
      </c>
    </row>
    <row r="2919" ht="15.75" customHeight="1">
      <c r="O2919" s="4" t="s">
        <v>4198</v>
      </c>
    </row>
    <row r="2920" ht="15.75" customHeight="1">
      <c r="O2920" s="4" t="s">
        <v>4199</v>
      </c>
    </row>
    <row r="2921" ht="15.75" customHeight="1">
      <c r="O2921" s="4" t="s">
        <v>4200</v>
      </c>
    </row>
    <row r="2922" ht="15.75" customHeight="1">
      <c r="O2922" s="4" t="s">
        <v>4201</v>
      </c>
    </row>
    <row r="2923" ht="15.75" customHeight="1">
      <c r="O2923" s="4" t="s">
        <v>4202</v>
      </c>
    </row>
    <row r="2924" ht="15.75" customHeight="1">
      <c r="O2924" s="4" t="s">
        <v>4203</v>
      </c>
    </row>
    <row r="2925" ht="15.75" customHeight="1">
      <c r="O2925" s="4" t="s">
        <v>4204</v>
      </c>
    </row>
    <row r="2926" ht="15.75" customHeight="1">
      <c r="O2926" s="4" t="s">
        <v>4205</v>
      </c>
    </row>
    <row r="2927" ht="15.75" customHeight="1">
      <c r="O2927" s="4" t="s">
        <v>4206</v>
      </c>
    </row>
    <row r="2928" ht="15.75" customHeight="1">
      <c r="O2928" s="4" t="s">
        <v>4207</v>
      </c>
    </row>
    <row r="2929" ht="15.75" customHeight="1">
      <c r="O2929" s="4" t="s">
        <v>4208</v>
      </c>
    </row>
    <row r="2930" ht="15.75" customHeight="1">
      <c r="O2930" s="4" t="s">
        <v>4209</v>
      </c>
    </row>
    <row r="2931" ht="15.75" customHeight="1">
      <c r="O2931" s="4" t="s">
        <v>4210</v>
      </c>
    </row>
    <row r="2932" ht="15.75" customHeight="1">
      <c r="O2932" s="4" t="s">
        <v>4211</v>
      </c>
    </row>
    <row r="2933" ht="15.75" customHeight="1">
      <c r="O2933" s="4" t="s">
        <v>4212</v>
      </c>
    </row>
    <row r="2934" ht="15.75" customHeight="1">
      <c r="O2934" s="4" t="s">
        <v>4213</v>
      </c>
    </row>
    <row r="2935" ht="15.75" customHeight="1">
      <c r="O2935" s="4" t="s">
        <v>4214</v>
      </c>
    </row>
    <row r="2936" ht="15.75" customHeight="1">
      <c r="O2936" s="4" t="s">
        <v>4215</v>
      </c>
    </row>
    <row r="2937" ht="15.75" customHeight="1">
      <c r="O2937" s="4" t="s">
        <v>4216</v>
      </c>
    </row>
    <row r="2938" ht="15.75" customHeight="1">
      <c r="O2938" s="4" t="s">
        <v>4217</v>
      </c>
    </row>
    <row r="2939" ht="15.75" customHeight="1">
      <c r="O2939" s="4" t="s">
        <v>4218</v>
      </c>
    </row>
    <row r="2940" ht="15.75" customHeight="1">
      <c r="O2940" s="4" t="s">
        <v>4219</v>
      </c>
    </row>
    <row r="2941" ht="15.75" customHeight="1">
      <c r="O2941" s="4" t="s">
        <v>4220</v>
      </c>
    </row>
    <row r="2942" ht="15.75" customHeight="1">
      <c r="O2942" s="4" t="s">
        <v>4221</v>
      </c>
    </row>
    <row r="2943" ht="15.75" customHeight="1">
      <c r="O2943" s="4" t="s">
        <v>4222</v>
      </c>
    </row>
    <row r="2944" ht="15.75" customHeight="1">
      <c r="O2944" s="4" t="s">
        <v>4223</v>
      </c>
    </row>
    <row r="2945" ht="15.75" customHeight="1">
      <c r="O2945" s="4" t="s">
        <v>4224</v>
      </c>
    </row>
    <row r="2946" ht="15.75" customHeight="1">
      <c r="O2946" s="4" t="s">
        <v>4225</v>
      </c>
    </row>
    <row r="2947" ht="15.75" customHeight="1">
      <c r="O2947" s="4" t="s">
        <v>4226</v>
      </c>
    </row>
    <row r="2948" ht="15.75" customHeight="1">
      <c r="O2948" s="4" t="s">
        <v>4227</v>
      </c>
    </row>
    <row r="2949" ht="15.75" customHeight="1">
      <c r="O2949" s="4" t="s">
        <v>4228</v>
      </c>
    </row>
    <row r="2950" ht="15.75" customHeight="1">
      <c r="O2950" s="4" t="s">
        <v>4229</v>
      </c>
    </row>
    <row r="2951" ht="15.75" customHeight="1">
      <c r="O2951" s="4" t="s">
        <v>4230</v>
      </c>
    </row>
    <row r="2952" ht="15.75" customHeight="1">
      <c r="O2952" s="4" t="s">
        <v>4231</v>
      </c>
    </row>
    <row r="2953" ht="15.75" customHeight="1">
      <c r="O2953" s="4" t="s">
        <v>4232</v>
      </c>
    </row>
    <row r="2954" ht="15.75" customHeight="1">
      <c r="O2954" s="4" t="s">
        <v>4233</v>
      </c>
    </row>
    <row r="2955" ht="15.75" customHeight="1">
      <c r="O2955" s="4" t="s">
        <v>4234</v>
      </c>
    </row>
    <row r="2956" ht="15.75" customHeight="1">
      <c r="O2956" s="4" t="s">
        <v>4235</v>
      </c>
    </row>
    <row r="2957" ht="15.75" customHeight="1">
      <c r="O2957" s="4" t="s">
        <v>4236</v>
      </c>
    </row>
    <row r="2958" ht="15.75" customHeight="1">
      <c r="O2958" s="4" t="s">
        <v>4237</v>
      </c>
    </row>
    <row r="2959" ht="15.75" customHeight="1">
      <c r="O2959" s="4" t="s">
        <v>4238</v>
      </c>
    </row>
    <row r="2960" ht="15.75" customHeight="1">
      <c r="O2960" s="4" t="s">
        <v>4239</v>
      </c>
    </row>
    <row r="2961" ht="15.75" customHeight="1">
      <c r="O2961" s="4" t="s">
        <v>4240</v>
      </c>
    </row>
    <row r="2962" ht="15.75" customHeight="1">
      <c r="O2962" s="4" t="s">
        <v>4241</v>
      </c>
    </row>
    <row r="2963" ht="15.75" customHeight="1">
      <c r="O2963" s="4" t="s">
        <v>4242</v>
      </c>
    </row>
    <row r="2964" ht="15.75" customHeight="1">
      <c r="O2964" s="4" t="s">
        <v>4243</v>
      </c>
    </row>
    <row r="2965" ht="15.75" customHeight="1">
      <c r="O2965" s="4" t="s">
        <v>4244</v>
      </c>
    </row>
    <row r="2966" ht="15.75" customHeight="1">
      <c r="O2966" s="4" t="s">
        <v>4245</v>
      </c>
    </row>
    <row r="2967" ht="15.75" customHeight="1">
      <c r="O2967" s="4" t="s">
        <v>4246</v>
      </c>
    </row>
    <row r="2968" ht="15.75" customHeight="1">
      <c r="O2968" s="4" t="s">
        <v>4247</v>
      </c>
    </row>
    <row r="2969" ht="15.75" customHeight="1">
      <c r="O2969" s="4" t="s">
        <v>4248</v>
      </c>
    </row>
    <row r="2970" ht="15.75" customHeight="1">
      <c r="O2970" s="4" t="s">
        <v>4249</v>
      </c>
    </row>
    <row r="2971" ht="15.75" customHeight="1">
      <c r="O2971" s="4" t="s">
        <v>4250</v>
      </c>
    </row>
    <row r="2972" ht="15.75" customHeight="1">
      <c r="O2972" s="4" t="s">
        <v>4251</v>
      </c>
    </row>
    <row r="2973" ht="15.75" customHeight="1">
      <c r="O2973" s="4" t="s">
        <v>4252</v>
      </c>
    </row>
    <row r="2974" ht="15.75" customHeight="1">
      <c r="O2974" s="4" t="s">
        <v>4253</v>
      </c>
    </row>
    <row r="2975" ht="15.75" customHeight="1">
      <c r="O2975" s="4" t="s">
        <v>4254</v>
      </c>
    </row>
    <row r="2976" ht="15.75" customHeight="1">
      <c r="O2976" s="4" t="s">
        <v>4255</v>
      </c>
    </row>
    <row r="2977" ht="15.75" customHeight="1">
      <c r="O2977" s="4" t="s">
        <v>4256</v>
      </c>
    </row>
    <row r="2978" ht="15.75" customHeight="1">
      <c r="O2978" s="4" t="s">
        <v>4257</v>
      </c>
    </row>
    <row r="2979" ht="15.75" customHeight="1">
      <c r="O2979" s="4" t="s">
        <v>4258</v>
      </c>
    </row>
    <row r="2980" ht="15.75" customHeight="1">
      <c r="O2980" s="4" t="s">
        <v>4259</v>
      </c>
    </row>
    <row r="2981" ht="15.75" customHeight="1">
      <c r="O2981" s="4" t="s">
        <v>4260</v>
      </c>
    </row>
    <row r="2982" ht="15.75" customHeight="1">
      <c r="O2982" s="4" t="s">
        <v>4261</v>
      </c>
    </row>
    <row r="2983" ht="15.75" customHeight="1">
      <c r="O2983" s="4" t="s">
        <v>4262</v>
      </c>
    </row>
    <row r="2984" ht="15.75" customHeight="1">
      <c r="O2984" s="4" t="s">
        <v>4263</v>
      </c>
    </row>
    <row r="2985" ht="15.75" customHeight="1">
      <c r="O2985" s="4" t="s">
        <v>4264</v>
      </c>
    </row>
    <row r="2986" ht="15.75" customHeight="1">
      <c r="O2986" s="4" t="s">
        <v>4265</v>
      </c>
    </row>
    <row r="2987" ht="15.75" customHeight="1">
      <c r="O2987" s="4" t="s">
        <v>4266</v>
      </c>
    </row>
    <row r="2988" ht="15.75" customHeight="1">
      <c r="O2988" s="4" t="s">
        <v>4267</v>
      </c>
    </row>
    <row r="2989" ht="15.75" customHeight="1">
      <c r="O2989" s="4" t="s">
        <v>4268</v>
      </c>
    </row>
    <row r="2990" ht="15.75" customHeight="1">
      <c r="O2990" s="4" t="s">
        <v>4269</v>
      </c>
    </row>
    <row r="2991" ht="15.75" customHeight="1">
      <c r="O2991" s="4" t="s">
        <v>4270</v>
      </c>
    </row>
    <row r="2992" ht="15.75" customHeight="1">
      <c r="O2992" s="4" t="s">
        <v>4271</v>
      </c>
    </row>
    <row r="2993" ht="15.75" customHeight="1">
      <c r="O2993" s="4" t="s">
        <v>4272</v>
      </c>
    </row>
    <row r="2994" ht="15.75" customHeight="1">
      <c r="O2994" s="4" t="s">
        <v>4273</v>
      </c>
    </row>
    <row r="2995" ht="15.75" customHeight="1">
      <c r="O2995" s="4" t="s">
        <v>4274</v>
      </c>
    </row>
    <row r="2996" ht="15.75" customHeight="1">
      <c r="O2996" s="4" t="s">
        <v>4275</v>
      </c>
    </row>
    <row r="2997" ht="15.75" customHeight="1">
      <c r="O2997" s="4" t="s">
        <v>4276</v>
      </c>
    </row>
    <row r="2998" ht="15.75" customHeight="1">
      <c r="O2998" s="4" t="s">
        <v>4277</v>
      </c>
    </row>
    <row r="2999" ht="15.75" customHeight="1">
      <c r="O2999" s="4" t="s">
        <v>4278</v>
      </c>
    </row>
    <row r="3000" ht="15.75" customHeight="1">
      <c r="O3000" s="4" t="s">
        <v>4279</v>
      </c>
    </row>
    <row r="3001" ht="15.75" customHeight="1">
      <c r="O3001" s="4" t="s">
        <v>4280</v>
      </c>
    </row>
    <row r="3002" ht="15.75" customHeight="1">
      <c r="O3002" s="4" t="s">
        <v>4281</v>
      </c>
    </row>
    <row r="3003" ht="15.75" customHeight="1">
      <c r="O3003" s="4" t="s">
        <v>4282</v>
      </c>
    </row>
    <row r="3004" ht="15.75" customHeight="1">
      <c r="O3004" s="4" t="s">
        <v>4283</v>
      </c>
    </row>
    <row r="3005" ht="15.75" customHeight="1">
      <c r="O3005" s="4" t="s">
        <v>4284</v>
      </c>
    </row>
    <row r="3006" ht="15.75" customHeight="1">
      <c r="O3006" s="4" t="s">
        <v>4285</v>
      </c>
    </row>
    <row r="3007" ht="15.75" customHeight="1">
      <c r="O3007" s="4" t="s">
        <v>4286</v>
      </c>
    </row>
    <row r="3008" ht="15.75" customHeight="1">
      <c r="O3008" s="4" t="s">
        <v>4287</v>
      </c>
    </row>
    <row r="3009" ht="15.75" customHeight="1">
      <c r="O3009" s="4" t="s">
        <v>4288</v>
      </c>
    </row>
    <row r="3010" ht="15.75" customHeight="1">
      <c r="O3010" s="4" t="s">
        <v>4289</v>
      </c>
    </row>
    <row r="3011" ht="15.75" customHeight="1">
      <c r="O3011" s="4" t="s">
        <v>4290</v>
      </c>
    </row>
    <row r="3012" ht="15.75" customHeight="1">
      <c r="O3012" s="4" t="s">
        <v>4291</v>
      </c>
    </row>
    <row r="3013" ht="15.75" customHeight="1">
      <c r="O3013" s="4" t="s">
        <v>4292</v>
      </c>
    </row>
    <row r="3014" ht="15.75" customHeight="1">
      <c r="O3014" s="4" t="s">
        <v>4293</v>
      </c>
    </row>
    <row r="3015" ht="15.75" customHeight="1">
      <c r="O3015" s="4" t="s">
        <v>4294</v>
      </c>
    </row>
    <row r="3016" ht="15.75" customHeight="1">
      <c r="O3016" s="4" t="s">
        <v>4295</v>
      </c>
    </row>
    <row r="3017" ht="15.75" customHeight="1">
      <c r="O3017" s="4" t="s">
        <v>4296</v>
      </c>
    </row>
    <row r="3018" ht="15.75" customHeight="1">
      <c r="O3018" s="4" t="s">
        <v>4297</v>
      </c>
    </row>
    <row r="3019" ht="15.75" customHeight="1">
      <c r="O3019" s="4" t="s">
        <v>4298</v>
      </c>
    </row>
    <row r="3020" ht="15.75" customHeight="1">
      <c r="O3020" s="4" t="s">
        <v>4299</v>
      </c>
    </row>
    <row r="3021" ht="15.75" customHeight="1">
      <c r="O3021" s="4" t="s">
        <v>4300</v>
      </c>
    </row>
    <row r="3022" ht="15.75" customHeight="1">
      <c r="O3022" s="4" t="s">
        <v>4301</v>
      </c>
    </row>
    <row r="3023" ht="15.75" customHeight="1">
      <c r="O3023" s="4" t="s">
        <v>4302</v>
      </c>
    </row>
    <row r="3024" ht="15.75" customHeight="1">
      <c r="O3024" s="4" t="s">
        <v>4303</v>
      </c>
    </row>
    <row r="3025" ht="15.75" customHeight="1">
      <c r="O3025" s="4" t="s">
        <v>4304</v>
      </c>
    </row>
    <row r="3026" ht="15.75" customHeight="1">
      <c r="O3026" s="4" t="s">
        <v>4305</v>
      </c>
    </row>
    <row r="3027" ht="15.75" customHeight="1">
      <c r="O3027" s="4" t="s">
        <v>4306</v>
      </c>
    </row>
    <row r="3028" ht="15.75" customHeight="1">
      <c r="O3028" s="4" t="s">
        <v>4307</v>
      </c>
    </row>
    <row r="3029" ht="15.75" customHeight="1">
      <c r="O3029" s="4" t="s">
        <v>4308</v>
      </c>
    </row>
    <row r="3030" ht="15.75" customHeight="1">
      <c r="O3030" s="4" t="s">
        <v>4309</v>
      </c>
    </row>
    <row r="3031" ht="15.75" customHeight="1">
      <c r="O3031" s="4" t="s">
        <v>4310</v>
      </c>
    </row>
    <row r="3032" ht="15.75" customHeight="1">
      <c r="O3032" s="4" t="s">
        <v>4311</v>
      </c>
    </row>
    <row r="3033" ht="15.75" customHeight="1">
      <c r="O3033" s="4" t="s">
        <v>4312</v>
      </c>
    </row>
    <row r="3034" ht="15.75" customHeight="1">
      <c r="O3034" s="4" t="s">
        <v>4313</v>
      </c>
    </row>
    <row r="3035" ht="15.75" customHeight="1">
      <c r="O3035" s="4" t="s">
        <v>4314</v>
      </c>
    </row>
    <row r="3036" ht="15.75" customHeight="1">
      <c r="O3036" s="4" t="s">
        <v>4315</v>
      </c>
    </row>
    <row r="3037" ht="15.75" customHeight="1">
      <c r="O3037" s="4" t="s">
        <v>4316</v>
      </c>
    </row>
    <row r="3038" ht="15.75" customHeight="1">
      <c r="O3038" s="4" t="s">
        <v>4317</v>
      </c>
    </row>
    <row r="3039" ht="15.75" customHeight="1">
      <c r="O3039" s="4" t="s">
        <v>4318</v>
      </c>
    </row>
    <row r="3040" ht="15.75" customHeight="1">
      <c r="O3040" s="4" t="s">
        <v>4319</v>
      </c>
    </row>
    <row r="3041" ht="15.75" customHeight="1">
      <c r="O3041" s="4" t="s">
        <v>4320</v>
      </c>
    </row>
    <row r="3042" ht="15.75" customHeight="1">
      <c r="O3042" s="4" t="s">
        <v>4321</v>
      </c>
    </row>
    <row r="3043" ht="15.75" customHeight="1">
      <c r="O3043" s="4" t="s">
        <v>4322</v>
      </c>
    </row>
    <row r="3044" ht="15.75" customHeight="1">
      <c r="O3044" s="4" t="s">
        <v>4323</v>
      </c>
    </row>
    <row r="3045" ht="15.75" customHeight="1">
      <c r="O3045" s="4" t="s">
        <v>4324</v>
      </c>
    </row>
    <row r="3046" ht="15.75" customHeight="1">
      <c r="O3046" s="4" t="s">
        <v>4325</v>
      </c>
    </row>
    <row r="3047" ht="15.75" customHeight="1">
      <c r="O3047" s="4" t="s">
        <v>4326</v>
      </c>
    </row>
    <row r="3048" ht="15.75" customHeight="1">
      <c r="O3048" s="4" t="s">
        <v>4327</v>
      </c>
    </row>
    <row r="3049" ht="15.75" customHeight="1">
      <c r="O3049" s="4" t="s">
        <v>4328</v>
      </c>
    </row>
    <row r="3050" ht="15.75" customHeight="1">
      <c r="O3050" s="4" t="s">
        <v>4329</v>
      </c>
    </row>
    <row r="3051" ht="15.75" customHeight="1">
      <c r="O3051" s="4" t="s">
        <v>4330</v>
      </c>
    </row>
    <row r="3052" ht="15.75" customHeight="1">
      <c r="O3052" s="4" t="s">
        <v>4331</v>
      </c>
    </row>
    <row r="3053" ht="15.75" customHeight="1">
      <c r="O3053" s="4" t="s">
        <v>4332</v>
      </c>
    </row>
    <row r="3054" ht="15.75" customHeight="1">
      <c r="O3054" s="4" t="s">
        <v>4333</v>
      </c>
    </row>
    <row r="3055" ht="15.75" customHeight="1">
      <c r="O3055" s="4" t="s">
        <v>4334</v>
      </c>
    </row>
    <row r="3056" ht="15.75" customHeight="1">
      <c r="O3056" s="4" t="s">
        <v>4335</v>
      </c>
    </row>
    <row r="3057" ht="15.75" customHeight="1">
      <c r="O3057" s="4" t="s">
        <v>4336</v>
      </c>
    </row>
    <row r="3058" ht="15.75" customHeight="1">
      <c r="O3058" s="4" t="s">
        <v>4337</v>
      </c>
    </row>
    <row r="3059" ht="15.75" customHeight="1">
      <c r="O3059" s="4" t="s">
        <v>4338</v>
      </c>
    </row>
    <row r="3060" ht="15.75" customHeight="1">
      <c r="O3060" s="4" t="s">
        <v>4339</v>
      </c>
    </row>
    <row r="3061" ht="15.75" customHeight="1">
      <c r="O3061" s="4" t="s">
        <v>4340</v>
      </c>
    </row>
    <row r="3062" ht="15.75" customHeight="1">
      <c r="O3062" s="4" t="s">
        <v>4341</v>
      </c>
    </row>
    <row r="3063" ht="15.75" customHeight="1">
      <c r="O3063" s="4" t="s">
        <v>4342</v>
      </c>
    </row>
    <row r="3064" ht="15.75" customHeight="1">
      <c r="O3064" s="4" t="s">
        <v>4343</v>
      </c>
    </row>
    <row r="3065" ht="15.75" customHeight="1">
      <c r="O3065" s="4" t="s">
        <v>4344</v>
      </c>
    </row>
    <row r="3066" ht="15.75" customHeight="1">
      <c r="O3066" s="4" t="s">
        <v>4345</v>
      </c>
    </row>
    <row r="3067" ht="15.75" customHeight="1">
      <c r="O3067" s="4" t="s">
        <v>4346</v>
      </c>
    </row>
    <row r="3068" ht="15.75" customHeight="1">
      <c r="O3068" s="4" t="s">
        <v>4347</v>
      </c>
    </row>
    <row r="3069" ht="15.75" customHeight="1">
      <c r="O3069" s="4" t="s">
        <v>4348</v>
      </c>
    </row>
    <row r="3070" ht="15.75" customHeight="1">
      <c r="O3070" s="4" t="s">
        <v>4349</v>
      </c>
    </row>
    <row r="3071" ht="15.75" customHeight="1">
      <c r="O3071" s="4" t="s">
        <v>4350</v>
      </c>
    </row>
    <row r="3072" ht="15.75" customHeight="1">
      <c r="O3072" s="4" t="s">
        <v>4351</v>
      </c>
    </row>
    <row r="3073" ht="15.75" customHeight="1">
      <c r="O3073" s="4" t="s">
        <v>4352</v>
      </c>
    </row>
    <row r="3074" ht="15.75" customHeight="1">
      <c r="O3074" s="4" t="s">
        <v>4353</v>
      </c>
    </row>
    <row r="3075" ht="15.75" customHeight="1">
      <c r="O3075" s="4" t="s">
        <v>4354</v>
      </c>
    </row>
    <row r="3076" ht="15.75" customHeight="1">
      <c r="O3076" s="4" t="s">
        <v>4355</v>
      </c>
    </row>
    <row r="3077" ht="15.75" customHeight="1">
      <c r="O3077" s="4" t="s">
        <v>4356</v>
      </c>
    </row>
    <row r="3078" ht="15.75" customHeight="1">
      <c r="O3078" s="4" t="s">
        <v>4357</v>
      </c>
    </row>
    <row r="3079" ht="15.75" customHeight="1">
      <c r="O3079" s="4" t="s">
        <v>4358</v>
      </c>
    </row>
    <row r="3080" ht="15.75" customHeight="1">
      <c r="O3080" s="4" t="s">
        <v>4359</v>
      </c>
    </row>
    <row r="3081" ht="15.75" customHeight="1">
      <c r="O3081" s="4" t="s">
        <v>4360</v>
      </c>
    </row>
    <row r="3082" ht="15.75" customHeight="1">
      <c r="O3082" s="4" t="s">
        <v>4361</v>
      </c>
    </row>
    <row r="3083" ht="15.75" customHeight="1">
      <c r="O3083" s="4" t="s">
        <v>4362</v>
      </c>
    </row>
    <row r="3084" ht="15.75" customHeight="1">
      <c r="O3084" s="4" t="s">
        <v>4363</v>
      </c>
    </row>
    <row r="3085" ht="15.75" customHeight="1">
      <c r="O3085" s="4" t="s">
        <v>4364</v>
      </c>
    </row>
    <row r="3086" ht="15.75" customHeight="1">
      <c r="O3086" s="4" t="s">
        <v>4365</v>
      </c>
    </row>
    <row r="3087" ht="15.75" customHeight="1">
      <c r="O3087" s="4" t="s">
        <v>4366</v>
      </c>
    </row>
    <row r="3088" ht="15.75" customHeight="1">
      <c r="O3088" s="4" t="s">
        <v>4367</v>
      </c>
    </row>
    <row r="3089" ht="15.75" customHeight="1">
      <c r="O3089" s="4" t="s">
        <v>4368</v>
      </c>
    </row>
    <row r="3090" ht="15.75" customHeight="1">
      <c r="O3090" s="4" t="s">
        <v>4369</v>
      </c>
    </row>
    <row r="3091" ht="15.75" customHeight="1">
      <c r="O3091" s="4" t="s">
        <v>4370</v>
      </c>
    </row>
    <row r="3092" ht="15.75" customHeight="1">
      <c r="O3092" s="4" t="s">
        <v>4371</v>
      </c>
    </row>
    <row r="3093" ht="15.75" customHeight="1">
      <c r="O3093" s="4" t="s">
        <v>4372</v>
      </c>
    </row>
    <row r="3094" ht="15.75" customHeight="1">
      <c r="O3094" s="4" t="s">
        <v>4373</v>
      </c>
    </row>
    <row r="3095" ht="15.75" customHeight="1">
      <c r="O3095" s="4" t="s">
        <v>4374</v>
      </c>
    </row>
    <row r="3096" ht="15.75" customHeight="1">
      <c r="O3096" s="4" t="s">
        <v>4375</v>
      </c>
    </row>
    <row r="3097" ht="15.75" customHeight="1">
      <c r="O3097" s="4" t="s">
        <v>4376</v>
      </c>
    </row>
    <row r="3098" ht="15.75" customHeight="1">
      <c r="O3098" s="4" t="s">
        <v>4377</v>
      </c>
    </row>
    <row r="3099" ht="15.75" customHeight="1">
      <c r="O3099" s="4" t="s">
        <v>4378</v>
      </c>
    </row>
    <row r="3100" ht="15.75" customHeight="1">
      <c r="O3100" s="4" t="s">
        <v>4379</v>
      </c>
    </row>
    <row r="3101" ht="15.75" customHeight="1">
      <c r="O3101" s="4" t="s">
        <v>4380</v>
      </c>
    </row>
    <row r="3102" ht="15.75" customHeight="1">
      <c r="O3102" s="4" t="s">
        <v>4381</v>
      </c>
    </row>
    <row r="3103" ht="15.75" customHeight="1">
      <c r="O3103" s="4" t="s">
        <v>4382</v>
      </c>
    </row>
    <row r="3104" ht="15.75" customHeight="1">
      <c r="O3104" s="4" t="s">
        <v>4383</v>
      </c>
    </row>
    <row r="3105" ht="15.75" customHeight="1">
      <c r="O3105" s="4" t="s">
        <v>4384</v>
      </c>
    </row>
    <row r="3106" ht="15.75" customHeight="1">
      <c r="O3106" s="4" t="s">
        <v>4385</v>
      </c>
    </row>
    <row r="3107" ht="15.75" customHeight="1">
      <c r="O3107" s="4" t="s">
        <v>4386</v>
      </c>
    </row>
    <row r="3108" ht="15.75" customHeight="1">
      <c r="O3108" s="4" t="s">
        <v>4387</v>
      </c>
    </row>
    <row r="3109" ht="15.75" customHeight="1">
      <c r="O3109" s="4" t="s">
        <v>4388</v>
      </c>
    </row>
    <row r="3110" ht="15.75" customHeight="1">
      <c r="O3110" s="4" t="s">
        <v>4389</v>
      </c>
    </row>
    <row r="3111" ht="15.75" customHeight="1">
      <c r="O3111" s="4" t="s">
        <v>4390</v>
      </c>
    </row>
    <row r="3112" ht="15.75" customHeight="1">
      <c r="O3112" s="4" t="s">
        <v>4391</v>
      </c>
    </row>
    <row r="3113" ht="15.75" customHeight="1">
      <c r="O3113" s="4" t="s">
        <v>4392</v>
      </c>
    </row>
    <row r="3114" ht="15.75" customHeight="1">
      <c r="O3114" s="4" t="s">
        <v>4393</v>
      </c>
    </row>
    <row r="3115" ht="15.75" customHeight="1">
      <c r="O3115" s="4" t="s">
        <v>4394</v>
      </c>
    </row>
    <row r="3116" ht="15.75" customHeight="1">
      <c r="O3116" s="4" t="s">
        <v>4395</v>
      </c>
    </row>
    <row r="3117" ht="15.75" customHeight="1">
      <c r="O3117" s="4" t="s">
        <v>4396</v>
      </c>
    </row>
    <row r="3118" ht="15.75" customHeight="1">
      <c r="O3118" s="4" t="s">
        <v>4397</v>
      </c>
    </row>
    <row r="3119" ht="15.75" customHeight="1">
      <c r="O3119" s="4" t="s">
        <v>4398</v>
      </c>
    </row>
    <row r="3120" ht="15.75" customHeight="1">
      <c r="O3120" s="4" t="s">
        <v>4399</v>
      </c>
    </row>
    <row r="3121" ht="15.75" customHeight="1">
      <c r="O3121" s="4" t="s">
        <v>4400</v>
      </c>
    </row>
    <row r="3122" ht="15.75" customHeight="1">
      <c r="O3122" s="4" t="s">
        <v>4401</v>
      </c>
    </row>
    <row r="3123" ht="15.75" customHeight="1">
      <c r="O3123" s="4" t="s">
        <v>4402</v>
      </c>
    </row>
    <row r="3124" ht="15.75" customHeight="1">
      <c r="O3124" s="4" t="s">
        <v>4403</v>
      </c>
    </row>
    <row r="3125" ht="15.75" customHeight="1">
      <c r="O3125" s="4" t="s">
        <v>4404</v>
      </c>
    </row>
    <row r="3126" ht="15.75" customHeight="1">
      <c r="O3126" s="4" t="s">
        <v>4405</v>
      </c>
    </row>
    <row r="3127" ht="15.75" customHeight="1">
      <c r="O3127" s="4" t="s">
        <v>4406</v>
      </c>
    </row>
    <row r="3128" ht="15.75" customHeight="1">
      <c r="O3128" s="4" t="s">
        <v>4407</v>
      </c>
    </row>
    <row r="3129" ht="15.75" customHeight="1">
      <c r="O3129" s="4" t="s">
        <v>4408</v>
      </c>
    </row>
    <row r="3130" ht="15.75" customHeight="1">
      <c r="O3130" s="4" t="s">
        <v>4409</v>
      </c>
    </row>
    <row r="3131" ht="15.75" customHeight="1">
      <c r="O3131" s="4" t="s">
        <v>4410</v>
      </c>
    </row>
    <row r="3132" ht="15.75" customHeight="1">
      <c r="O3132" s="4" t="s">
        <v>4411</v>
      </c>
    </row>
    <row r="3133" ht="15.75" customHeight="1">
      <c r="O3133" s="4" t="s">
        <v>4412</v>
      </c>
    </row>
    <row r="3134" ht="15.75" customHeight="1">
      <c r="O3134" s="4" t="s">
        <v>4413</v>
      </c>
    </row>
    <row r="3135" ht="15.75" customHeight="1">
      <c r="O3135" s="4" t="s">
        <v>4414</v>
      </c>
    </row>
    <row r="3136" ht="15.75" customHeight="1">
      <c r="O3136" s="4" t="s">
        <v>4415</v>
      </c>
    </row>
    <row r="3137" ht="15.75" customHeight="1">
      <c r="O3137" s="4" t="s">
        <v>4416</v>
      </c>
    </row>
    <row r="3138" ht="15.75" customHeight="1">
      <c r="O3138" s="4" t="s">
        <v>4417</v>
      </c>
    </row>
    <row r="3139" ht="15.75" customHeight="1">
      <c r="O3139" s="4" t="s">
        <v>4418</v>
      </c>
    </row>
    <row r="3140" ht="15.75" customHeight="1">
      <c r="O3140" s="4" t="s">
        <v>4419</v>
      </c>
    </row>
    <row r="3141" ht="15.75" customHeight="1">
      <c r="O3141" s="4" t="s">
        <v>4420</v>
      </c>
    </row>
    <row r="3142" ht="15.75" customHeight="1">
      <c r="O3142" s="4" t="s">
        <v>4421</v>
      </c>
    </row>
    <row r="3143" ht="15.75" customHeight="1">
      <c r="O3143" s="4" t="s">
        <v>4422</v>
      </c>
    </row>
    <row r="3144" ht="15.75" customHeight="1">
      <c r="O3144" s="4" t="s">
        <v>4423</v>
      </c>
    </row>
    <row r="3145" ht="15.75" customHeight="1">
      <c r="O3145" s="4" t="s">
        <v>4424</v>
      </c>
    </row>
    <row r="3146" ht="15.75" customHeight="1">
      <c r="O3146" s="4" t="s">
        <v>4425</v>
      </c>
    </row>
    <row r="3147" ht="15.75" customHeight="1">
      <c r="O3147" s="4" t="s">
        <v>4426</v>
      </c>
    </row>
    <row r="3148" ht="15.75" customHeight="1">
      <c r="O3148" s="4" t="s">
        <v>4427</v>
      </c>
    </row>
    <row r="3149" ht="15.75" customHeight="1">
      <c r="O3149" s="4" t="s">
        <v>4428</v>
      </c>
    </row>
    <row r="3150" ht="15.75" customHeight="1">
      <c r="O3150" s="4" t="s">
        <v>4429</v>
      </c>
    </row>
    <row r="3151" ht="15.75" customHeight="1">
      <c r="O3151" s="4" t="s">
        <v>4430</v>
      </c>
    </row>
    <row r="3152" ht="15.75" customHeight="1">
      <c r="O3152" s="4" t="s">
        <v>4431</v>
      </c>
    </row>
    <row r="3153" ht="15.75" customHeight="1">
      <c r="O3153" s="4" t="s">
        <v>4432</v>
      </c>
    </row>
    <row r="3154" ht="15.75" customHeight="1">
      <c r="O3154" s="4" t="s">
        <v>4433</v>
      </c>
    </row>
    <row r="3155" ht="15.75" customHeight="1">
      <c r="O3155" s="4" t="s">
        <v>4434</v>
      </c>
    </row>
    <row r="3156" ht="15.75" customHeight="1">
      <c r="O3156" s="4" t="s">
        <v>4435</v>
      </c>
    </row>
    <row r="3157" ht="15.75" customHeight="1">
      <c r="O3157" s="4" t="s">
        <v>4436</v>
      </c>
    </row>
    <row r="3158" ht="15.75" customHeight="1">
      <c r="O3158" s="4" t="s">
        <v>4437</v>
      </c>
    </row>
    <row r="3159" ht="15.75" customHeight="1">
      <c r="O3159" s="4" t="s">
        <v>4438</v>
      </c>
    </row>
    <row r="3160" ht="15.75" customHeight="1">
      <c r="O3160" s="4" t="s">
        <v>4439</v>
      </c>
    </row>
    <row r="3161" ht="15.75" customHeight="1">
      <c r="O3161" s="4" t="s">
        <v>4440</v>
      </c>
    </row>
    <row r="3162" ht="15.75" customHeight="1">
      <c r="O3162" s="4" t="s">
        <v>4441</v>
      </c>
    </row>
    <row r="3163" ht="15.75" customHeight="1">
      <c r="O3163" s="4" t="s">
        <v>4442</v>
      </c>
    </row>
    <row r="3164" ht="15.75" customHeight="1">
      <c r="O3164" s="4" t="s">
        <v>4443</v>
      </c>
    </row>
    <row r="3165" ht="15.75" customHeight="1">
      <c r="O3165" s="4" t="s">
        <v>4444</v>
      </c>
    </row>
    <row r="3166" ht="15.75" customHeight="1">
      <c r="O3166" s="4" t="s">
        <v>4445</v>
      </c>
    </row>
    <row r="3167" ht="15.75" customHeight="1">
      <c r="O3167" s="4" t="s">
        <v>4446</v>
      </c>
    </row>
    <row r="3168" ht="15.75" customHeight="1">
      <c r="O3168" s="4" t="s">
        <v>4447</v>
      </c>
    </row>
    <row r="3169" ht="15.75" customHeight="1">
      <c r="O3169" s="4" t="s">
        <v>4448</v>
      </c>
    </row>
    <row r="3170" ht="15.75" customHeight="1">
      <c r="O3170" s="4" t="s">
        <v>4449</v>
      </c>
    </row>
    <row r="3171" ht="15.75" customHeight="1">
      <c r="O3171" s="4" t="s">
        <v>4450</v>
      </c>
    </row>
    <row r="3172" ht="15.75" customHeight="1">
      <c r="O3172" s="4" t="s">
        <v>4451</v>
      </c>
    </row>
    <row r="3173" ht="15.75" customHeight="1">
      <c r="O3173" s="4" t="s">
        <v>4452</v>
      </c>
    </row>
    <row r="3174" ht="15.75" customHeight="1">
      <c r="O3174" s="4" t="s">
        <v>4453</v>
      </c>
    </row>
    <row r="3175" ht="15.75" customHeight="1">
      <c r="O3175" s="4" t="s">
        <v>4454</v>
      </c>
    </row>
    <row r="3176" ht="15.75" customHeight="1">
      <c r="O3176" s="4" t="s">
        <v>4455</v>
      </c>
    </row>
    <row r="3177" ht="15.75" customHeight="1">
      <c r="O3177" s="4" t="s">
        <v>4456</v>
      </c>
    </row>
    <row r="3178" ht="15.75" customHeight="1">
      <c r="O3178" s="4" t="s">
        <v>4457</v>
      </c>
    </row>
    <row r="3179" ht="15.75" customHeight="1">
      <c r="O3179" s="4" t="s">
        <v>4458</v>
      </c>
    </row>
    <row r="3180" ht="15.75" customHeight="1">
      <c r="O3180" s="4" t="s">
        <v>4459</v>
      </c>
    </row>
    <row r="3181" ht="15.75" customHeight="1">
      <c r="O3181" s="4" t="s">
        <v>4460</v>
      </c>
    </row>
    <row r="3182" ht="15.75" customHeight="1">
      <c r="O3182" s="4" t="s">
        <v>4461</v>
      </c>
    </row>
    <row r="3183" ht="15.75" customHeight="1">
      <c r="O3183" s="4" t="s">
        <v>4462</v>
      </c>
    </row>
    <row r="3184" ht="15.75" customHeight="1">
      <c r="O3184" s="4" t="s">
        <v>4463</v>
      </c>
    </row>
    <row r="3185" ht="15.75" customHeight="1">
      <c r="O3185" s="4" t="s">
        <v>4464</v>
      </c>
    </row>
    <row r="3186" ht="15.75" customHeight="1">
      <c r="O3186" s="4" t="s">
        <v>4465</v>
      </c>
    </row>
    <row r="3187" ht="15.75" customHeight="1">
      <c r="O3187" s="4" t="s">
        <v>4466</v>
      </c>
    </row>
    <row r="3188" ht="15.75" customHeight="1">
      <c r="O3188" s="4" t="s">
        <v>4467</v>
      </c>
    </row>
    <row r="3189" ht="15.75" customHeight="1">
      <c r="O3189" s="4" t="s">
        <v>4468</v>
      </c>
    </row>
    <row r="3190" ht="15.75" customHeight="1">
      <c r="O3190" s="4" t="s">
        <v>4469</v>
      </c>
    </row>
    <row r="3191" ht="15.75" customHeight="1">
      <c r="O3191" s="4" t="s">
        <v>4470</v>
      </c>
    </row>
    <row r="3192" ht="15.75" customHeight="1">
      <c r="O3192" s="4" t="s">
        <v>4471</v>
      </c>
    </row>
    <row r="3193" ht="15.75" customHeight="1">
      <c r="O3193" s="4" t="s">
        <v>4472</v>
      </c>
    </row>
    <row r="3194" ht="15.75" customHeight="1">
      <c r="O3194" s="4" t="s">
        <v>4473</v>
      </c>
    </row>
    <row r="3195" ht="15.75" customHeight="1">
      <c r="O3195" s="4" t="s">
        <v>4474</v>
      </c>
    </row>
    <row r="3196" ht="15.75" customHeight="1">
      <c r="O3196" s="4" t="s">
        <v>4475</v>
      </c>
    </row>
    <row r="3197" ht="15.75" customHeight="1">
      <c r="O3197" s="4" t="s">
        <v>4476</v>
      </c>
    </row>
    <row r="3198" ht="15.75" customHeight="1">
      <c r="O3198" s="4" t="s">
        <v>4477</v>
      </c>
    </row>
    <row r="3199" ht="15.75" customHeight="1">
      <c r="O3199" s="4" t="s">
        <v>4478</v>
      </c>
    </row>
    <row r="3200" ht="15.75" customHeight="1">
      <c r="O3200" s="4" t="s">
        <v>4479</v>
      </c>
    </row>
    <row r="3201" ht="15.75" customHeight="1">
      <c r="O3201" s="4" t="s">
        <v>4480</v>
      </c>
    </row>
    <row r="3202" ht="15.75" customHeight="1">
      <c r="O3202" s="4" t="s">
        <v>4481</v>
      </c>
    </row>
    <row r="3203" ht="15.75" customHeight="1">
      <c r="O3203" s="4" t="s">
        <v>4482</v>
      </c>
    </row>
    <row r="3204" ht="15.75" customHeight="1">
      <c r="O3204" s="4" t="s">
        <v>4483</v>
      </c>
    </row>
    <row r="3205" ht="15.75" customHeight="1">
      <c r="O3205" s="4" t="s">
        <v>4484</v>
      </c>
    </row>
    <row r="3206" ht="15.75" customHeight="1">
      <c r="O3206" s="4" t="s">
        <v>4485</v>
      </c>
    </row>
    <row r="3207" ht="15.75" customHeight="1">
      <c r="O3207" s="4" t="s">
        <v>4486</v>
      </c>
    </row>
    <row r="3208" ht="15.75" customHeight="1">
      <c r="O3208" s="4" t="s">
        <v>4487</v>
      </c>
    </row>
    <row r="3209" ht="15.75" customHeight="1">
      <c r="O3209" s="4" t="s">
        <v>4488</v>
      </c>
    </row>
    <row r="3210" ht="15.75" customHeight="1">
      <c r="O3210" s="4" t="s">
        <v>4489</v>
      </c>
    </row>
    <row r="3211" ht="15.75" customHeight="1">
      <c r="O3211" s="4" t="s">
        <v>4490</v>
      </c>
    </row>
    <row r="3212" ht="15.75" customHeight="1">
      <c r="O3212" s="4" t="s">
        <v>4491</v>
      </c>
    </row>
    <row r="3213" ht="15.75" customHeight="1">
      <c r="O3213" s="4" t="s">
        <v>4492</v>
      </c>
    </row>
    <row r="3214" ht="15.75" customHeight="1">
      <c r="O3214" s="4" t="s">
        <v>4493</v>
      </c>
    </row>
    <row r="3215" ht="15.75" customHeight="1">
      <c r="O3215" s="4" t="s">
        <v>4494</v>
      </c>
    </row>
    <row r="3216" ht="15.75" customHeight="1">
      <c r="O3216" s="4" t="s">
        <v>4495</v>
      </c>
    </row>
    <row r="3217" ht="15.75" customHeight="1">
      <c r="O3217" s="4" t="s">
        <v>4496</v>
      </c>
    </row>
    <row r="3218" ht="15.75" customHeight="1">
      <c r="O3218" s="4" t="s">
        <v>4497</v>
      </c>
    </row>
    <row r="3219" ht="15.75" customHeight="1">
      <c r="O3219" s="4" t="s">
        <v>4498</v>
      </c>
    </row>
    <row r="3220" ht="15.75" customHeight="1">
      <c r="O3220" s="4" t="s">
        <v>4499</v>
      </c>
    </row>
    <row r="3221" ht="15.75" customHeight="1">
      <c r="O3221" s="4" t="s">
        <v>4500</v>
      </c>
    </row>
    <row r="3222" ht="15.75" customHeight="1">
      <c r="O3222" s="4" t="s">
        <v>4501</v>
      </c>
    </row>
    <row r="3223" ht="15.75" customHeight="1">
      <c r="O3223" s="4" t="s">
        <v>4502</v>
      </c>
    </row>
    <row r="3224" ht="15.75" customHeight="1">
      <c r="O3224" s="4" t="s">
        <v>4503</v>
      </c>
    </row>
    <row r="3225" ht="15.75" customHeight="1">
      <c r="O3225" s="4" t="s">
        <v>4504</v>
      </c>
    </row>
    <row r="3226" ht="15.75" customHeight="1">
      <c r="O3226" s="4" t="s">
        <v>4505</v>
      </c>
    </row>
    <row r="3227" ht="15.75" customHeight="1">
      <c r="O3227" s="4" t="s">
        <v>4506</v>
      </c>
    </row>
    <row r="3228" ht="15.75" customHeight="1">
      <c r="O3228" s="4" t="s">
        <v>4507</v>
      </c>
    </row>
    <row r="3229" ht="15.75" customHeight="1">
      <c r="O3229" s="4" t="s">
        <v>4508</v>
      </c>
    </row>
    <row r="3230" ht="15.75" customHeight="1">
      <c r="O3230" s="4" t="s">
        <v>4509</v>
      </c>
    </row>
    <row r="3231" ht="15.75" customHeight="1">
      <c r="O3231" s="4" t="s">
        <v>4510</v>
      </c>
    </row>
    <row r="3232" ht="15.75" customHeight="1">
      <c r="O3232" s="4" t="s">
        <v>4511</v>
      </c>
    </row>
    <row r="3233" ht="15.75" customHeight="1">
      <c r="O3233" s="4" t="s">
        <v>4512</v>
      </c>
    </row>
    <row r="3234" ht="15.75" customHeight="1">
      <c r="O3234" s="4" t="s">
        <v>4513</v>
      </c>
    </row>
    <row r="3235" ht="15.75" customHeight="1">
      <c r="O3235" s="4" t="s">
        <v>4514</v>
      </c>
    </row>
    <row r="3236" ht="15.75" customHeight="1">
      <c r="O3236" s="4" t="s">
        <v>4515</v>
      </c>
    </row>
    <row r="3237" ht="15.75" customHeight="1">
      <c r="O3237" s="4" t="s">
        <v>4516</v>
      </c>
    </row>
    <row r="3238" ht="15.75" customHeight="1">
      <c r="O3238" s="4" t="s">
        <v>4517</v>
      </c>
    </row>
    <row r="3239" ht="15.75" customHeight="1">
      <c r="O3239" s="4" t="s">
        <v>4518</v>
      </c>
    </row>
    <row r="3240" ht="15.75" customHeight="1">
      <c r="O3240" s="4" t="s">
        <v>4519</v>
      </c>
    </row>
    <row r="3241" ht="15.75" customHeight="1">
      <c r="O3241" s="4" t="s">
        <v>4520</v>
      </c>
    </row>
    <row r="3242" ht="15.75" customHeight="1">
      <c r="O3242" s="4" t="s">
        <v>4521</v>
      </c>
    </row>
    <row r="3243" ht="15.75" customHeight="1">
      <c r="O3243" s="4" t="s">
        <v>4522</v>
      </c>
    </row>
    <row r="3244" ht="15.75" customHeight="1">
      <c r="O3244" s="4" t="s">
        <v>4523</v>
      </c>
    </row>
    <row r="3245" ht="15.75" customHeight="1">
      <c r="O3245" s="4" t="s">
        <v>4524</v>
      </c>
    </row>
    <row r="3246" ht="15.75" customHeight="1">
      <c r="O3246" s="4" t="s">
        <v>4525</v>
      </c>
    </row>
    <row r="3247" ht="15.75" customHeight="1">
      <c r="O3247" s="4" t="s">
        <v>4526</v>
      </c>
    </row>
    <row r="3248" ht="15.75" customHeight="1">
      <c r="O3248" s="4" t="s">
        <v>4527</v>
      </c>
    </row>
    <row r="3249" ht="15.75" customHeight="1">
      <c r="O3249" s="4" t="s">
        <v>4528</v>
      </c>
    </row>
    <row r="3250" ht="15.75" customHeight="1">
      <c r="O3250" s="4" t="s">
        <v>4529</v>
      </c>
    </row>
    <row r="3251" ht="15.75" customHeight="1">
      <c r="O3251" s="4" t="s">
        <v>4530</v>
      </c>
    </row>
    <row r="3252" ht="15.75" customHeight="1">
      <c r="O3252" s="4" t="s">
        <v>4531</v>
      </c>
    </row>
    <row r="3253" ht="15.75" customHeight="1">
      <c r="O3253" s="4" t="s">
        <v>4532</v>
      </c>
    </row>
    <row r="3254" ht="15.75" customHeight="1">
      <c r="O3254" s="4" t="s">
        <v>4533</v>
      </c>
    </row>
    <row r="3255" ht="15.75" customHeight="1">
      <c r="O3255" s="4" t="s">
        <v>4534</v>
      </c>
    </row>
    <row r="3256" ht="15.75" customHeight="1">
      <c r="O3256" s="4" t="s">
        <v>4535</v>
      </c>
    </row>
    <row r="3257" ht="15.75" customHeight="1">
      <c r="O3257" s="4" t="s">
        <v>4536</v>
      </c>
    </row>
    <row r="3258" ht="15.75" customHeight="1">
      <c r="O3258" s="4" t="s">
        <v>4537</v>
      </c>
    </row>
    <row r="3259" ht="15.75" customHeight="1">
      <c r="O3259" s="4" t="s">
        <v>4538</v>
      </c>
    </row>
    <row r="3260" ht="15.75" customHeight="1">
      <c r="O3260" s="4" t="s">
        <v>4539</v>
      </c>
    </row>
    <row r="3261" ht="15.75" customHeight="1">
      <c r="O3261" s="4" t="s">
        <v>4540</v>
      </c>
    </row>
    <row r="3262" ht="15.75" customHeight="1">
      <c r="O3262" s="4" t="s">
        <v>4541</v>
      </c>
    </row>
    <row r="3263" ht="15.75" customHeight="1">
      <c r="O3263" s="4" t="s">
        <v>4542</v>
      </c>
    </row>
    <row r="3264" ht="15.75" customHeight="1">
      <c r="O3264" s="4" t="s">
        <v>4543</v>
      </c>
    </row>
    <row r="3265" ht="15.75" customHeight="1">
      <c r="O3265" s="4" t="s">
        <v>4544</v>
      </c>
    </row>
    <row r="3266" ht="15.75" customHeight="1">
      <c r="O3266" s="4" t="s">
        <v>4545</v>
      </c>
    </row>
    <row r="3267" ht="15.75" customHeight="1">
      <c r="O3267" s="4" t="s">
        <v>4546</v>
      </c>
    </row>
    <row r="3268" ht="15.75" customHeight="1">
      <c r="O3268" s="4" t="s">
        <v>4547</v>
      </c>
    </row>
    <row r="3269" ht="15.75" customHeight="1">
      <c r="O3269" s="4" t="s">
        <v>4548</v>
      </c>
    </row>
    <row r="3270" ht="15.75" customHeight="1">
      <c r="O3270" s="4" t="s">
        <v>4549</v>
      </c>
    </row>
    <row r="3271" ht="15.75" customHeight="1">
      <c r="O3271" s="4" t="s">
        <v>4550</v>
      </c>
    </row>
    <row r="3272" ht="15.75" customHeight="1">
      <c r="O3272" s="4" t="s">
        <v>4551</v>
      </c>
    </row>
    <row r="3273" ht="15.75" customHeight="1">
      <c r="O3273" s="4" t="s">
        <v>4552</v>
      </c>
    </row>
    <row r="3274" ht="15.75" customHeight="1">
      <c r="O3274" s="4" t="s">
        <v>4553</v>
      </c>
    </row>
    <row r="3275" ht="15.75" customHeight="1">
      <c r="O3275" s="4" t="s">
        <v>4554</v>
      </c>
    </row>
    <row r="3276" ht="15.75" customHeight="1">
      <c r="O3276" s="4" t="s">
        <v>4555</v>
      </c>
    </row>
    <row r="3277" ht="15.75" customHeight="1">
      <c r="O3277" s="4" t="s">
        <v>4556</v>
      </c>
    </row>
    <row r="3278" ht="15.75" customHeight="1">
      <c r="O3278" s="4" t="s">
        <v>4557</v>
      </c>
    </row>
    <row r="3279" ht="15.75" customHeight="1">
      <c r="O3279" s="4" t="s">
        <v>4558</v>
      </c>
    </row>
    <row r="3280" ht="15.75" customHeight="1">
      <c r="O3280" s="4" t="s">
        <v>4559</v>
      </c>
    </row>
    <row r="3281" ht="15.75" customHeight="1">
      <c r="O3281" s="4" t="s">
        <v>4560</v>
      </c>
    </row>
    <row r="3282" ht="15.75" customHeight="1">
      <c r="O3282" s="4" t="s">
        <v>4561</v>
      </c>
    </row>
    <row r="3283" ht="15.75" customHeight="1">
      <c r="O3283" s="4" t="s">
        <v>4562</v>
      </c>
    </row>
    <row r="3284" ht="15.75" customHeight="1">
      <c r="O3284" s="4" t="s">
        <v>4563</v>
      </c>
    </row>
    <row r="3285" ht="15.75" customHeight="1">
      <c r="O3285" s="4" t="s">
        <v>4564</v>
      </c>
    </row>
    <row r="3286" ht="15.75" customHeight="1">
      <c r="O3286" s="4" t="s">
        <v>4565</v>
      </c>
    </row>
    <row r="3287" ht="15.75" customHeight="1">
      <c r="O3287" s="4" t="s">
        <v>4566</v>
      </c>
    </row>
    <row r="3288" ht="15.75" customHeight="1">
      <c r="O3288" s="4" t="s">
        <v>4567</v>
      </c>
    </row>
    <row r="3289" ht="15.75" customHeight="1">
      <c r="O3289" s="4" t="s">
        <v>4568</v>
      </c>
    </row>
    <row r="3290" ht="15.75" customHeight="1">
      <c r="O3290" s="4" t="s">
        <v>4569</v>
      </c>
    </row>
    <row r="3291" ht="15.75" customHeight="1">
      <c r="O3291" s="4" t="s">
        <v>4570</v>
      </c>
    </row>
    <row r="3292" ht="15.75" customHeight="1">
      <c r="O3292" s="4" t="s">
        <v>4571</v>
      </c>
    </row>
    <row r="3293" ht="15.75" customHeight="1">
      <c r="O3293" s="4" t="s">
        <v>4572</v>
      </c>
    </row>
    <row r="3294" ht="15.75" customHeight="1">
      <c r="O3294" s="4" t="s">
        <v>4573</v>
      </c>
    </row>
    <row r="3295" ht="15.75" customHeight="1">
      <c r="O3295" s="4" t="s">
        <v>4574</v>
      </c>
    </row>
    <row r="3296" ht="15.75" customHeight="1">
      <c r="O3296" s="4" t="s">
        <v>4575</v>
      </c>
    </row>
    <row r="3297" ht="15.75" customHeight="1">
      <c r="O3297" s="4" t="s">
        <v>4576</v>
      </c>
    </row>
    <row r="3298" ht="15.75" customHeight="1">
      <c r="O3298" s="4" t="s">
        <v>4577</v>
      </c>
    </row>
    <row r="3299" ht="15.75" customHeight="1">
      <c r="O3299" s="4" t="s">
        <v>4578</v>
      </c>
    </row>
    <row r="3300" ht="15.75" customHeight="1">
      <c r="O3300" s="4" t="s">
        <v>4579</v>
      </c>
    </row>
    <row r="3301" ht="15.75" customHeight="1">
      <c r="O3301" s="4" t="s">
        <v>4580</v>
      </c>
    </row>
    <row r="3302" ht="15.75" customHeight="1">
      <c r="O3302" s="4" t="s">
        <v>4581</v>
      </c>
    </row>
    <row r="3303" ht="15.75" customHeight="1">
      <c r="O3303" s="4" t="s">
        <v>4582</v>
      </c>
    </row>
    <row r="3304" ht="15.75" customHeight="1">
      <c r="O3304" s="4" t="s">
        <v>4583</v>
      </c>
    </row>
    <row r="3305" ht="15.75" customHeight="1">
      <c r="O3305" s="4" t="s">
        <v>4584</v>
      </c>
    </row>
    <row r="3306" ht="15.75" customHeight="1">
      <c r="O3306" s="4" t="s">
        <v>4585</v>
      </c>
    </row>
    <row r="3307" ht="15.75" customHeight="1">
      <c r="O3307" s="4" t="s">
        <v>4586</v>
      </c>
    </row>
    <row r="3308" ht="15.75" customHeight="1">
      <c r="O3308" s="4" t="s">
        <v>4587</v>
      </c>
    </row>
    <row r="3309" ht="15.75" customHeight="1">
      <c r="O3309" s="4" t="s">
        <v>4588</v>
      </c>
    </row>
    <row r="3310" ht="15.75" customHeight="1">
      <c r="O3310" s="4" t="s">
        <v>4589</v>
      </c>
    </row>
    <row r="3311" ht="15.75" customHeight="1">
      <c r="O3311" s="4" t="s">
        <v>4590</v>
      </c>
    </row>
    <row r="3312" ht="15.75" customHeight="1">
      <c r="O3312" s="4" t="s">
        <v>4591</v>
      </c>
    </row>
    <row r="3313" ht="15.75" customHeight="1">
      <c r="O3313" s="4" t="s">
        <v>4592</v>
      </c>
    </row>
    <row r="3314" ht="15.75" customHeight="1">
      <c r="O3314" s="4" t="s">
        <v>4593</v>
      </c>
    </row>
    <row r="3315" ht="15.75" customHeight="1">
      <c r="O3315" s="4" t="s">
        <v>4594</v>
      </c>
    </row>
    <row r="3316" ht="15.75" customHeight="1">
      <c r="O3316" s="4" t="s">
        <v>4595</v>
      </c>
    </row>
    <row r="3317" ht="15.75" customHeight="1">
      <c r="O3317" s="4" t="s">
        <v>4596</v>
      </c>
    </row>
    <row r="3318" ht="15.75" customHeight="1">
      <c r="O3318" s="4" t="s">
        <v>4597</v>
      </c>
    </row>
    <row r="3319" ht="15.75" customHeight="1">
      <c r="O3319" s="4" t="s">
        <v>4598</v>
      </c>
    </row>
    <row r="3320" ht="15.75" customHeight="1">
      <c r="O3320" s="4" t="s">
        <v>4599</v>
      </c>
    </row>
    <row r="3321" ht="15.75" customHeight="1">
      <c r="O3321" s="4" t="s">
        <v>4600</v>
      </c>
    </row>
    <row r="3322" ht="15.75" customHeight="1">
      <c r="O3322" s="4" t="s">
        <v>4601</v>
      </c>
    </row>
    <row r="3323" ht="15.75" customHeight="1">
      <c r="O3323" s="4" t="s">
        <v>4602</v>
      </c>
    </row>
    <row r="3324" ht="15.75" customHeight="1">
      <c r="O3324" s="4" t="s">
        <v>4603</v>
      </c>
    </row>
    <row r="3325" ht="15.75" customHeight="1">
      <c r="O3325" s="4" t="s">
        <v>4604</v>
      </c>
    </row>
    <row r="3326" ht="15.75" customHeight="1">
      <c r="O3326" s="4" t="s">
        <v>4605</v>
      </c>
    </row>
    <row r="3327" ht="15.75" customHeight="1">
      <c r="O3327" s="4" t="s">
        <v>4606</v>
      </c>
    </row>
    <row r="3328" ht="15.75" customHeight="1">
      <c r="O3328" s="4" t="s">
        <v>4607</v>
      </c>
    </row>
    <row r="3329" ht="15.75" customHeight="1">
      <c r="O3329" s="4" t="s">
        <v>4608</v>
      </c>
    </row>
    <row r="3330" ht="15.75" customHeight="1">
      <c r="O3330" s="4" t="s">
        <v>4609</v>
      </c>
    </row>
    <row r="3331" ht="15.75" customHeight="1">
      <c r="O3331" s="4" t="s">
        <v>4610</v>
      </c>
    </row>
    <row r="3332" ht="15.75" customHeight="1">
      <c r="O3332" s="4" t="s">
        <v>4611</v>
      </c>
    </row>
    <row r="3333" ht="15.75" customHeight="1">
      <c r="O3333" s="4" t="s">
        <v>4612</v>
      </c>
    </row>
    <row r="3334" ht="15.75" customHeight="1">
      <c r="O3334" s="4" t="s">
        <v>4613</v>
      </c>
    </row>
    <row r="3335" ht="15.75" customHeight="1">
      <c r="O3335" s="4" t="s">
        <v>4614</v>
      </c>
    </row>
    <row r="3336" ht="15.75" customHeight="1">
      <c r="O3336" s="4" t="s">
        <v>4615</v>
      </c>
    </row>
    <row r="3337" ht="15.75" customHeight="1">
      <c r="O3337" s="4" t="s">
        <v>4616</v>
      </c>
    </row>
    <row r="3338" ht="15.75" customHeight="1">
      <c r="O3338" s="4" t="s">
        <v>4617</v>
      </c>
    </row>
    <row r="3339" ht="15.75" customHeight="1">
      <c r="O3339" s="4" t="s">
        <v>4618</v>
      </c>
    </row>
    <row r="3340" ht="15.75" customHeight="1">
      <c r="O3340" s="4" t="s">
        <v>4619</v>
      </c>
    </row>
    <row r="3341" ht="15.75" customHeight="1">
      <c r="O3341" s="4" t="s">
        <v>4620</v>
      </c>
    </row>
    <row r="3342" ht="15.75" customHeight="1">
      <c r="O3342" s="4" t="s">
        <v>4621</v>
      </c>
    </row>
    <row r="3343" ht="15.75" customHeight="1">
      <c r="O3343" s="4" t="s">
        <v>4622</v>
      </c>
    </row>
    <row r="3344" ht="15.75" customHeight="1">
      <c r="O3344" s="4" t="s">
        <v>4623</v>
      </c>
    </row>
    <row r="3345" ht="15.75" customHeight="1">
      <c r="O3345" s="4" t="s">
        <v>4624</v>
      </c>
    </row>
    <row r="3346" ht="15.75" customHeight="1">
      <c r="O3346" s="4" t="s">
        <v>4625</v>
      </c>
    </row>
    <row r="3347" ht="15.75" customHeight="1">
      <c r="O3347" s="4" t="s">
        <v>4626</v>
      </c>
    </row>
    <row r="3348" ht="15.75" customHeight="1">
      <c r="O3348" s="4" t="s">
        <v>4627</v>
      </c>
    </row>
    <row r="3349" ht="15.75" customHeight="1">
      <c r="O3349" s="4" t="s">
        <v>4628</v>
      </c>
    </row>
    <row r="3350" ht="15.75" customHeight="1">
      <c r="O3350" s="4" t="s">
        <v>4629</v>
      </c>
    </row>
    <row r="3351" ht="15.75" customHeight="1">
      <c r="O3351" s="4" t="s">
        <v>4630</v>
      </c>
    </row>
    <row r="3352" ht="15.75" customHeight="1">
      <c r="O3352" s="4" t="s">
        <v>4631</v>
      </c>
    </row>
    <row r="3353" ht="15.75" customHeight="1">
      <c r="O3353" s="4" t="s">
        <v>4632</v>
      </c>
    </row>
    <row r="3354" ht="15.75" customHeight="1">
      <c r="O3354" s="4" t="s">
        <v>4633</v>
      </c>
    </row>
    <row r="3355" ht="15.75" customHeight="1">
      <c r="O3355" s="4" t="s">
        <v>4634</v>
      </c>
    </row>
    <row r="3356" ht="15.75" customHeight="1">
      <c r="O3356" s="4" t="s">
        <v>4635</v>
      </c>
    </row>
    <row r="3357" ht="15.75" customHeight="1">
      <c r="O3357" s="4" t="s">
        <v>4636</v>
      </c>
    </row>
    <row r="3358" ht="15.75" customHeight="1">
      <c r="O3358" s="4" t="s">
        <v>4637</v>
      </c>
    </row>
    <row r="3359" ht="15.75" customHeight="1">
      <c r="O3359" s="4" t="s">
        <v>4638</v>
      </c>
    </row>
    <row r="3360" ht="15.75" customHeight="1">
      <c r="O3360" s="4" t="s">
        <v>4639</v>
      </c>
    </row>
    <row r="3361" ht="15.75" customHeight="1">
      <c r="O3361" s="4" t="s">
        <v>4640</v>
      </c>
    </row>
    <row r="3362" ht="15.75" customHeight="1">
      <c r="O3362" s="4" t="s">
        <v>4641</v>
      </c>
    </row>
    <row r="3363" ht="15.75" customHeight="1">
      <c r="O3363" s="4" t="s">
        <v>4642</v>
      </c>
    </row>
    <row r="3364" ht="15.75" customHeight="1">
      <c r="O3364" s="4" t="s">
        <v>4643</v>
      </c>
    </row>
    <row r="3365" ht="15.75" customHeight="1">
      <c r="O3365" s="4" t="s">
        <v>4644</v>
      </c>
    </row>
    <row r="3366" ht="15.75" customHeight="1">
      <c r="O3366" s="4" t="s">
        <v>4645</v>
      </c>
    </row>
    <row r="3367" ht="15.75" customHeight="1">
      <c r="O3367" s="4" t="s">
        <v>4646</v>
      </c>
    </row>
    <row r="3368" ht="15.75" customHeight="1">
      <c r="O3368" s="4" t="s">
        <v>4647</v>
      </c>
    </row>
    <row r="3369" ht="15.75" customHeight="1">
      <c r="O3369" s="4" t="s">
        <v>4648</v>
      </c>
    </row>
    <row r="3370" ht="15.75" customHeight="1">
      <c r="O3370" s="4" t="s">
        <v>4649</v>
      </c>
    </row>
    <row r="3371" ht="15.75" customHeight="1">
      <c r="O3371" s="4" t="s">
        <v>4650</v>
      </c>
    </row>
    <row r="3372" ht="15.75" customHeight="1">
      <c r="O3372" s="4" t="s">
        <v>4651</v>
      </c>
    </row>
    <row r="3373" ht="15.75" customHeight="1">
      <c r="O3373" s="4" t="s">
        <v>4652</v>
      </c>
    </row>
    <row r="3374" ht="15.75" customHeight="1">
      <c r="O3374" s="4" t="s">
        <v>4653</v>
      </c>
    </row>
    <row r="3375" ht="15.75" customHeight="1">
      <c r="O3375" s="4" t="s">
        <v>4654</v>
      </c>
    </row>
    <row r="3376" ht="15.75" customHeight="1">
      <c r="O3376" s="4" t="s">
        <v>4655</v>
      </c>
    </row>
    <row r="3377" ht="15.75" customHeight="1">
      <c r="O3377" s="4" t="s">
        <v>4656</v>
      </c>
    </row>
    <row r="3378" ht="15.75" customHeight="1">
      <c r="O3378" s="4" t="s">
        <v>4657</v>
      </c>
    </row>
    <row r="3379" ht="15.75" customHeight="1">
      <c r="O3379" s="4" t="s">
        <v>4658</v>
      </c>
    </row>
    <row r="3380" ht="15.75" customHeight="1">
      <c r="O3380" s="4" t="s">
        <v>4659</v>
      </c>
    </row>
    <row r="3381" ht="15.75" customHeight="1">
      <c r="O3381" s="4" t="s">
        <v>4660</v>
      </c>
    </row>
    <row r="3382" ht="15.75" customHeight="1">
      <c r="O3382" s="4" t="s">
        <v>4661</v>
      </c>
    </row>
    <row r="3383" ht="15.75" customHeight="1">
      <c r="O3383" s="4" t="s">
        <v>4662</v>
      </c>
    </row>
    <row r="3384" ht="15.75" customHeight="1">
      <c r="O3384" s="4" t="s">
        <v>4663</v>
      </c>
    </row>
    <row r="3385" ht="15.75" customHeight="1">
      <c r="O3385" s="4" t="s">
        <v>4664</v>
      </c>
    </row>
    <row r="3386" ht="15.75" customHeight="1">
      <c r="O3386" s="4" t="s">
        <v>4665</v>
      </c>
    </row>
    <row r="3387" ht="15.75" customHeight="1">
      <c r="O3387" s="4" t="s">
        <v>4666</v>
      </c>
    </row>
    <row r="3388" ht="15.75" customHeight="1">
      <c r="O3388" s="4" t="s">
        <v>4667</v>
      </c>
    </row>
    <row r="3389" ht="15.75" customHeight="1">
      <c r="O3389" s="4" t="s">
        <v>4668</v>
      </c>
    </row>
    <row r="3390" ht="15.75" customHeight="1">
      <c r="O3390" s="4" t="s">
        <v>4669</v>
      </c>
    </row>
    <row r="3391" ht="15.75" customHeight="1">
      <c r="O3391" s="4" t="s">
        <v>4670</v>
      </c>
    </row>
    <row r="3392" ht="15.75" customHeight="1">
      <c r="O3392" s="4" t="s">
        <v>4671</v>
      </c>
    </row>
    <row r="3393" ht="15.75" customHeight="1">
      <c r="O3393" s="4" t="s">
        <v>4672</v>
      </c>
    </row>
    <row r="3394" ht="15.75" customHeight="1">
      <c r="O3394" s="4" t="s">
        <v>4673</v>
      </c>
    </row>
    <row r="3395" ht="15.75" customHeight="1">
      <c r="O3395" s="4" t="s">
        <v>4674</v>
      </c>
    </row>
    <row r="3396" ht="15.75" customHeight="1">
      <c r="O3396" s="4" t="s">
        <v>4675</v>
      </c>
    </row>
    <row r="3397" ht="15.75" customHeight="1">
      <c r="O3397" s="4" t="s">
        <v>4676</v>
      </c>
    </row>
    <row r="3398" ht="15.75" customHeight="1">
      <c r="O3398" s="4" t="s">
        <v>4677</v>
      </c>
    </row>
    <row r="3399" ht="15.75" customHeight="1">
      <c r="O3399" s="4" t="s">
        <v>4678</v>
      </c>
    </row>
    <row r="3400" ht="15.75" customHeight="1">
      <c r="O3400" s="4" t="s">
        <v>4679</v>
      </c>
    </row>
    <row r="3401" ht="15.75" customHeight="1">
      <c r="O3401" s="4" t="s">
        <v>4680</v>
      </c>
    </row>
    <row r="3402" ht="15.75" customHeight="1">
      <c r="O3402" s="4" t="s">
        <v>4681</v>
      </c>
    </row>
    <row r="3403" ht="15.75" customHeight="1">
      <c r="O3403" s="4" t="s">
        <v>4682</v>
      </c>
    </row>
    <row r="3404" ht="15.75" customHeight="1">
      <c r="O3404" s="4" t="s">
        <v>4683</v>
      </c>
    </row>
    <row r="3405" ht="15.75" customHeight="1">
      <c r="O3405" s="4" t="s">
        <v>4684</v>
      </c>
    </row>
    <row r="3406" ht="15.75" customHeight="1">
      <c r="O3406" s="4" t="s">
        <v>4685</v>
      </c>
    </row>
    <row r="3407" ht="15.75" customHeight="1">
      <c r="O3407" s="4" t="s">
        <v>4686</v>
      </c>
    </row>
    <row r="3408" ht="15.75" customHeight="1">
      <c r="O3408" s="4" t="s">
        <v>4687</v>
      </c>
    </row>
    <row r="3409" ht="15.75" customHeight="1">
      <c r="O3409" s="4" t="s">
        <v>4688</v>
      </c>
    </row>
    <row r="3410" ht="15.75" customHeight="1">
      <c r="O3410" s="4" t="s">
        <v>4689</v>
      </c>
    </row>
    <row r="3411" ht="15.75" customHeight="1">
      <c r="O3411" s="4" t="s">
        <v>4690</v>
      </c>
    </row>
    <row r="3412" ht="15.75" customHeight="1">
      <c r="O3412" s="4" t="s">
        <v>4691</v>
      </c>
    </row>
    <row r="3413" ht="15.75" customHeight="1">
      <c r="O3413" s="4" t="s">
        <v>4692</v>
      </c>
    </row>
    <row r="3414" ht="15.75" customHeight="1">
      <c r="O3414" s="4" t="s">
        <v>4693</v>
      </c>
    </row>
    <row r="3415" ht="15.75" customHeight="1">
      <c r="O3415" s="4" t="s">
        <v>4694</v>
      </c>
    </row>
    <row r="3416" ht="15.75" customHeight="1">
      <c r="O3416" s="4" t="s">
        <v>4695</v>
      </c>
    </row>
    <row r="3417" ht="15.75" customHeight="1">
      <c r="O3417" s="4" t="s">
        <v>4696</v>
      </c>
    </row>
    <row r="3418" ht="15.75" customHeight="1">
      <c r="O3418" s="4" t="s">
        <v>4697</v>
      </c>
    </row>
    <row r="3419" ht="15.75" customHeight="1">
      <c r="O3419" s="4" t="s">
        <v>4698</v>
      </c>
    </row>
    <row r="3420" ht="15.75" customHeight="1">
      <c r="O3420" s="4" t="s">
        <v>4699</v>
      </c>
    </row>
    <row r="3421" ht="15.75" customHeight="1">
      <c r="O3421" s="4" t="s">
        <v>4700</v>
      </c>
    </row>
    <row r="3422" ht="15.75" customHeight="1">
      <c r="O3422" s="4" t="s">
        <v>4701</v>
      </c>
    </row>
    <row r="3423" ht="15.75" customHeight="1">
      <c r="O3423" s="4" t="s">
        <v>4702</v>
      </c>
    </row>
    <row r="3424" ht="15.75" customHeight="1">
      <c r="O3424" s="4" t="s">
        <v>4703</v>
      </c>
    </row>
    <row r="3425" ht="15.75" customHeight="1">
      <c r="O3425" s="4" t="s">
        <v>4704</v>
      </c>
    </row>
    <row r="3426" ht="15.75" customHeight="1">
      <c r="O3426" s="4" t="s">
        <v>4705</v>
      </c>
    </row>
    <row r="3427" ht="15.75" customHeight="1">
      <c r="O3427" s="4" t="s">
        <v>4706</v>
      </c>
    </row>
    <row r="3428" ht="15.75" customHeight="1">
      <c r="O3428" s="4" t="s">
        <v>4707</v>
      </c>
    </row>
    <row r="3429" ht="15.75" customHeight="1">
      <c r="O3429" s="4" t="s">
        <v>4708</v>
      </c>
    </row>
    <row r="3430" ht="15.75" customHeight="1">
      <c r="O3430" s="4" t="s">
        <v>4709</v>
      </c>
    </row>
    <row r="3431" ht="15.75" customHeight="1">
      <c r="O3431" s="4" t="s">
        <v>4710</v>
      </c>
    </row>
    <row r="3432" ht="15.75" customHeight="1">
      <c r="O3432" s="4" t="s">
        <v>4711</v>
      </c>
    </row>
    <row r="3433" ht="15.75" customHeight="1">
      <c r="O3433" s="4" t="s">
        <v>4712</v>
      </c>
    </row>
    <row r="3434" ht="15.75" customHeight="1">
      <c r="O3434" s="4" t="s">
        <v>4713</v>
      </c>
    </row>
    <row r="3435" ht="15.75" customHeight="1">
      <c r="O3435" s="4" t="s">
        <v>4714</v>
      </c>
    </row>
    <row r="3436" ht="15.75" customHeight="1">
      <c r="O3436" s="4" t="s">
        <v>4715</v>
      </c>
    </row>
    <row r="3437" ht="15.75" customHeight="1">
      <c r="O3437" s="4" t="s">
        <v>4716</v>
      </c>
    </row>
    <row r="3438" ht="15.75" customHeight="1">
      <c r="O3438" s="4" t="s">
        <v>4717</v>
      </c>
    </row>
    <row r="3439" ht="15.75" customHeight="1">
      <c r="O3439" s="4" t="s">
        <v>4718</v>
      </c>
    </row>
    <row r="3440" ht="15.75" customHeight="1">
      <c r="O3440" s="4" t="s">
        <v>4719</v>
      </c>
    </row>
    <row r="3441" ht="15.75" customHeight="1">
      <c r="O3441" s="4" t="s">
        <v>4720</v>
      </c>
    </row>
    <row r="3442" ht="15.75" customHeight="1">
      <c r="O3442" s="4" t="s">
        <v>4721</v>
      </c>
    </row>
    <row r="3443" ht="15.75" customHeight="1">
      <c r="O3443" s="4" t="s">
        <v>4722</v>
      </c>
    </row>
    <row r="3444" ht="15.75" customHeight="1">
      <c r="O3444" s="4" t="s">
        <v>4723</v>
      </c>
    </row>
    <row r="3445" ht="15.75" customHeight="1">
      <c r="O3445" s="4" t="s">
        <v>4724</v>
      </c>
    </row>
    <row r="3446" ht="15.75" customHeight="1">
      <c r="O3446" s="4" t="s">
        <v>4725</v>
      </c>
    </row>
    <row r="3447" ht="15.75" customHeight="1">
      <c r="O3447" s="4" t="s">
        <v>4726</v>
      </c>
    </row>
    <row r="3448" ht="15.75" customHeight="1">
      <c r="O3448" s="4" t="s">
        <v>4727</v>
      </c>
    </row>
    <row r="3449" ht="15.75" customHeight="1">
      <c r="O3449" s="4" t="s">
        <v>4728</v>
      </c>
    </row>
    <row r="3450" ht="15.75" customHeight="1">
      <c r="O3450" s="4" t="s">
        <v>4729</v>
      </c>
    </row>
    <row r="3451" ht="15.75" customHeight="1">
      <c r="O3451" s="4" t="s">
        <v>4730</v>
      </c>
    </row>
    <row r="3452" ht="15.75" customHeight="1">
      <c r="O3452" s="4" t="s">
        <v>4731</v>
      </c>
    </row>
    <row r="3453" ht="15.75" customHeight="1">
      <c r="O3453" s="4" t="s">
        <v>4732</v>
      </c>
    </row>
    <row r="3454" ht="15.75" customHeight="1">
      <c r="O3454" s="4" t="s">
        <v>4733</v>
      </c>
    </row>
    <row r="3455" ht="15.75" customHeight="1">
      <c r="O3455" s="4" t="s">
        <v>4734</v>
      </c>
    </row>
    <row r="3456" ht="15.75" customHeight="1">
      <c r="O3456" s="4" t="s">
        <v>4735</v>
      </c>
    </row>
    <row r="3457" ht="15.75" customHeight="1">
      <c r="O3457" s="4" t="s">
        <v>4736</v>
      </c>
    </row>
    <row r="3458" ht="15.75" customHeight="1">
      <c r="O3458" s="4" t="s">
        <v>4737</v>
      </c>
    </row>
    <row r="3459" ht="15.75" customHeight="1">
      <c r="O3459" s="4" t="s">
        <v>4738</v>
      </c>
    </row>
    <row r="3460" ht="15.75" customHeight="1">
      <c r="O3460" s="4" t="s">
        <v>4739</v>
      </c>
    </row>
    <row r="3461" ht="15.75" customHeight="1">
      <c r="O3461" s="4" t="s">
        <v>4740</v>
      </c>
    </row>
    <row r="3462" ht="15.75" customHeight="1">
      <c r="O3462" s="4" t="s">
        <v>4741</v>
      </c>
    </row>
    <row r="3463" ht="15.75" customHeight="1">
      <c r="O3463" s="4" t="s">
        <v>4742</v>
      </c>
    </row>
    <row r="3464" ht="15.75" customHeight="1">
      <c r="O3464" s="4" t="s">
        <v>4743</v>
      </c>
    </row>
    <row r="3465" ht="15.75" customHeight="1">
      <c r="O3465" s="4" t="s">
        <v>4744</v>
      </c>
    </row>
    <row r="3466" ht="15.75" customHeight="1">
      <c r="O3466" s="4" t="s">
        <v>4745</v>
      </c>
    </row>
    <row r="3467" ht="15.75" customHeight="1">
      <c r="O3467" s="4" t="s">
        <v>4746</v>
      </c>
    </row>
    <row r="3468" ht="15.75" customHeight="1">
      <c r="O3468" s="4" t="s">
        <v>4747</v>
      </c>
    </row>
    <row r="3469" ht="15.75" customHeight="1">
      <c r="O3469" s="4" t="s">
        <v>4748</v>
      </c>
    </row>
    <row r="3470" ht="15.75" customHeight="1">
      <c r="O3470" s="4" t="s">
        <v>4749</v>
      </c>
    </row>
    <row r="3471" ht="15.75" customHeight="1">
      <c r="O3471" s="4" t="s">
        <v>4750</v>
      </c>
    </row>
    <row r="3472" ht="15.75" customHeight="1">
      <c r="O3472" s="4" t="s">
        <v>4751</v>
      </c>
    </row>
    <row r="3473" ht="15.75" customHeight="1">
      <c r="O3473" s="4" t="s">
        <v>4752</v>
      </c>
    </row>
    <row r="3474" ht="15.75" customHeight="1">
      <c r="O3474" s="4" t="s">
        <v>4753</v>
      </c>
    </row>
    <row r="3475" ht="15.75" customHeight="1">
      <c r="O3475" s="4" t="s">
        <v>4754</v>
      </c>
    </row>
    <row r="3476" ht="15.75" customHeight="1">
      <c r="O3476" s="4" t="s">
        <v>4755</v>
      </c>
    </row>
    <row r="3477" ht="15.75" customHeight="1">
      <c r="O3477" s="4" t="s">
        <v>4756</v>
      </c>
    </row>
    <row r="3478" ht="15.75" customHeight="1">
      <c r="O3478" s="4" t="s">
        <v>4757</v>
      </c>
    </row>
    <row r="3479" ht="15.75" customHeight="1">
      <c r="O3479" s="4" t="s">
        <v>4758</v>
      </c>
    </row>
    <row r="3480" ht="15.75" customHeight="1">
      <c r="O3480" s="4" t="s">
        <v>4759</v>
      </c>
    </row>
    <row r="3481" ht="15.75" customHeight="1">
      <c r="O3481" s="4" t="s">
        <v>4760</v>
      </c>
    </row>
    <row r="3482" ht="15.75" customHeight="1">
      <c r="O3482" s="4" t="s">
        <v>4761</v>
      </c>
    </row>
    <row r="3483" ht="15.75" customHeight="1">
      <c r="O3483" s="4" t="s">
        <v>4762</v>
      </c>
    </row>
    <row r="3484" ht="15.75" customHeight="1">
      <c r="O3484" s="4" t="s">
        <v>4763</v>
      </c>
    </row>
    <row r="3485" ht="15.75" customHeight="1">
      <c r="O3485" s="4" t="s">
        <v>4764</v>
      </c>
    </row>
    <row r="3486" ht="15.75" customHeight="1">
      <c r="O3486" s="4" t="s">
        <v>4765</v>
      </c>
    </row>
    <row r="3487" ht="15.75" customHeight="1">
      <c r="O3487" s="4" t="s">
        <v>4766</v>
      </c>
    </row>
    <row r="3488" ht="15.75" customHeight="1">
      <c r="O3488" s="4" t="s">
        <v>4767</v>
      </c>
    </row>
    <row r="3489" ht="15.75" customHeight="1">
      <c r="O3489" s="4" t="s">
        <v>4768</v>
      </c>
    </row>
    <row r="3490" ht="15.75" customHeight="1">
      <c r="O3490" s="4" t="s">
        <v>4769</v>
      </c>
    </row>
    <row r="3491" ht="15.75" customHeight="1">
      <c r="O3491" s="4" t="s">
        <v>4770</v>
      </c>
    </row>
    <row r="3492" ht="15.75" customHeight="1">
      <c r="O3492" s="4" t="s">
        <v>4771</v>
      </c>
    </row>
    <row r="3493" ht="15.75" customHeight="1">
      <c r="O3493" s="4" t="s">
        <v>4772</v>
      </c>
    </row>
    <row r="3494" ht="15.75" customHeight="1">
      <c r="O3494" s="4" t="s">
        <v>4773</v>
      </c>
    </row>
    <row r="3495" ht="15.75" customHeight="1">
      <c r="O3495" s="4" t="s">
        <v>4774</v>
      </c>
    </row>
    <row r="3496" ht="15.75" customHeight="1">
      <c r="O3496" s="4" t="s">
        <v>4775</v>
      </c>
    </row>
    <row r="3497" ht="15.75" customHeight="1">
      <c r="O3497" s="4" t="s">
        <v>4776</v>
      </c>
    </row>
    <row r="3498" ht="15.75" customHeight="1">
      <c r="O3498" s="4" t="s">
        <v>4777</v>
      </c>
    </row>
    <row r="3499" ht="15.75" customHeight="1">
      <c r="O3499" s="4" t="s">
        <v>4778</v>
      </c>
    </row>
    <row r="3500" ht="15.75" customHeight="1">
      <c r="O3500" s="4" t="s">
        <v>4779</v>
      </c>
    </row>
    <row r="3501" ht="15.75" customHeight="1">
      <c r="O3501" s="4" t="s">
        <v>4780</v>
      </c>
    </row>
    <row r="3502" ht="15.75" customHeight="1">
      <c r="O3502" s="4" t="s">
        <v>4781</v>
      </c>
    </row>
    <row r="3503" ht="15.75" customHeight="1">
      <c r="O3503" s="4" t="s">
        <v>4782</v>
      </c>
    </row>
    <row r="3504" ht="15.75" customHeight="1">
      <c r="O3504" s="4" t="s">
        <v>4783</v>
      </c>
    </row>
    <row r="3505" ht="15.75" customHeight="1">
      <c r="O3505" s="4" t="s">
        <v>4784</v>
      </c>
    </row>
    <row r="3506" ht="15.75" customHeight="1">
      <c r="O3506" s="4" t="s">
        <v>4785</v>
      </c>
    </row>
    <row r="3507" ht="15.75" customHeight="1">
      <c r="O3507" s="4" t="s">
        <v>4786</v>
      </c>
    </row>
    <row r="3508" ht="15.75" customHeight="1">
      <c r="O3508" s="4" t="s">
        <v>4787</v>
      </c>
    </row>
    <row r="3509" ht="15.75" customHeight="1">
      <c r="O3509" s="4" t="s">
        <v>4788</v>
      </c>
    </row>
    <row r="3510" ht="15.75" customHeight="1">
      <c r="O3510" s="4" t="s">
        <v>4789</v>
      </c>
    </row>
    <row r="3511" ht="15.75" customHeight="1">
      <c r="O3511" s="4" t="s">
        <v>4790</v>
      </c>
    </row>
    <row r="3512" ht="15.75" customHeight="1">
      <c r="O3512" s="4" t="s">
        <v>4791</v>
      </c>
    </row>
    <row r="3513" ht="15.75" customHeight="1">
      <c r="O3513" s="4" t="s">
        <v>4792</v>
      </c>
    </row>
    <row r="3514" ht="15.75" customHeight="1">
      <c r="O3514" s="4" t="s">
        <v>4793</v>
      </c>
    </row>
    <row r="3515" ht="15.75" customHeight="1">
      <c r="O3515" s="4" t="s">
        <v>4794</v>
      </c>
    </row>
    <row r="3516" ht="15.75" customHeight="1">
      <c r="O3516" s="4" t="s">
        <v>4795</v>
      </c>
    </row>
    <row r="3517" ht="15.75" customHeight="1">
      <c r="O3517" s="4" t="s">
        <v>4796</v>
      </c>
    </row>
    <row r="3518" ht="15.75" customHeight="1">
      <c r="O3518" s="4" t="s">
        <v>4797</v>
      </c>
    </row>
    <row r="3519" ht="15.75" customHeight="1">
      <c r="O3519" s="4" t="s">
        <v>4798</v>
      </c>
    </row>
    <row r="3520" ht="15.75" customHeight="1">
      <c r="O3520" s="4" t="s">
        <v>4799</v>
      </c>
    </row>
    <row r="3521" ht="15.75" customHeight="1">
      <c r="O3521" s="4" t="s">
        <v>4800</v>
      </c>
    </row>
    <row r="3522" ht="15.75" customHeight="1">
      <c r="O3522" s="4" t="s">
        <v>4801</v>
      </c>
    </row>
    <row r="3523" ht="15.75" customHeight="1">
      <c r="O3523" s="4" t="s">
        <v>4802</v>
      </c>
    </row>
    <row r="3524" ht="15.75" customHeight="1">
      <c r="O3524" s="4" t="s">
        <v>4803</v>
      </c>
    </row>
    <row r="3525" ht="15.75" customHeight="1">
      <c r="O3525" s="4" t="s">
        <v>4804</v>
      </c>
    </row>
    <row r="3526" ht="15.75" customHeight="1">
      <c r="O3526" s="4" t="s">
        <v>4805</v>
      </c>
    </row>
    <row r="3527" ht="15.75" customHeight="1">
      <c r="O3527" s="4" t="s">
        <v>4806</v>
      </c>
    </row>
    <row r="3528" ht="15.75" customHeight="1">
      <c r="O3528" s="4" t="s">
        <v>4807</v>
      </c>
    </row>
    <row r="3529" ht="15.75" customHeight="1">
      <c r="O3529" s="4" t="s">
        <v>4808</v>
      </c>
    </row>
    <row r="3530" ht="15.75" customHeight="1">
      <c r="O3530" s="4" t="s">
        <v>4809</v>
      </c>
    </row>
    <row r="3531" ht="15.75" customHeight="1">
      <c r="O3531" s="4" t="s">
        <v>4810</v>
      </c>
    </row>
    <row r="3532" ht="15.75" customHeight="1">
      <c r="O3532" s="4" t="s">
        <v>4811</v>
      </c>
    </row>
    <row r="3533" ht="15.75" customHeight="1">
      <c r="O3533" s="4" t="s">
        <v>4812</v>
      </c>
    </row>
    <row r="3534" ht="15.75" customHeight="1">
      <c r="O3534" s="4" t="s">
        <v>4813</v>
      </c>
    </row>
    <row r="3535" ht="15.75" customHeight="1">
      <c r="O3535" s="4" t="s">
        <v>4814</v>
      </c>
    </row>
    <row r="3536" ht="15.75" customHeight="1">
      <c r="O3536" s="4" t="s">
        <v>4815</v>
      </c>
    </row>
    <row r="3537" ht="15.75" customHeight="1">
      <c r="O3537" s="4" t="s">
        <v>4816</v>
      </c>
    </row>
    <row r="3538" ht="15.75" customHeight="1">
      <c r="O3538" s="4" t="s">
        <v>4817</v>
      </c>
    </row>
    <row r="3539" ht="15.75" customHeight="1">
      <c r="O3539" s="4" t="s">
        <v>4818</v>
      </c>
    </row>
    <row r="3540" ht="15.75" customHeight="1">
      <c r="O3540" s="4" t="s">
        <v>4819</v>
      </c>
    </row>
    <row r="3541" ht="15.75" customHeight="1">
      <c r="O3541" s="4" t="s">
        <v>4820</v>
      </c>
    </row>
    <row r="3542" ht="15.75" customHeight="1">
      <c r="O3542" s="4" t="s">
        <v>4821</v>
      </c>
    </row>
    <row r="3543" ht="15.75" customHeight="1">
      <c r="O3543" s="4" t="s">
        <v>4822</v>
      </c>
    </row>
    <row r="3544" ht="15.75" customHeight="1">
      <c r="O3544" s="4" t="s">
        <v>4823</v>
      </c>
    </row>
    <row r="3545" ht="15.75" customHeight="1">
      <c r="O3545" s="4" t="s">
        <v>4824</v>
      </c>
    </row>
    <row r="3546" ht="15.75" customHeight="1">
      <c r="O3546" s="4" t="s">
        <v>4825</v>
      </c>
    </row>
    <row r="3547" ht="15.75" customHeight="1">
      <c r="O3547" s="4" t="s">
        <v>4826</v>
      </c>
    </row>
    <row r="3548" ht="15.75" customHeight="1">
      <c r="O3548" s="4" t="s">
        <v>4827</v>
      </c>
    </row>
    <row r="3549" ht="15.75" customHeight="1">
      <c r="O3549" s="4" t="s">
        <v>4828</v>
      </c>
    </row>
    <row r="3550" ht="15.75" customHeight="1">
      <c r="O3550" s="4" t="s">
        <v>4829</v>
      </c>
    </row>
    <row r="3551" ht="15.75" customHeight="1">
      <c r="O3551" s="4" t="s">
        <v>4830</v>
      </c>
    </row>
    <row r="3552" ht="15.75" customHeight="1">
      <c r="O3552" s="4" t="s">
        <v>4831</v>
      </c>
    </row>
    <row r="3553" ht="15.75" customHeight="1">
      <c r="O3553" s="4" t="s">
        <v>4832</v>
      </c>
    </row>
    <row r="3554" ht="15.75" customHeight="1">
      <c r="O3554" s="4" t="s">
        <v>4833</v>
      </c>
    </row>
    <row r="3555" ht="15.75" customHeight="1">
      <c r="O3555" s="4" t="s">
        <v>4834</v>
      </c>
    </row>
    <row r="3556" ht="15.75" customHeight="1">
      <c r="O3556" s="4" t="s">
        <v>4835</v>
      </c>
    </row>
    <row r="3557" ht="15.75" customHeight="1">
      <c r="O3557" s="4" t="s">
        <v>4836</v>
      </c>
    </row>
    <row r="3558" ht="15.75" customHeight="1">
      <c r="O3558" s="4" t="s">
        <v>4837</v>
      </c>
    </row>
    <row r="3559" ht="15.75" customHeight="1">
      <c r="O3559" s="4" t="s">
        <v>4838</v>
      </c>
    </row>
    <row r="3560" ht="15.75" customHeight="1">
      <c r="O3560" s="4" t="s">
        <v>4839</v>
      </c>
    </row>
    <row r="3561" ht="15.75" customHeight="1">
      <c r="O3561" s="4" t="s">
        <v>4840</v>
      </c>
    </row>
    <row r="3562" ht="15.75" customHeight="1">
      <c r="O3562" s="4" t="s">
        <v>4841</v>
      </c>
    </row>
    <row r="3563" ht="15.75" customHeight="1">
      <c r="O3563" s="4" t="s">
        <v>4842</v>
      </c>
    </row>
    <row r="3564" ht="15.75" customHeight="1">
      <c r="O3564" s="4" t="s">
        <v>4843</v>
      </c>
    </row>
    <row r="3565" ht="15.75" customHeight="1">
      <c r="O3565" s="4" t="s">
        <v>4844</v>
      </c>
    </row>
    <row r="3566" ht="15.75" customHeight="1">
      <c r="O3566" s="4" t="s">
        <v>4845</v>
      </c>
    </row>
    <row r="3567" ht="15.75" customHeight="1">
      <c r="O3567" s="4" t="s">
        <v>4846</v>
      </c>
    </row>
    <row r="3568" ht="15.75" customHeight="1">
      <c r="O3568" s="4" t="s">
        <v>4847</v>
      </c>
    </row>
    <row r="3569" ht="15.75" customHeight="1">
      <c r="O3569" s="4" t="s">
        <v>4848</v>
      </c>
    </row>
    <row r="3570" ht="15.75" customHeight="1">
      <c r="O3570" s="4" t="s">
        <v>4849</v>
      </c>
    </row>
    <row r="3571" ht="15.75" customHeight="1">
      <c r="O3571" s="4" t="s">
        <v>4850</v>
      </c>
    </row>
    <row r="3572" ht="15.75" customHeight="1">
      <c r="O3572" s="4" t="s">
        <v>4851</v>
      </c>
    </row>
    <row r="3573" ht="15.75" customHeight="1">
      <c r="O3573" s="4" t="s">
        <v>4852</v>
      </c>
    </row>
    <row r="3574" ht="15.75" customHeight="1">
      <c r="O3574" s="4" t="s">
        <v>4853</v>
      </c>
    </row>
    <row r="3575" ht="15.75" customHeight="1">
      <c r="O3575" s="4" t="s">
        <v>4854</v>
      </c>
    </row>
    <row r="3576" ht="15.75" customHeight="1">
      <c r="O3576" s="4" t="s">
        <v>4855</v>
      </c>
    </row>
    <row r="3577" ht="15.75" customHeight="1">
      <c r="O3577" s="4" t="s">
        <v>4856</v>
      </c>
    </row>
    <row r="3578" ht="15.75" customHeight="1">
      <c r="O3578" s="4" t="s">
        <v>4857</v>
      </c>
    </row>
    <row r="3579" ht="15.75" customHeight="1">
      <c r="O3579" s="4" t="s">
        <v>4858</v>
      </c>
    </row>
    <row r="3580" ht="15.75" customHeight="1">
      <c r="O3580" s="4" t="s">
        <v>4859</v>
      </c>
    </row>
    <row r="3581" ht="15.75" customHeight="1">
      <c r="O3581" s="4" t="s">
        <v>4860</v>
      </c>
    </row>
    <row r="3582" ht="15.75" customHeight="1">
      <c r="O3582" s="4" t="s">
        <v>4861</v>
      </c>
    </row>
    <row r="3583" ht="15.75" customHeight="1">
      <c r="O3583" s="4" t="s">
        <v>4862</v>
      </c>
    </row>
    <row r="3584" ht="15.75" customHeight="1">
      <c r="O3584" s="4" t="s">
        <v>4863</v>
      </c>
    </row>
    <row r="3585" ht="15.75" customHeight="1">
      <c r="O3585" s="4" t="s">
        <v>4864</v>
      </c>
    </row>
    <row r="3586" ht="15.75" customHeight="1">
      <c r="O3586" s="4" t="s">
        <v>4865</v>
      </c>
    </row>
    <row r="3587" ht="15.75" customHeight="1">
      <c r="O3587" s="4" t="s">
        <v>4866</v>
      </c>
    </row>
    <row r="3588" ht="15.75" customHeight="1">
      <c r="O3588" s="4" t="s">
        <v>4867</v>
      </c>
    </row>
    <row r="3589" ht="15.75" customHeight="1">
      <c r="O3589" s="4" t="s">
        <v>4868</v>
      </c>
    </row>
    <row r="3590" ht="15.75" customHeight="1">
      <c r="O3590" s="4" t="s">
        <v>4869</v>
      </c>
    </row>
    <row r="3591" ht="15.75" customHeight="1">
      <c r="O3591" s="4" t="s">
        <v>4870</v>
      </c>
    </row>
    <row r="3592" ht="15.75" customHeight="1">
      <c r="O3592" s="4" t="s">
        <v>4871</v>
      </c>
    </row>
    <row r="3593" ht="15.75" customHeight="1">
      <c r="O3593" s="4" t="s">
        <v>4872</v>
      </c>
    </row>
    <row r="3594" ht="15.75" customHeight="1">
      <c r="O3594" s="4" t="s">
        <v>4873</v>
      </c>
    </row>
    <row r="3595" ht="15.75" customHeight="1">
      <c r="O3595" s="4" t="s">
        <v>4874</v>
      </c>
    </row>
    <row r="3596" ht="15.75" customHeight="1">
      <c r="O3596" s="4" t="s">
        <v>4875</v>
      </c>
    </row>
    <row r="3597" ht="15.75" customHeight="1">
      <c r="O3597" s="4" t="s">
        <v>4876</v>
      </c>
    </row>
    <row r="3598" ht="15.75" customHeight="1">
      <c r="O3598" s="4" t="s">
        <v>4877</v>
      </c>
    </row>
    <row r="3599" ht="15.75" customHeight="1">
      <c r="O3599" s="4" t="s">
        <v>4878</v>
      </c>
    </row>
    <row r="3600" ht="15.75" customHeight="1">
      <c r="O3600" s="4" t="s">
        <v>4879</v>
      </c>
    </row>
    <row r="3601" ht="15.75" customHeight="1">
      <c r="O3601" s="4" t="s">
        <v>4880</v>
      </c>
    </row>
    <row r="3602" ht="15.75" customHeight="1">
      <c r="O3602" s="4" t="s">
        <v>4881</v>
      </c>
    </row>
    <row r="3603" ht="15.75" customHeight="1">
      <c r="O3603" s="4" t="s">
        <v>4882</v>
      </c>
    </row>
    <row r="3604" ht="15.75" customHeight="1">
      <c r="O3604" s="4" t="s">
        <v>4883</v>
      </c>
    </row>
    <row r="3605" ht="15.75" customHeight="1">
      <c r="O3605" s="4" t="s">
        <v>4884</v>
      </c>
    </row>
    <row r="3606" ht="15.75" customHeight="1">
      <c r="O3606" s="4" t="s">
        <v>4885</v>
      </c>
    </row>
    <row r="3607" ht="15.75" customHeight="1">
      <c r="O3607" s="4" t="s">
        <v>4886</v>
      </c>
    </row>
    <row r="3608" ht="15.75" customHeight="1">
      <c r="O3608" s="4" t="s">
        <v>4887</v>
      </c>
    </row>
    <row r="3609" ht="15.75" customHeight="1">
      <c r="O3609" s="4" t="s">
        <v>4888</v>
      </c>
    </row>
    <row r="3610" ht="15.75" customHeight="1">
      <c r="O3610" s="4" t="s">
        <v>4889</v>
      </c>
    </row>
    <row r="3611" ht="15.75" customHeight="1">
      <c r="O3611" s="4" t="s">
        <v>4890</v>
      </c>
    </row>
    <row r="3612" ht="15.75" customHeight="1">
      <c r="O3612" s="4" t="s">
        <v>4891</v>
      </c>
    </row>
    <row r="3613" ht="15.75" customHeight="1">
      <c r="O3613" s="4" t="s">
        <v>4892</v>
      </c>
    </row>
    <row r="3614" ht="15.75" customHeight="1">
      <c r="O3614" s="4" t="s">
        <v>4893</v>
      </c>
    </row>
    <row r="3615" ht="15.75" customHeight="1">
      <c r="O3615" s="4" t="s">
        <v>4894</v>
      </c>
    </row>
    <row r="3616" ht="15.75" customHeight="1">
      <c r="O3616" s="4" t="s">
        <v>4895</v>
      </c>
    </row>
    <row r="3617" ht="15.75" customHeight="1">
      <c r="O3617" s="4" t="s">
        <v>4896</v>
      </c>
    </row>
    <row r="3618" ht="15.75" customHeight="1">
      <c r="O3618" s="4" t="s">
        <v>4897</v>
      </c>
    </row>
    <row r="3619" ht="15.75" customHeight="1">
      <c r="O3619" s="4" t="s">
        <v>4898</v>
      </c>
    </row>
    <row r="3620" ht="15.75" customHeight="1">
      <c r="O3620" s="4" t="s">
        <v>4899</v>
      </c>
    </row>
    <row r="3621" ht="15.75" customHeight="1">
      <c r="O3621" s="4" t="s">
        <v>4900</v>
      </c>
    </row>
    <row r="3622" ht="15.75" customHeight="1">
      <c r="O3622" s="4" t="s">
        <v>4901</v>
      </c>
    </row>
    <row r="3623" ht="15.75" customHeight="1">
      <c r="O3623" s="4" t="s">
        <v>4902</v>
      </c>
    </row>
    <row r="3624" ht="15.75" customHeight="1">
      <c r="O3624" s="4" t="s">
        <v>4903</v>
      </c>
    </row>
    <row r="3625" ht="15.75" customHeight="1">
      <c r="O3625" s="4" t="s">
        <v>4904</v>
      </c>
    </row>
    <row r="3626" ht="15.75" customHeight="1">
      <c r="O3626" s="4" t="s">
        <v>4905</v>
      </c>
    </row>
    <row r="3627" ht="15.75" customHeight="1">
      <c r="O3627" s="4" t="s">
        <v>4906</v>
      </c>
    </row>
    <row r="3628" ht="15.75" customHeight="1">
      <c r="O3628" s="4" t="s">
        <v>4907</v>
      </c>
    </row>
    <row r="3629" ht="15.75" customHeight="1">
      <c r="O3629" s="4" t="s">
        <v>4908</v>
      </c>
    </row>
    <row r="3630" ht="15.75" customHeight="1">
      <c r="O3630" s="4" t="s">
        <v>4909</v>
      </c>
    </row>
    <row r="3631" ht="15.75" customHeight="1">
      <c r="O3631" s="4" t="s">
        <v>4910</v>
      </c>
    </row>
    <row r="3632" ht="15.75" customHeight="1">
      <c r="O3632" s="4" t="s">
        <v>4911</v>
      </c>
    </row>
    <row r="3633" ht="15.75" customHeight="1">
      <c r="O3633" s="4" t="s">
        <v>4912</v>
      </c>
    </row>
    <row r="3634" ht="15.75" customHeight="1">
      <c r="O3634" s="4" t="s">
        <v>4913</v>
      </c>
    </row>
    <row r="3635" ht="15.75" customHeight="1">
      <c r="O3635" s="4" t="s">
        <v>4914</v>
      </c>
    </row>
    <row r="3636" ht="15.75" customHeight="1">
      <c r="O3636" s="4" t="s">
        <v>4915</v>
      </c>
    </row>
    <row r="3637" ht="15.75" customHeight="1">
      <c r="O3637" s="4" t="s">
        <v>4916</v>
      </c>
    </row>
    <row r="3638" ht="15.75" customHeight="1">
      <c r="O3638" s="4" t="s">
        <v>4917</v>
      </c>
    </row>
    <row r="3639" ht="15.75" customHeight="1">
      <c r="O3639" s="4" t="s">
        <v>4918</v>
      </c>
    </row>
    <row r="3640" ht="15.75" customHeight="1">
      <c r="O3640" s="4" t="s">
        <v>4919</v>
      </c>
    </row>
    <row r="3641" ht="15.75" customHeight="1">
      <c r="O3641" s="4" t="s">
        <v>4920</v>
      </c>
    </row>
    <row r="3642" ht="15.75" customHeight="1">
      <c r="O3642" s="4" t="s">
        <v>4921</v>
      </c>
    </row>
    <row r="3643" ht="15.75" customHeight="1">
      <c r="O3643" s="4" t="s">
        <v>4922</v>
      </c>
    </row>
    <row r="3644" ht="15.75" customHeight="1">
      <c r="O3644" s="4" t="s">
        <v>4923</v>
      </c>
    </row>
    <row r="3645" ht="15.75" customHeight="1">
      <c r="O3645" s="4" t="s">
        <v>4924</v>
      </c>
    </row>
    <row r="3646" ht="15.75" customHeight="1">
      <c r="O3646" s="4" t="s">
        <v>4925</v>
      </c>
    </row>
    <row r="3647" ht="15.75" customHeight="1">
      <c r="O3647" s="4" t="s">
        <v>4926</v>
      </c>
    </row>
    <row r="3648" ht="15.75" customHeight="1">
      <c r="O3648" s="4" t="s">
        <v>4927</v>
      </c>
    </row>
    <row r="3649" ht="15.75" customHeight="1">
      <c r="O3649" s="4" t="s">
        <v>4928</v>
      </c>
    </row>
    <row r="3650" ht="15.75" customHeight="1">
      <c r="O3650" s="4" t="s">
        <v>4929</v>
      </c>
    </row>
    <row r="3651" ht="15.75" customHeight="1">
      <c r="O3651" s="4" t="s">
        <v>4930</v>
      </c>
    </row>
    <row r="3652" ht="15.75" customHeight="1">
      <c r="O3652" s="4" t="s">
        <v>4931</v>
      </c>
    </row>
    <row r="3653" ht="15.75" customHeight="1">
      <c r="O3653" s="4" t="s">
        <v>4932</v>
      </c>
    </row>
    <row r="3654" ht="15.75" customHeight="1">
      <c r="O3654" s="4" t="s">
        <v>4933</v>
      </c>
    </row>
    <row r="3655" ht="15.75" customHeight="1">
      <c r="O3655" s="4" t="s">
        <v>4934</v>
      </c>
    </row>
    <row r="3656" ht="15.75" customHeight="1">
      <c r="O3656" s="4" t="s">
        <v>4935</v>
      </c>
    </row>
    <row r="3657" ht="15.75" customHeight="1">
      <c r="O3657" s="4" t="s">
        <v>4936</v>
      </c>
    </row>
    <row r="3658" ht="15.75" customHeight="1">
      <c r="O3658" s="4" t="s">
        <v>4937</v>
      </c>
    </row>
    <row r="3659" ht="15.75" customHeight="1">
      <c r="O3659" s="4" t="s">
        <v>4938</v>
      </c>
    </row>
    <row r="3660" ht="15.75" customHeight="1">
      <c r="O3660" s="4" t="s">
        <v>4939</v>
      </c>
    </row>
    <row r="3661" ht="15.75" customHeight="1">
      <c r="O3661" s="4" t="s">
        <v>4940</v>
      </c>
    </row>
    <row r="3662" ht="15.75" customHeight="1">
      <c r="O3662" s="4" t="s">
        <v>4941</v>
      </c>
    </row>
    <row r="3663" ht="15.75" customHeight="1">
      <c r="O3663" s="4" t="s">
        <v>4942</v>
      </c>
    </row>
    <row r="3664" ht="15.75" customHeight="1">
      <c r="O3664" s="4" t="s">
        <v>4943</v>
      </c>
    </row>
    <row r="3665" ht="15.75" customHeight="1">
      <c r="O3665" s="4" t="s">
        <v>4944</v>
      </c>
    </row>
    <row r="3666" ht="15.75" customHeight="1">
      <c r="O3666" s="4" t="s">
        <v>4945</v>
      </c>
    </row>
    <row r="3667" ht="15.75" customHeight="1">
      <c r="O3667" s="4" t="s">
        <v>4946</v>
      </c>
    </row>
    <row r="3668" ht="15.75" customHeight="1">
      <c r="O3668" s="4" t="s">
        <v>4947</v>
      </c>
    </row>
    <row r="3669" ht="15.75" customHeight="1">
      <c r="O3669" s="4" t="s">
        <v>4948</v>
      </c>
    </row>
    <row r="3670" ht="15.75" customHeight="1">
      <c r="O3670" s="4" t="s">
        <v>4949</v>
      </c>
    </row>
    <row r="3671" ht="15.75" customHeight="1">
      <c r="O3671" s="4" t="s">
        <v>4950</v>
      </c>
    </row>
    <row r="3672" ht="15.75" customHeight="1">
      <c r="O3672" s="4" t="s">
        <v>4951</v>
      </c>
    </row>
    <row r="3673" ht="15.75" customHeight="1">
      <c r="O3673" s="4" t="s">
        <v>4952</v>
      </c>
    </row>
    <row r="3674" ht="15.75" customHeight="1">
      <c r="O3674" s="4" t="s">
        <v>4953</v>
      </c>
    </row>
    <row r="3675" ht="15.75" customHeight="1">
      <c r="O3675" s="4" t="s">
        <v>4954</v>
      </c>
    </row>
    <row r="3676" ht="15.75" customHeight="1">
      <c r="O3676" s="4" t="s">
        <v>4955</v>
      </c>
    </row>
    <row r="3677" ht="15.75" customHeight="1">
      <c r="O3677" s="4" t="s">
        <v>4956</v>
      </c>
    </row>
    <row r="3678" ht="15.75" customHeight="1">
      <c r="O3678" s="4" t="s">
        <v>4957</v>
      </c>
    </row>
    <row r="3679" ht="15.75" customHeight="1">
      <c r="O3679" s="4" t="s">
        <v>4958</v>
      </c>
    </row>
    <row r="3680" ht="15.75" customHeight="1">
      <c r="O3680" s="4" t="s">
        <v>4959</v>
      </c>
    </row>
    <row r="3681" ht="15.75" customHeight="1">
      <c r="O3681" s="4" t="s">
        <v>4960</v>
      </c>
    </row>
    <row r="3682" ht="15.75" customHeight="1">
      <c r="O3682" s="4" t="s">
        <v>4961</v>
      </c>
    </row>
    <row r="3683" ht="15.75" customHeight="1">
      <c r="O3683" s="4" t="s">
        <v>4962</v>
      </c>
    </row>
    <row r="3684" ht="15.75" customHeight="1">
      <c r="O3684" s="4" t="s">
        <v>4963</v>
      </c>
    </row>
    <row r="3685" ht="15.75" customHeight="1">
      <c r="O3685" s="4" t="s">
        <v>4964</v>
      </c>
    </row>
    <row r="3686" ht="15.75" customHeight="1">
      <c r="O3686" s="4" t="s">
        <v>4965</v>
      </c>
    </row>
    <row r="3687" ht="15.75" customHeight="1">
      <c r="O3687" s="4" t="s">
        <v>4966</v>
      </c>
    </row>
    <row r="3688" ht="15.75" customHeight="1">
      <c r="O3688" s="4" t="s">
        <v>4967</v>
      </c>
    </row>
    <row r="3689" ht="15.75" customHeight="1">
      <c r="O3689" s="4" t="s">
        <v>4968</v>
      </c>
    </row>
    <row r="3690" ht="15.75" customHeight="1">
      <c r="O3690" s="4" t="s">
        <v>4969</v>
      </c>
    </row>
    <row r="3691" ht="15.75" customHeight="1">
      <c r="O3691" s="4" t="s">
        <v>4970</v>
      </c>
    </row>
    <row r="3692" ht="15.75" customHeight="1">
      <c r="O3692" s="4" t="s">
        <v>4971</v>
      </c>
    </row>
    <row r="3693" ht="15.75" customHeight="1">
      <c r="O3693" s="4" t="s">
        <v>4972</v>
      </c>
    </row>
    <row r="3694" ht="15.75" customHeight="1">
      <c r="O3694" s="4" t="s">
        <v>4973</v>
      </c>
    </row>
    <row r="3695" ht="15.75" customHeight="1">
      <c r="O3695" s="4" t="s">
        <v>4974</v>
      </c>
    </row>
    <row r="3696" ht="15.75" customHeight="1">
      <c r="O3696" s="4" t="s">
        <v>4975</v>
      </c>
    </row>
    <row r="3697" ht="15.75" customHeight="1">
      <c r="O3697" s="4" t="s">
        <v>4976</v>
      </c>
    </row>
    <row r="3698" ht="15.75" customHeight="1">
      <c r="O3698" s="4" t="s">
        <v>4977</v>
      </c>
    </row>
    <row r="3699" ht="15.75" customHeight="1">
      <c r="O3699" s="4" t="s">
        <v>4978</v>
      </c>
    </row>
    <row r="3700" ht="15.75" customHeight="1">
      <c r="O3700" s="4" t="s">
        <v>4979</v>
      </c>
    </row>
    <row r="3701" ht="15.75" customHeight="1">
      <c r="O3701" s="4" t="s">
        <v>4980</v>
      </c>
    </row>
    <row r="3702" ht="15.75" customHeight="1">
      <c r="O3702" s="4" t="s">
        <v>4981</v>
      </c>
    </row>
    <row r="3703" ht="15.75" customHeight="1">
      <c r="O3703" s="4" t="s">
        <v>4982</v>
      </c>
    </row>
    <row r="3704" ht="15.75" customHeight="1">
      <c r="O3704" s="4" t="s">
        <v>4983</v>
      </c>
    </row>
    <row r="3705" ht="15.75" customHeight="1">
      <c r="O3705" s="4" t="s">
        <v>4984</v>
      </c>
    </row>
    <row r="3706" ht="15.75" customHeight="1">
      <c r="O3706" s="4" t="s">
        <v>4985</v>
      </c>
    </row>
    <row r="3707" ht="15.75" customHeight="1">
      <c r="O3707" s="4" t="s">
        <v>4986</v>
      </c>
    </row>
    <row r="3708" ht="15.75" customHeight="1">
      <c r="O3708" s="4" t="s">
        <v>4987</v>
      </c>
    </row>
    <row r="3709" ht="15.75" customHeight="1">
      <c r="O3709" s="4" t="s">
        <v>4988</v>
      </c>
    </row>
    <row r="3710" ht="15.75" customHeight="1">
      <c r="O3710" s="4" t="s">
        <v>4989</v>
      </c>
    </row>
    <row r="3711" ht="15.75" customHeight="1">
      <c r="O3711" s="4" t="s">
        <v>4990</v>
      </c>
    </row>
    <row r="3712" ht="15.75" customHeight="1">
      <c r="O3712" s="4" t="s">
        <v>4991</v>
      </c>
    </row>
    <row r="3713" ht="15.75" customHeight="1">
      <c r="O3713" s="4" t="s">
        <v>4992</v>
      </c>
    </row>
    <row r="3714" ht="15.75" customHeight="1">
      <c r="O3714" s="4" t="s">
        <v>4993</v>
      </c>
    </row>
    <row r="3715" ht="15.75" customHeight="1">
      <c r="O3715" s="4" t="s">
        <v>4994</v>
      </c>
    </row>
    <row r="3716" ht="15.75" customHeight="1">
      <c r="O3716" s="4" t="s">
        <v>4995</v>
      </c>
    </row>
    <row r="3717" ht="15.75" customHeight="1">
      <c r="O3717" s="4" t="s">
        <v>4996</v>
      </c>
    </row>
    <row r="3718" ht="15.75" customHeight="1">
      <c r="O3718" s="4" t="s">
        <v>4997</v>
      </c>
    </row>
    <row r="3719" ht="15.75" customHeight="1">
      <c r="O3719" s="4" t="s">
        <v>4998</v>
      </c>
    </row>
    <row r="3720" ht="15.75" customHeight="1">
      <c r="O3720" s="4" t="s">
        <v>4999</v>
      </c>
    </row>
    <row r="3721" ht="15.75" customHeight="1">
      <c r="O3721" s="4" t="s">
        <v>5000</v>
      </c>
    </row>
    <row r="3722" ht="15.75" customHeight="1">
      <c r="O3722" s="4" t="s">
        <v>5001</v>
      </c>
    </row>
    <row r="3723" ht="15.75" customHeight="1">
      <c r="O3723" s="4" t="s">
        <v>5002</v>
      </c>
    </row>
    <row r="3724" ht="15.75" customHeight="1">
      <c r="O3724" s="4" t="s">
        <v>5003</v>
      </c>
    </row>
    <row r="3725" ht="15.75" customHeight="1">
      <c r="O3725" s="4" t="s">
        <v>5004</v>
      </c>
    </row>
    <row r="3726" ht="15.75" customHeight="1">
      <c r="O3726" s="4" t="s">
        <v>5005</v>
      </c>
    </row>
    <row r="3727" ht="15.75" customHeight="1">
      <c r="O3727" s="4" t="s">
        <v>5006</v>
      </c>
    </row>
    <row r="3728" ht="15.75" customHeight="1">
      <c r="O3728" s="4" t="s">
        <v>5007</v>
      </c>
    </row>
    <row r="3729" ht="15.75" customHeight="1">
      <c r="O3729" s="4" t="s">
        <v>5008</v>
      </c>
    </row>
    <row r="3730" ht="15.75" customHeight="1">
      <c r="O3730" s="4" t="s">
        <v>5009</v>
      </c>
    </row>
    <row r="3731" ht="15.75" customHeight="1">
      <c r="O3731" s="4" t="s">
        <v>5010</v>
      </c>
    </row>
    <row r="3732" ht="15.75" customHeight="1">
      <c r="O3732" s="4" t="s">
        <v>5011</v>
      </c>
    </row>
    <row r="3733" ht="15.75" customHeight="1">
      <c r="O3733" s="4" t="s">
        <v>5012</v>
      </c>
    </row>
    <row r="3734" ht="15.75" customHeight="1">
      <c r="O3734" s="4" t="s">
        <v>5013</v>
      </c>
    </row>
    <row r="3735" ht="15.75" customHeight="1">
      <c r="O3735" s="4" t="s">
        <v>5014</v>
      </c>
    </row>
    <row r="3736" ht="15.75" customHeight="1">
      <c r="O3736" s="4" t="s">
        <v>5015</v>
      </c>
    </row>
    <row r="3737" ht="15.75" customHeight="1">
      <c r="O3737" s="4" t="s">
        <v>5016</v>
      </c>
    </row>
    <row r="3738" ht="15.75" customHeight="1">
      <c r="O3738" s="4" t="s">
        <v>5017</v>
      </c>
    </row>
    <row r="3739" ht="15.75" customHeight="1">
      <c r="O3739" s="4" t="s">
        <v>5018</v>
      </c>
    </row>
    <row r="3740" ht="15.75" customHeight="1">
      <c r="O3740" s="4" t="s">
        <v>5019</v>
      </c>
    </row>
    <row r="3741" ht="15.75" customHeight="1">
      <c r="O3741" s="4" t="s">
        <v>5020</v>
      </c>
    </row>
    <row r="3742" ht="15.75" customHeight="1">
      <c r="O3742" s="4" t="s">
        <v>5021</v>
      </c>
    </row>
    <row r="3743" ht="15.75" customHeight="1">
      <c r="O3743" s="4" t="s">
        <v>5022</v>
      </c>
    </row>
    <row r="3744" ht="15.75" customHeight="1">
      <c r="O3744" s="4" t="s">
        <v>5023</v>
      </c>
    </row>
    <row r="3745" ht="15.75" customHeight="1">
      <c r="O3745" s="4" t="s">
        <v>5024</v>
      </c>
    </row>
    <row r="3746" ht="15.75" customHeight="1">
      <c r="O3746" s="4" t="s">
        <v>5025</v>
      </c>
    </row>
    <row r="3747" ht="15.75" customHeight="1">
      <c r="O3747" s="4" t="s">
        <v>5026</v>
      </c>
    </row>
    <row r="3748" ht="15.75" customHeight="1">
      <c r="O3748" s="4" t="s">
        <v>5027</v>
      </c>
    </row>
    <row r="3749" ht="15.75" customHeight="1">
      <c r="O3749" s="4" t="s">
        <v>5028</v>
      </c>
    </row>
    <row r="3750" ht="15.75" customHeight="1">
      <c r="O3750" s="4" t="s">
        <v>5029</v>
      </c>
    </row>
    <row r="3751" ht="15.75" customHeight="1">
      <c r="O3751" s="4" t="s">
        <v>5030</v>
      </c>
    </row>
    <row r="3752" ht="15.75" customHeight="1">
      <c r="O3752" s="4" t="s">
        <v>5031</v>
      </c>
    </row>
    <row r="3753" ht="15.75" customHeight="1">
      <c r="O3753" s="4" t="s">
        <v>5032</v>
      </c>
    </row>
    <row r="3754" ht="15.75" customHeight="1">
      <c r="O3754" s="4" t="s">
        <v>5033</v>
      </c>
    </row>
    <row r="3755" ht="15.75" customHeight="1">
      <c r="O3755" s="4" t="s">
        <v>5034</v>
      </c>
    </row>
    <row r="3756" ht="15.75" customHeight="1">
      <c r="O3756" s="4" t="s">
        <v>5035</v>
      </c>
    </row>
    <row r="3757" ht="15.75" customHeight="1">
      <c r="O3757" s="4" t="s">
        <v>5036</v>
      </c>
    </row>
    <row r="3758" ht="15.75" customHeight="1">
      <c r="O3758" s="4" t="s">
        <v>5037</v>
      </c>
    </row>
    <row r="3759" ht="15.75" customHeight="1">
      <c r="O3759" s="4" t="s">
        <v>5038</v>
      </c>
    </row>
    <row r="3760" ht="15.75" customHeight="1">
      <c r="O3760" s="4" t="s">
        <v>5039</v>
      </c>
    </row>
    <row r="3761" ht="15.75" customHeight="1">
      <c r="O3761" s="4" t="s">
        <v>5040</v>
      </c>
    </row>
    <row r="3762" ht="15.75" customHeight="1">
      <c r="O3762" s="4" t="s">
        <v>5041</v>
      </c>
    </row>
    <row r="3763" ht="15.75" customHeight="1">
      <c r="O3763" s="4" t="s">
        <v>5042</v>
      </c>
    </row>
    <row r="3764" ht="15.75" customHeight="1">
      <c r="O3764" s="4" t="s">
        <v>5043</v>
      </c>
    </row>
    <row r="3765" ht="15.75" customHeight="1">
      <c r="O3765" s="4" t="s">
        <v>5044</v>
      </c>
    </row>
    <row r="3766" ht="15.75" customHeight="1">
      <c r="O3766" s="4" t="s">
        <v>5045</v>
      </c>
    </row>
    <row r="3767" ht="15.75" customHeight="1">
      <c r="O3767" s="4" t="s">
        <v>5046</v>
      </c>
    </row>
    <row r="3768" ht="15.75" customHeight="1">
      <c r="O3768" s="4" t="s">
        <v>5047</v>
      </c>
    </row>
    <row r="3769" ht="15.75" customHeight="1">
      <c r="O3769" s="4" t="s">
        <v>5048</v>
      </c>
    </row>
    <row r="3770" ht="15.75" customHeight="1">
      <c r="O3770" s="4" t="s">
        <v>5049</v>
      </c>
    </row>
    <row r="3771" ht="15.75" customHeight="1">
      <c r="O3771" s="4" t="s">
        <v>5050</v>
      </c>
    </row>
    <row r="3772" ht="15.75" customHeight="1">
      <c r="O3772" s="4" t="s">
        <v>5051</v>
      </c>
    </row>
    <row r="3773" ht="15.75" customHeight="1">
      <c r="O3773" s="4" t="s">
        <v>5052</v>
      </c>
    </row>
    <row r="3774" ht="15.75" customHeight="1">
      <c r="O3774" s="4" t="s">
        <v>5053</v>
      </c>
    </row>
    <row r="3775" ht="15.75" customHeight="1">
      <c r="O3775" s="4" t="s">
        <v>5054</v>
      </c>
    </row>
    <row r="3776" ht="15.75" customHeight="1">
      <c r="O3776" s="4" t="s">
        <v>5055</v>
      </c>
    </row>
    <row r="3777" ht="15.75" customHeight="1">
      <c r="O3777" s="4" t="s">
        <v>5056</v>
      </c>
    </row>
    <row r="3778" ht="15.75" customHeight="1">
      <c r="O3778" s="4" t="s">
        <v>5057</v>
      </c>
    </row>
    <row r="3779" ht="15.75" customHeight="1">
      <c r="O3779" s="4" t="s">
        <v>5058</v>
      </c>
    </row>
    <row r="3780" ht="15.75" customHeight="1">
      <c r="O3780" s="4" t="s">
        <v>5059</v>
      </c>
    </row>
    <row r="3781" ht="15.75" customHeight="1">
      <c r="O3781" s="4" t="s">
        <v>5060</v>
      </c>
    </row>
    <row r="3782" ht="15.75" customHeight="1">
      <c r="O3782" s="4" t="s">
        <v>5061</v>
      </c>
    </row>
    <row r="3783" ht="15.75" customHeight="1">
      <c r="O3783" s="4" t="s">
        <v>5062</v>
      </c>
    </row>
    <row r="3784" ht="15.75" customHeight="1">
      <c r="O3784" s="4" t="s">
        <v>5063</v>
      </c>
    </row>
    <row r="3785" ht="15.75" customHeight="1">
      <c r="O3785" s="4" t="s">
        <v>5064</v>
      </c>
    </row>
    <row r="3786" ht="15.75" customHeight="1">
      <c r="O3786" s="4" t="s">
        <v>5065</v>
      </c>
    </row>
    <row r="3787" ht="15.75" customHeight="1">
      <c r="O3787" s="4" t="s">
        <v>5066</v>
      </c>
    </row>
    <row r="3788" ht="15.75" customHeight="1">
      <c r="O3788" s="4" t="s">
        <v>5067</v>
      </c>
    </row>
    <row r="3789" ht="15.75" customHeight="1">
      <c r="O3789" s="4" t="s">
        <v>5068</v>
      </c>
    </row>
    <row r="3790" ht="15.75" customHeight="1">
      <c r="O3790" s="4" t="s">
        <v>5069</v>
      </c>
    </row>
    <row r="3791" ht="15.75" customHeight="1">
      <c r="O3791" s="4" t="s">
        <v>5070</v>
      </c>
    </row>
    <row r="3792" ht="15.75" customHeight="1">
      <c r="O3792" s="4" t="s">
        <v>5071</v>
      </c>
    </row>
    <row r="3793" ht="15.75" customHeight="1">
      <c r="O3793" s="4" t="s">
        <v>5072</v>
      </c>
    </row>
    <row r="3794" ht="15.75" customHeight="1">
      <c r="O3794" s="4" t="s">
        <v>5073</v>
      </c>
    </row>
    <row r="3795" ht="15.75" customHeight="1">
      <c r="O3795" s="4" t="s">
        <v>5074</v>
      </c>
    </row>
    <row r="3796" ht="15.75" customHeight="1">
      <c r="O3796" s="4" t="s">
        <v>5075</v>
      </c>
    </row>
    <row r="3797" ht="15.75" customHeight="1">
      <c r="O3797" s="4" t="s">
        <v>5076</v>
      </c>
    </row>
    <row r="3798" ht="15.75" customHeight="1">
      <c r="O3798" s="4" t="s">
        <v>5077</v>
      </c>
    </row>
    <row r="3799" ht="15.75" customHeight="1">
      <c r="O3799" s="4" t="s">
        <v>5078</v>
      </c>
    </row>
    <row r="3800" ht="15.75" customHeight="1">
      <c r="O3800" s="4" t="s">
        <v>5079</v>
      </c>
    </row>
    <row r="3801" ht="15.75" customHeight="1">
      <c r="O3801" s="4" t="s">
        <v>5080</v>
      </c>
    </row>
    <row r="3802" ht="15.75" customHeight="1">
      <c r="O3802" s="4" t="s">
        <v>5081</v>
      </c>
    </row>
    <row r="3803" ht="15.75" customHeight="1">
      <c r="O3803" s="4" t="s">
        <v>5082</v>
      </c>
    </row>
    <row r="3804" ht="15.75" customHeight="1">
      <c r="O3804" s="4" t="s">
        <v>5083</v>
      </c>
    </row>
    <row r="3805" ht="15.75" customHeight="1">
      <c r="O3805" s="4" t="s">
        <v>5084</v>
      </c>
    </row>
    <row r="3806" ht="15.75" customHeight="1">
      <c r="O3806" s="4" t="s">
        <v>5085</v>
      </c>
    </row>
    <row r="3807" ht="15.75" customHeight="1">
      <c r="O3807" s="4" t="s">
        <v>5086</v>
      </c>
    </row>
    <row r="3808" ht="15.75" customHeight="1">
      <c r="O3808" s="4" t="s">
        <v>5087</v>
      </c>
    </row>
    <row r="3809" ht="15.75" customHeight="1">
      <c r="O3809" s="4" t="s">
        <v>5088</v>
      </c>
    </row>
    <row r="3810" ht="15.75" customHeight="1">
      <c r="O3810" s="4" t="s">
        <v>5089</v>
      </c>
    </row>
    <row r="3811" ht="15.75" customHeight="1">
      <c r="O3811" s="4" t="s">
        <v>5090</v>
      </c>
    </row>
    <row r="3812" ht="15.75" customHeight="1">
      <c r="O3812" s="4" t="s">
        <v>5091</v>
      </c>
    </row>
    <row r="3813" ht="15.75" customHeight="1">
      <c r="O3813" s="4" t="s">
        <v>5092</v>
      </c>
    </row>
    <row r="3814" ht="15.75" customHeight="1">
      <c r="O3814" s="4" t="s">
        <v>5093</v>
      </c>
    </row>
    <row r="3815" ht="15.75" customHeight="1">
      <c r="O3815" s="4" t="s">
        <v>5094</v>
      </c>
    </row>
    <row r="3816" ht="15.75" customHeight="1">
      <c r="O3816" s="4" t="s">
        <v>5095</v>
      </c>
    </row>
    <row r="3817" ht="15.75" customHeight="1">
      <c r="O3817" s="4" t="s">
        <v>5096</v>
      </c>
    </row>
    <row r="3818" ht="15.75" customHeight="1">
      <c r="O3818" s="4" t="s">
        <v>5097</v>
      </c>
    </row>
    <row r="3819" ht="15.75" customHeight="1">
      <c r="O3819" s="4" t="s">
        <v>5098</v>
      </c>
    </row>
    <row r="3820" ht="15.75" customHeight="1">
      <c r="O3820" s="4" t="s">
        <v>5099</v>
      </c>
    </row>
    <row r="3821" ht="15.75" customHeight="1">
      <c r="O3821" s="4" t="s">
        <v>5100</v>
      </c>
    </row>
    <row r="3822" ht="15.75" customHeight="1">
      <c r="O3822" s="4" t="s">
        <v>5101</v>
      </c>
    </row>
    <row r="3823" ht="15.75" customHeight="1">
      <c r="O3823" s="4" t="s">
        <v>5102</v>
      </c>
    </row>
    <row r="3824" ht="15.75" customHeight="1">
      <c r="O3824" s="4" t="s">
        <v>5103</v>
      </c>
    </row>
    <row r="3825" ht="15.75" customHeight="1">
      <c r="O3825" s="4" t="s">
        <v>5104</v>
      </c>
    </row>
    <row r="3826" ht="15.75" customHeight="1">
      <c r="O3826" s="4" t="s">
        <v>5105</v>
      </c>
    </row>
    <row r="3827" ht="15.75" customHeight="1">
      <c r="O3827" s="4" t="s">
        <v>5106</v>
      </c>
    </row>
    <row r="3828" ht="15.75" customHeight="1">
      <c r="O3828" s="4" t="s">
        <v>5107</v>
      </c>
    </row>
    <row r="3829" ht="15.75" customHeight="1">
      <c r="O3829" s="4" t="s">
        <v>5108</v>
      </c>
    </row>
    <row r="3830" ht="15.75" customHeight="1">
      <c r="O3830" s="4" t="s">
        <v>5109</v>
      </c>
    </row>
    <row r="3831" ht="15.75" customHeight="1">
      <c r="O3831" s="4" t="s">
        <v>5110</v>
      </c>
    </row>
    <row r="3832" ht="15.75" customHeight="1">
      <c r="O3832" s="4" t="s">
        <v>5111</v>
      </c>
    </row>
    <row r="3833" ht="15.75" customHeight="1">
      <c r="O3833" s="4" t="s">
        <v>5112</v>
      </c>
    </row>
    <row r="3834" ht="15.75" customHeight="1">
      <c r="O3834" s="4" t="s">
        <v>5113</v>
      </c>
    </row>
    <row r="3835" ht="15.75" customHeight="1">
      <c r="O3835" s="4" t="s">
        <v>5114</v>
      </c>
    </row>
    <row r="3836" ht="15.75" customHeight="1">
      <c r="O3836" s="4" t="s">
        <v>5115</v>
      </c>
    </row>
    <row r="3837" ht="15.75" customHeight="1">
      <c r="O3837" s="4" t="s">
        <v>5116</v>
      </c>
    </row>
    <row r="3838" ht="15.75" customHeight="1">
      <c r="O3838" s="4" t="s">
        <v>5117</v>
      </c>
    </row>
    <row r="3839" ht="15.75" customHeight="1">
      <c r="O3839" s="4" t="s">
        <v>5118</v>
      </c>
    </row>
    <row r="3840" ht="15.75" customHeight="1">
      <c r="O3840" s="4" t="s">
        <v>5119</v>
      </c>
    </row>
    <row r="3841" ht="15.75" customHeight="1">
      <c r="O3841" s="4" t="s">
        <v>5120</v>
      </c>
    </row>
    <row r="3842" ht="15.75" customHeight="1">
      <c r="O3842" s="4" t="s">
        <v>5121</v>
      </c>
    </row>
    <row r="3843" ht="15.75" customHeight="1">
      <c r="O3843" s="4" t="s">
        <v>5122</v>
      </c>
    </row>
    <row r="3844" ht="15.75" customHeight="1">
      <c r="O3844" s="4" t="s">
        <v>5123</v>
      </c>
    </row>
    <row r="3845" ht="15.75" customHeight="1">
      <c r="O3845" s="4" t="s">
        <v>5124</v>
      </c>
    </row>
    <row r="3846" ht="15.75" customHeight="1">
      <c r="O3846" s="4" t="s">
        <v>5125</v>
      </c>
    </row>
    <row r="3847" ht="15.75" customHeight="1">
      <c r="O3847" s="4" t="s">
        <v>5126</v>
      </c>
    </row>
    <row r="3848" ht="15.75" customHeight="1">
      <c r="O3848" s="4" t="s">
        <v>5127</v>
      </c>
    </row>
    <row r="3849" ht="15.75" customHeight="1">
      <c r="O3849" s="4" t="s">
        <v>5128</v>
      </c>
    </row>
    <row r="3850" ht="15.75" customHeight="1">
      <c r="O3850" s="4" t="s">
        <v>5129</v>
      </c>
    </row>
    <row r="3851" ht="15.75" customHeight="1">
      <c r="O3851" s="4" t="s">
        <v>5130</v>
      </c>
    </row>
    <row r="3852" ht="15.75" customHeight="1">
      <c r="O3852" s="4" t="s">
        <v>5131</v>
      </c>
    </row>
    <row r="3853" ht="15.75" customHeight="1">
      <c r="O3853" s="4" t="s">
        <v>5132</v>
      </c>
    </row>
    <row r="3854" ht="15.75" customHeight="1">
      <c r="O3854" s="4" t="s">
        <v>5133</v>
      </c>
    </row>
    <row r="3855" ht="15.75" customHeight="1">
      <c r="O3855" s="4" t="s">
        <v>5134</v>
      </c>
    </row>
    <row r="3856" ht="15.75" customHeight="1">
      <c r="O3856" s="4" t="s">
        <v>5135</v>
      </c>
    </row>
    <row r="3857" ht="15.75" customHeight="1">
      <c r="O3857" s="4" t="s">
        <v>5136</v>
      </c>
    </row>
    <row r="3858" ht="15.75" customHeight="1">
      <c r="O3858" s="4" t="s">
        <v>5137</v>
      </c>
    </row>
    <row r="3859" ht="15.75" customHeight="1">
      <c r="O3859" s="4" t="s">
        <v>5138</v>
      </c>
    </row>
    <row r="3860" ht="15.75" customHeight="1">
      <c r="O3860" s="4" t="s">
        <v>5139</v>
      </c>
    </row>
    <row r="3861" ht="15.75" customHeight="1">
      <c r="O3861" s="4" t="s">
        <v>5140</v>
      </c>
    </row>
    <row r="3862" ht="15.75" customHeight="1">
      <c r="O3862" s="4" t="s">
        <v>5141</v>
      </c>
    </row>
    <row r="3863" ht="15.75" customHeight="1">
      <c r="O3863" s="4" t="s">
        <v>5142</v>
      </c>
    </row>
    <row r="3864" ht="15.75" customHeight="1">
      <c r="O3864" s="4" t="s">
        <v>5143</v>
      </c>
    </row>
    <row r="3865" ht="15.75" customHeight="1">
      <c r="O3865" s="4" t="s">
        <v>5144</v>
      </c>
    </row>
    <row r="3866" ht="15.75" customHeight="1">
      <c r="O3866" s="4" t="s">
        <v>5145</v>
      </c>
    </row>
    <row r="3867" ht="15.75" customHeight="1">
      <c r="O3867" s="4" t="s">
        <v>5146</v>
      </c>
    </row>
    <row r="3868" ht="15.75" customHeight="1">
      <c r="O3868" s="4" t="s">
        <v>5147</v>
      </c>
    </row>
    <row r="3869" ht="15.75" customHeight="1">
      <c r="O3869" s="4" t="s">
        <v>5148</v>
      </c>
    </row>
    <row r="3870" ht="15.75" customHeight="1">
      <c r="O3870" s="4" t="s">
        <v>5149</v>
      </c>
    </row>
    <row r="3871" ht="15.75" customHeight="1">
      <c r="O3871" s="4" t="s">
        <v>5150</v>
      </c>
    </row>
    <row r="3872" ht="15.75" customHeight="1">
      <c r="O3872" s="4" t="s">
        <v>5151</v>
      </c>
    </row>
    <row r="3873" ht="15.75" customHeight="1">
      <c r="O3873" s="4" t="s">
        <v>5152</v>
      </c>
    </row>
    <row r="3874" ht="15.75" customHeight="1">
      <c r="O3874" s="4" t="s">
        <v>5153</v>
      </c>
    </row>
    <row r="3875" ht="15.75" customHeight="1">
      <c r="O3875" s="4" t="s">
        <v>5154</v>
      </c>
    </row>
    <row r="3876" ht="15.75" customHeight="1">
      <c r="O3876" s="4" t="s">
        <v>5155</v>
      </c>
    </row>
    <row r="3877" ht="15.75" customHeight="1">
      <c r="O3877" s="4" t="s">
        <v>5156</v>
      </c>
    </row>
    <row r="3878" ht="15.75" customHeight="1">
      <c r="O3878" s="4" t="s">
        <v>5157</v>
      </c>
    </row>
    <row r="3879" ht="15.75" customHeight="1">
      <c r="O3879" s="4" t="s">
        <v>5158</v>
      </c>
    </row>
    <row r="3880" ht="15.75" customHeight="1">
      <c r="O3880" s="4" t="s">
        <v>5159</v>
      </c>
    </row>
    <row r="3881" ht="15.75" customHeight="1">
      <c r="O3881" s="4" t="s">
        <v>5160</v>
      </c>
    </row>
    <row r="3882" ht="15.75" customHeight="1">
      <c r="O3882" s="4" t="s">
        <v>5161</v>
      </c>
    </row>
    <row r="3883" ht="15.75" customHeight="1">
      <c r="O3883" s="4" t="s">
        <v>5162</v>
      </c>
    </row>
    <row r="3884" ht="15.75" customHeight="1">
      <c r="O3884" s="4" t="s">
        <v>5163</v>
      </c>
    </row>
    <row r="3885" ht="15.75" customHeight="1">
      <c r="O3885" s="4" t="s">
        <v>5164</v>
      </c>
    </row>
    <row r="3886" ht="15.75" customHeight="1">
      <c r="O3886" s="4" t="s">
        <v>5165</v>
      </c>
    </row>
    <row r="3887" ht="15.75" customHeight="1">
      <c r="O3887" s="4" t="s">
        <v>5166</v>
      </c>
    </row>
    <row r="3888" ht="15.75" customHeight="1">
      <c r="O3888" s="4" t="s">
        <v>5167</v>
      </c>
    </row>
    <row r="3889" ht="15.75" customHeight="1">
      <c r="O3889" s="4" t="s">
        <v>5168</v>
      </c>
    </row>
    <row r="3890" ht="15.75" customHeight="1">
      <c r="O3890" s="4" t="s">
        <v>5169</v>
      </c>
    </row>
    <row r="3891" ht="15.75" customHeight="1">
      <c r="O3891" s="4" t="s">
        <v>5170</v>
      </c>
    </row>
    <row r="3892" ht="15.75" customHeight="1">
      <c r="O3892" s="4" t="s">
        <v>5171</v>
      </c>
    </row>
    <row r="3893" ht="15.75" customHeight="1">
      <c r="O3893" s="4" t="s">
        <v>5172</v>
      </c>
    </row>
    <row r="3894" ht="15.75" customHeight="1">
      <c r="O3894" s="4" t="s">
        <v>5173</v>
      </c>
    </row>
    <row r="3895" ht="15.75" customHeight="1">
      <c r="O3895" s="4" t="s">
        <v>5174</v>
      </c>
    </row>
    <row r="3896" ht="15.75" customHeight="1">
      <c r="O3896" s="4" t="s">
        <v>5175</v>
      </c>
    </row>
    <row r="3897" ht="15.75" customHeight="1">
      <c r="O3897" s="4" t="s">
        <v>5176</v>
      </c>
    </row>
    <row r="3898" ht="15.75" customHeight="1">
      <c r="O3898" s="4" t="s">
        <v>5177</v>
      </c>
    </row>
    <row r="3899" ht="15.75" customHeight="1">
      <c r="O3899" s="4" t="s">
        <v>5178</v>
      </c>
    </row>
    <row r="3900" ht="15.75" customHeight="1">
      <c r="O3900" s="4" t="s">
        <v>5179</v>
      </c>
    </row>
    <row r="3901" ht="15.75" customHeight="1">
      <c r="O3901" s="4" t="s">
        <v>5180</v>
      </c>
    </row>
    <row r="3902" ht="15.75" customHeight="1">
      <c r="O3902" s="4" t="s">
        <v>5181</v>
      </c>
    </row>
    <row r="3903" ht="15.75" customHeight="1">
      <c r="O3903" s="4" t="s">
        <v>5182</v>
      </c>
    </row>
    <row r="3904" ht="15.75" customHeight="1">
      <c r="O3904" s="4" t="s">
        <v>5183</v>
      </c>
    </row>
    <row r="3905" ht="15.75" customHeight="1">
      <c r="O3905" s="4" t="s">
        <v>5184</v>
      </c>
    </row>
    <row r="3906" ht="15.75" customHeight="1">
      <c r="O3906" s="4" t="s">
        <v>5185</v>
      </c>
    </row>
    <row r="3907" ht="15.75" customHeight="1">
      <c r="O3907" s="4" t="s">
        <v>5186</v>
      </c>
    </row>
    <row r="3908" ht="15.75" customHeight="1">
      <c r="O3908" s="4" t="s">
        <v>5187</v>
      </c>
    </row>
    <row r="3909" ht="15.75" customHeight="1">
      <c r="O3909" s="4" t="s">
        <v>5188</v>
      </c>
    </row>
    <row r="3910" ht="15.75" customHeight="1">
      <c r="O3910" s="4" t="s">
        <v>5189</v>
      </c>
    </row>
    <row r="3911" ht="15.75" customHeight="1">
      <c r="O3911" s="4" t="s">
        <v>5190</v>
      </c>
    </row>
    <row r="3912" ht="15.75" customHeight="1">
      <c r="O3912" s="4" t="s">
        <v>5191</v>
      </c>
    </row>
    <row r="3913" ht="15.75" customHeight="1">
      <c r="O3913" s="4" t="s">
        <v>5192</v>
      </c>
    </row>
    <row r="3914" ht="15.75" customHeight="1">
      <c r="O3914" s="4" t="s">
        <v>5193</v>
      </c>
    </row>
    <row r="3915" ht="15.75" customHeight="1">
      <c r="O3915" s="4" t="s">
        <v>5194</v>
      </c>
    </row>
    <row r="3916" ht="15.75" customHeight="1">
      <c r="O3916" s="4" t="s">
        <v>5195</v>
      </c>
    </row>
    <row r="3917" ht="15.75" customHeight="1">
      <c r="O3917" s="4" t="s">
        <v>5196</v>
      </c>
    </row>
    <row r="3918" ht="15.75" customHeight="1">
      <c r="O3918" s="4" t="s">
        <v>5197</v>
      </c>
    </row>
    <row r="3919" ht="15.75" customHeight="1">
      <c r="O3919" s="4" t="s">
        <v>5198</v>
      </c>
    </row>
    <row r="3920" ht="15.75" customHeight="1">
      <c r="O3920" s="4" t="s">
        <v>5199</v>
      </c>
    </row>
    <row r="3921" ht="15.75" customHeight="1">
      <c r="O3921" s="4" t="s">
        <v>5200</v>
      </c>
    </row>
    <row r="3922" ht="15.75" customHeight="1">
      <c r="O3922" s="4" t="s">
        <v>5201</v>
      </c>
    </row>
    <row r="3923" ht="15.75" customHeight="1">
      <c r="O3923" s="4" t="s">
        <v>5202</v>
      </c>
    </row>
    <row r="3924" ht="15.75" customHeight="1">
      <c r="O3924" s="4" t="s">
        <v>5203</v>
      </c>
    </row>
    <row r="3925" ht="15.75" customHeight="1">
      <c r="O3925" s="4" t="s">
        <v>5204</v>
      </c>
    </row>
    <row r="3926" ht="15.75" customHeight="1">
      <c r="O3926" s="4" t="s">
        <v>5205</v>
      </c>
    </row>
    <row r="3927" ht="15.75" customHeight="1">
      <c r="O3927" s="4" t="s">
        <v>5206</v>
      </c>
    </row>
    <row r="3928" ht="15.75" customHeight="1">
      <c r="O3928" s="4" t="s">
        <v>5207</v>
      </c>
    </row>
    <row r="3929" ht="15.75" customHeight="1">
      <c r="O3929" s="4" t="s">
        <v>5208</v>
      </c>
    </row>
    <row r="3930" ht="15.75" customHeight="1">
      <c r="O3930" s="4" t="s">
        <v>5209</v>
      </c>
    </row>
    <row r="3931" ht="15.75" customHeight="1">
      <c r="O3931" s="4" t="s">
        <v>5210</v>
      </c>
    </row>
    <row r="3932" ht="15.75" customHeight="1">
      <c r="O3932" s="4" t="s">
        <v>5211</v>
      </c>
    </row>
    <row r="3933" ht="15.75" customHeight="1">
      <c r="O3933" s="4" t="s">
        <v>5212</v>
      </c>
    </row>
    <row r="3934" ht="15.75" customHeight="1">
      <c r="O3934" s="4" t="s">
        <v>5213</v>
      </c>
    </row>
    <row r="3935" ht="15.75" customHeight="1">
      <c r="O3935" s="4" t="s">
        <v>5214</v>
      </c>
    </row>
    <row r="3936" ht="15.75" customHeight="1">
      <c r="O3936" s="4" t="s">
        <v>5215</v>
      </c>
    </row>
    <row r="3937" ht="15.75" customHeight="1">
      <c r="O3937" s="4" t="s">
        <v>5216</v>
      </c>
    </row>
    <row r="3938" ht="15.75" customHeight="1">
      <c r="O3938" s="4" t="s">
        <v>5217</v>
      </c>
    </row>
    <row r="3939" ht="15.75" customHeight="1">
      <c r="O3939" s="4" t="s">
        <v>5218</v>
      </c>
    </row>
    <row r="3940" ht="15.75" customHeight="1">
      <c r="O3940" s="4" t="s">
        <v>5219</v>
      </c>
    </row>
    <row r="3941" ht="15.75" customHeight="1">
      <c r="O3941" s="4" t="s">
        <v>5220</v>
      </c>
    </row>
    <row r="3942" ht="15.75" customHeight="1">
      <c r="O3942" s="4" t="s">
        <v>5221</v>
      </c>
    </row>
    <row r="3943" ht="15.75" customHeight="1">
      <c r="O3943" s="4" t="s">
        <v>5222</v>
      </c>
    </row>
    <row r="3944" ht="15.75" customHeight="1">
      <c r="O3944" s="4" t="s">
        <v>5223</v>
      </c>
    </row>
    <row r="3945" ht="15.75" customHeight="1">
      <c r="O3945" s="4" t="s">
        <v>5224</v>
      </c>
    </row>
    <row r="3946" ht="15.75" customHeight="1">
      <c r="O3946" s="4" t="s">
        <v>5225</v>
      </c>
    </row>
    <row r="3947" ht="15.75" customHeight="1">
      <c r="O3947" s="4" t="s">
        <v>5226</v>
      </c>
    </row>
    <row r="3948" ht="15.75" customHeight="1">
      <c r="O3948" s="4" t="s">
        <v>5227</v>
      </c>
    </row>
    <row r="3949" ht="15.75" customHeight="1">
      <c r="O3949" s="4" t="s">
        <v>5228</v>
      </c>
    </row>
    <row r="3950" ht="15.75" customHeight="1">
      <c r="O3950" s="4" t="s">
        <v>5229</v>
      </c>
    </row>
    <row r="3951" ht="15.75" customHeight="1">
      <c r="O3951" s="4" t="s">
        <v>5230</v>
      </c>
    </row>
    <row r="3952" ht="15.75" customHeight="1">
      <c r="O3952" s="4" t="s">
        <v>5231</v>
      </c>
    </row>
    <row r="3953" ht="15.75" customHeight="1">
      <c r="O3953" s="4" t="s">
        <v>5232</v>
      </c>
    </row>
    <row r="3954" ht="15.75" customHeight="1">
      <c r="O3954" s="4" t="s">
        <v>5233</v>
      </c>
    </row>
    <row r="3955" ht="15.75" customHeight="1">
      <c r="O3955" s="4" t="s">
        <v>5234</v>
      </c>
    </row>
    <row r="3956" ht="15.75" customHeight="1">
      <c r="O3956" s="4" t="s">
        <v>5235</v>
      </c>
    </row>
    <row r="3957" ht="15.75" customHeight="1">
      <c r="O3957" s="4" t="s">
        <v>5236</v>
      </c>
    </row>
    <row r="3958" ht="15.75" customHeight="1">
      <c r="O3958" s="4" t="s">
        <v>5237</v>
      </c>
    </row>
    <row r="3959" ht="15.75" customHeight="1">
      <c r="O3959" s="4" t="s">
        <v>5238</v>
      </c>
    </row>
    <row r="3960" ht="15.75" customHeight="1">
      <c r="O3960" s="4" t="s">
        <v>5239</v>
      </c>
    </row>
    <row r="3961" ht="15.75" customHeight="1">
      <c r="O3961" s="4" t="s">
        <v>5240</v>
      </c>
    </row>
    <row r="3962" ht="15.75" customHeight="1">
      <c r="O3962" s="4" t="s">
        <v>5241</v>
      </c>
    </row>
    <row r="3963" ht="15.75" customHeight="1">
      <c r="O3963" s="4" t="s">
        <v>5242</v>
      </c>
    </row>
    <row r="3964" ht="15.75" customHeight="1">
      <c r="O3964" s="4" t="s">
        <v>5243</v>
      </c>
    </row>
    <row r="3965" ht="15.75" customHeight="1">
      <c r="O3965" s="4" t="s">
        <v>5244</v>
      </c>
    </row>
    <row r="3966" ht="15.75" customHeight="1">
      <c r="O3966" s="4" t="s">
        <v>5245</v>
      </c>
    </row>
    <row r="3967" ht="15.75" customHeight="1">
      <c r="O3967" s="4" t="s">
        <v>5246</v>
      </c>
    </row>
    <row r="3968" ht="15.75" customHeight="1">
      <c r="O3968" s="4" t="s">
        <v>5247</v>
      </c>
    </row>
    <row r="3969" ht="15.75" customHeight="1">
      <c r="O3969" s="4" t="s">
        <v>5248</v>
      </c>
    </row>
    <row r="3970" ht="15.75" customHeight="1">
      <c r="O3970" s="4" t="s">
        <v>5249</v>
      </c>
    </row>
    <row r="3971" ht="15.75" customHeight="1">
      <c r="O3971" s="4" t="s">
        <v>5250</v>
      </c>
    </row>
    <row r="3972" ht="15.75" customHeight="1">
      <c r="O3972" s="4" t="s">
        <v>5251</v>
      </c>
    </row>
    <row r="3973" ht="15.75" customHeight="1">
      <c r="O3973" s="4" t="s">
        <v>5252</v>
      </c>
    </row>
    <row r="3974" ht="15.75" customHeight="1">
      <c r="O3974" s="4" t="s">
        <v>5253</v>
      </c>
    </row>
    <row r="3975" ht="15.75" customHeight="1">
      <c r="O3975" s="4" t="s">
        <v>5254</v>
      </c>
    </row>
    <row r="3976" ht="15.75" customHeight="1">
      <c r="O3976" s="4" t="s">
        <v>5255</v>
      </c>
    </row>
    <row r="3977" ht="15.75" customHeight="1">
      <c r="O3977" s="5" t="s">
        <v>5256</v>
      </c>
    </row>
    <row r="3978" ht="15.75" customHeight="1">
      <c r="O3978" s="4" t="s">
        <v>5257</v>
      </c>
    </row>
    <row r="3979" ht="15.75" customHeight="1">
      <c r="O3979" s="4" t="s">
        <v>5258</v>
      </c>
    </row>
    <row r="3980" ht="15.75" customHeight="1">
      <c r="O3980" s="4" t="s">
        <v>5259</v>
      </c>
    </row>
    <row r="3981" ht="15.75" customHeight="1">
      <c r="O3981" s="4" t="s">
        <v>5260</v>
      </c>
    </row>
    <row r="3982" ht="15.75" customHeight="1">
      <c r="O3982" s="4" t="s">
        <v>5261</v>
      </c>
    </row>
    <row r="3983" ht="15.75" customHeight="1">
      <c r="O3983" s="4" t="s">
        <v>5262</v>
      </c>
    </row>
    <row r="3984" ht="15.75" customHeight="1">
      <c r="O3984" s="4" t="s">
        <v>5263</v>
      </c>
    </row>
    <row r="3985" ht="15.75" customHeight="1">
      <c r="O3985" s="4" t="s">
        <v>5264</v>
      </c>
    </row>
    <row r="3986" ht="15.75" customHeight="1">
      <c r="O3986" s="4" t="s">
        <v>5265</v>
      </c>
    </row>
    <row r="3987" ht="15.75" customHeight="1">
      <c r="O3987" s="4" t="s">
        <v>5266</v>
      </c>
    </row>
    <row r="3988" ht="15.75" customHeight="1">
      <c r="O3988" s="4" t="s">
        <v>5267</v>
      </c>
    </row>
    <row r="3989" ht="15.75" customHeight="1">
      <c r="O3989" s="4" t="s">
        <v>5268</v>
      </c>
    </row>
    <row r="3990" ht="15.75" customHeight="1">
      <c r="O3990" s="4" t="s">
        <v>5269</v>
      </c>
    </row>
    <row r="3991" ht="15.75" customHeight="1">
      <c r="O3991" s="4" t="s">
        <v>5270</v>
      </c>
    </row>
    <row r="3992" ht="15.75" customHeight="1">
      <c r="O3992" s="4" t="s">
        <v>5271</v>
      </c>
    </row>
    <row r="3993" ht="15.75" customHeight="1">
      <c r="O3993" s="4" t="s">
        <v>5272</v>
      </c>
    </row>
    <row r="3994" ht="15.75" customHeight="1">
      <c r="O3994" s="4" t="s">
        <v>5273</v>
      </c>
    </row>
    <row r="3995" ht="15.75" customHeight="1">
      <c r="O3995" s="4" t="s">
        <v>5274</v>
      </c>
    </row>
    <row r="3996" ht="15.75" customHeight="1">
      <c r="O3996" s="4" t="s">
        <v>5275</v>
      </c>
    </row>
    <row r="3997" ht="15.75" customHeight="1">
      <c r="O3997" s="4" t="s">
        <v>5276</v>
      </c>
    </row>
    <row r="3998" ht="15.75" customHeight="1">
      <c r="O3998" s="4" t="s">
        <v>5277</v>
      </c>
    </row>
    <row r="3999" ht="15.75" customHeight="1">
      <c r="O3999" s="4" t="s">
        <v>5278</v>
      </c>
    </row>
    <row r="4000" ht="15.75" customHeight="1">
      <c r="O4000" s="4" t="s">
        <v>5279</v>
      </c>
    </row>
    <row r="4001" ht="15.75" customHeight="1">
      <c r="O4001" s="4" t="s">
        <v>5280</v>
      </c>
    </row>
    <row r="4002" ht="15.75" customHeight="1">
      <c r="O4002" s="4" t="s">
        <v>5281</v>
      </c>
    </row>
    <row r="4003" ht="15.75" customHeight="1">
      <c r="O4003" s="4" t="s">
        <v>5282</v>
      </c>
    </row>
    <row r="4004" ht="15.75" customHeight="1">
      <c r="O4004" s="4" t="s">
        <v>5283</v>
      </c>
    </row>
    <row r="4005" ht="15.75" customHeight="1">
      <c r="O4005" s="4" t="s">
        <v>5284</v>
      </c>
    </row>
    <row r="4006" ht="15.75" customHeight="1">
      <c r="O4006" s="4" t="s">
        <v>5285</v>
      </c>
    </row>
    <row r="4007" ht="15.75" customHeight="1">
      <c r="O4007" s="4" t="s">
        <v>5286</v>
      </c>
    </row>
    <row r="4008" ht="15.75" customHeight="1">
      <c r="O4008" s="4" t="s">
        <v>5287</v>
      </c>
    </row>
    <row r="4009" ht="15.75" customHeight="1">
      <c r="O4009" s="4" t="s">
        <v>5288</v>
      </c>
    </row>
    <row r="4010" ht="15.75" customHeight="1">
      <c r="O4010" s="4" t="s">
        <v>5289</v>
      </c>
    </row>
    <row r="4011" ht="15.75" customHeight="1">
      <c r="O4011" s="4" t="s">
        <v>5290</v>
      </c>
    </row>
    <row r="4012" ht="15.75" customHeight="1">
      <c r="O4012" s="4" t="s">
        <v>5291</v>
      </c>
    </row>
    <row r="4013" ht="15.75" customHeight="1">
      <c r="O4013" s="4" t="s">
        <v>5292</v>
      </c>
    </row>
    <row r="4014" ht="15.75" customHeight="1">
      <c r="O4014" s="4" t="s">
        <v>5293</v>
      </c>
    </row>
    <row r="4015" ht="15.75" customHeight="1">
      <c r="O4015" s="4" t="s">
        <v>5294</v>
      </c>
    </row>
    <row r="4016" ht="15.75" customHeight="1">
      <c r="O4016" s="4" t="s">
        <v>5295</v>
      </c>
    </row>
    <row r="4017" ht="15.75" customHeight="1">
      <c r="O4017" s="4" t="s">
        <v>5296</v>
      </c>
    </row>
    <row r="4018" ht="15.75" customHeight="1">
      <c r="O4018" s="4" t="s">
        <v>5297</v>
      </c>
    </row>
    <row r="4019" ht="15.75" customHeight="1">
      <c r="O4019" s="4" t="s">
        <v>5298</v>
      </c>
    </row>
    <row r="4020" ht="15.75" customHeight="1">
      <c r="O4020" s="4" t="s">
        <v>5299</v>
      </c>
    </row>
    <row r="4021" ht="15.75" customHeight="1">
      <c r="O4021" s="4" t="s">
        <v>5300</v>
      </c>
    </row>
    <row r="4022" ht="15.75" customHeight="1">
      <c r="O4022" s="4" t="s">
        <v>5301</v>
      </c>
    </row>
    <row r="4023" ht="15.75" customHeight="1">
      <c r="O4023" s="4" t="s">
        <v>5302</v>
      </c>
    </row>
    <row r="4024" ht="15.75" customHeight="1">
      <c r="O4024" s="4" t="s">
        <v>5303</v>
      </c>
    </row>
    <row r="4025" ht="15.75" customHeight="1">
      <c r="O4025" s="4" t="s">
        <v>5304</v>
      </c>
    </row>
    <row r="4026" ht="15.75" customHeight="1">
      <c r="O4026" s="4" t="s">
        <v>5305</v>
      </c>
    </row>
    <row r="4027" ht="15.75" customHeight="1">
      <c r="O4027" s="4" t="s">
        <v>5306</v>
      </c>
    </row>
    <row r="4028" ht="15.75" customHeight="1">
      <c r="O4028" s="4" t="s">
        <v>5307</v>
      </c>
    </row>
    <row r="4029" ht="15.75" customHeight="1">
      <c r="O4029" s="4" t="s">
        <v>5308</v>
      </c>
    </row>
    <row r="4030" ht="15.75" customHeight="1">
      <c r="O4030" s="4" t="s">
        <v>5309</v>
      </c>
    </row>
    <row r="4031" ht="15.75" customHeight="1">
      <c r="O4031" s="4" t="s">
        <v>5310</v>
      </c>
    </row>
    <row r="4032" ht="15.75" customHeight="1">
      <c r="O4032" s="4" t="s">
        <v>5311</v>
      </c>
    </row>
    <row r="4033" ht="15.75" customHeight="1">
      <c r="O4033" s="4" t="s">
        <v>5312</v>
      </c>
    </row>
    <row r="4034" ht="15.75" customHeight="1">
      <c r="O4034" s="4" t="s">
        <v>5313</v>
      </c>
    </row>
    <row r="4035" ht="15.75" customHeight="1">
      <c r="O4035" s="4" t="s">
        <v>5314</v>
      </c>
    </row>
    <row r="4036" ht="15.75" customHeight="1">
      <c r="O4036" s="4" t="s">
        <v>5315</v>
      </c>
    </row>
    <row r="4037" ht="15.75" customHeight="1">
      <c r="O4037" s="4" t="s">
        <v>5316</v>
      </c>
    </row>
    <row r="4038" ht="15.75" customHeight="1">
      <c r="O4038" s="4" t="s">
        <v>5317</v>
      </c>
    </row>
    <row r="4039" ht="15.75" customHeight="1">
      <c r="O4039" s="4" t="s">
        <v>5318</v>
      </c>
    </row>
    <row r="4040" ht="15.75" customHeight="1">
      <c r="O4040" s="4" t="s">
        <v>5319</v>
      </c>
    </row>
    <row r="4041" ht="15.75" customHeight="1">
      <c r="O4041" s="4" t="s">
        <v>5320</v>
      </c>
    </row>
    <row r="4042" ht="15.75" customHeight="1">
      <c r="O4042" s="4" t="s">
        <v>5321</v>
      </c>
    </row>
    <row r="4043" ht="15.75" customHeight="1">
      <c r="O4043" s="4" t="s">
        <v>5322</v>
      </c>
    </row>
    <row r="4044" ht="15.75" customHeight="1">
      <c r="O4044" s="4" t="s">
        <v>5323</v>
      </c>
    </row>
    <row r="4045" ht="15.75" customHeight="1">
      <c r="O4045" s="4" t="s">
        <v>5324</v>
      </c>
    </row>
    <row r="4046" ht="15.75" customHeight="1">
      <c r="O4046" s="4" t="s">
        <v>5325</v>
      </c>
    </row>
    <row r="4047" ht="15.75" customHeight="1">
      <c r="O4047" s="4" t="s">
        <v>5326</v>
      </c>
    </row>
    <row r="4048" ht="15.75" customHeight="1">
      <c r="O4048" s="4" t="s">
        <v>5327</v>
      </c>
    </row>
    <row r="4049" ht="15.75" customHeight="1">
      <c r="O4049" s="4" t="s">
        <v>5328</v>
      </c>
    </row>
    <row r="4050" ht="15.75" customHeight="1">
      <c r="O4050" s="4" t="s">
        <v>5329</v>
      </c>
    </row>
    <row r="4051" ht="15.75" customHeight="1">
      <c r="O4051" s="4" t="s">
        <v>5330</v>
      </c>
    </row>
    <row r="4052" ht="15.75" customHeight="1">
      <c r="O4052" s="4" t="s">
        <v>5331</v>
      </c>
    </row>
    <row r="4053" ht="15.75" customHeight="1">
      <c r="O4053" s="4" t="s">
        <v>5332</v>
      </c>
    </row>
    <row r="4054" ht="15.75" customHeight="1">
      <c r="O4054" s="4" t="s">
        <v>5333</v>
      </c>
    </row>
    <row r="4055" ht="15.75" customHeight="1">
      <c r="O4055" s="4" t="s">
        <v>5334</v>
      </c>
    </row>
    <row r="4056" ht="15.75" customHeight="1">
      <c r="O4056" s="4" t="s">
        <v>5335</v>
      </c>
    </row>
    <row r="4057" ht="15.75" customHeight="1">
      <c r="O4057" s="4" t="s">
        <v>5336</v>
      </c>
    </row>
    <row r="4058" ht="15.75" customHeight="1">
      <c r="O4058" s="4" t="s">
        <v>5337</v>
      </c>
    </row>
    <row r="4059" ht="15.75" customHeight="1">
      <c r="O4059" s="4" t="s">
        <v>5338</v>
      </c>
    </row>
    <row r="4060" ht="15.75" customHeight="1">
      <c r="O4060" s="4" t="s">
        <v>5339</v>
      </c>
    </row>
    <row r="4061" ht="15.75" customHeight="1">
      <c r="O4061" s="4" t="s">
        <v>5340</v>
      </c>
    </row>
    <row r="4062" ht="15.75" customHeight="1">
      <c r="O4062" s="4" t="s">
        <v>5341</v>
      </c>
    </row>
    <row r="4063" ht="15.75" customHeight="1">
      <c r="O4063" s="4" t="s">
        <v>5342</v>
      </c>
    </row>
    <row r="4064" ht="15.75" customHeight="1">
      <c r="O4064" s="4" t="s">
        <v>5343</v>
      </c>
    </row>
    <row r="4065" ht="15.75" customHeight="1">
      <c r="O4065" s="4" t="s">
        <v>5344</v>
      </c>
    </row>
    <row r="4066" ht="15.75" customHeight="1">
      <c r="O4066" s="4" t="s">
        <v>5345</v>
      </c>
    </row>
    <row r="4067" ht="15.75" customHeight="1">
      <c r="O4067" s="4" t="s">
        <v>5346</v>
      </c>
    </row>
    <row r="4068" ht="15.75" customHeight="1">
      <c r="O4068" s="4" t="s">
        <v>5347</v>
      </c>
    </row>
    <row r="4069" ht="15.75" customHeight="1">
      <c r="O4069" s="4" t="s">
        <v>5348</v>
      </c>
    </row>
    <row r="4070" ht="15.75" customHeight="1">
      <c r="O4070" s="4" t="s">
        <v>5349</v>
      </c>
    </row>
    <row r="4071" ht="15.75" customHeight="1">
      <c r="O4071" s="4" t="s">
        <v>5350</v>
      </c>
    </row>
    <row r="4072" ht="15.75" customHeight="1">
      <c r="O4072" s="4" t="s">
        <v>5351</v>
      </c>
    </row>
    <row r="4073" ht="15.75" customHeight="1">
      <c r="O4073" s="4" t="s">
        <v>5352</v>
      </c>
    </row>
    <row r="4074" ht="15.75" customHeight="1">
      <c r="O4074" s="4" t="s">
        <v>5353</v>
      </c>
    </row>
    <row r="4075" ht="15.75" customHeight="1">
      <c r="O4075" s="4" t="s">
        <v>5354</v>
      </c>
    </row>
    <row r="4076" ht="15.75" customHeight="1">
      <c r="O4076" s="4" t="s">
        <v>5355</v>
      </c>
    </row>
    <row r="4077" ht="15.75" customHeight="1">
      <c r="O4077" s="4" t="s">
        <v>5356</v>
      </c>
    </row>
    <row r="4078" ht="15.75" customHeight="1">
      <c r="O4078" s="4" t="s">
        <v>5357</v>
      </c>
    </row>
    <row r="4079" ht="15.75" customHeight="1">
      <c r="O4079" s="4" t="s">
        <v>5358</v>
      </c>
    </row>
    <row r="4080" ht="15.75" customHeight="1">
      <c r="O4080" s="4" t="s">
        <v>5359</v>
      </c>
    </row>
    <row r="4081" ht="15.75" customHeight="1">
      <c r="O4081" s="4" t="s">
        <v>5360</v>
      </c>
    </row>
    <row r="4082" ht="15.75" customHeight="1">
      <c r="O4082" s="4" t="s">
        <v>5361</v>
      </c>
    </row>
    <row r="4083" ht="15.75" customHeight="1">
      <c r="O4083" s="4" t="s">
        <v>5362</v>
      </c>
    </row>
    <row r="4084" ht="15.75" customHeight="1">
      <c r="O4084" s="4" t="s">
        <v>5363</v>
      </c>
    </row>
    <row r="4085" ht="15.75" customHeight="1">
      <c r="O4085" s="4" t="s">
        <v>5364</v>
      </c>
    </row>
    <row r="4086" ht="15.75" customHeight="1">
      <c r="O4086" s="4" t="s">
        <v>5365</v>
      </c>
    </row>
    <row r="4087" ht="15.75" customHeight="1">
      <c r="O4087" s="4" t="s">
        <v>5366</v>
      </c>
    </row>
    <row r="4088" ht="15.75" customHeight="1">
      <c r="O4088" s="4" t="s">
        <v>5367</v>
      </c>
    </row>
    <row r="4089" ht="15.75" customHeight="1">
      <c r="O4089" s="4" t="s">
        <v>5368</v>
      </c>
    </row>
    <row r="4090" ht="15.75" customHeight="1">
      <c r="O4090" s="4" t="s">
        <v>5369</v>
      </c>
    </row>
    <row r="4091" ht="15.75" customHeight="1">
      <c r="O4091" s="4" t="s">
        <v>5370</v>
      </c>
    </row>
    <row r="4092" ht="15.75" customHeight="1">
      <c r="O4092" s="4" t="s">
        <v>5371</v>
      </c>
    </row>
    <row r="4093" ht="15.75" customHeight="1">
      <c r="O4093" s="4" t="s">
        <v>5372</v>
      </c>
    </row>
    <row r="4094" ht="15.75" customHeight="1">
      <c r="O4094" s="4" t="s">
        <v>5373</v>
      </c>
    </row>
    <row r="4095" ht="15.75" customHeight="1">
      <c r="O4095" s="4" t="s">
        <v>5374</v>
      </c>
    </row>
    <row r="4096" ht="15.75" customHeight="1">
      <c r="O4096" s="4" t="s">
        <v>5375</v>
      </c>
    </row>
    <row r="4097" ht="15.75" customHeight="1">
      <c r="O4097" s="4" t="s">
        <v>5376</v>
      </c>
    </row>
    <row r="4098" ht="15.75" customHeight="1">
      <c r="O4098" s="4" t="s">
        <v>5377</v>
      </c>
    </row>
    <row r="4099" ht="15.75" customHeight="1">
      <c r="O4099" s="4" t="s">
        <v>5378</v>
      </c>
    </row>
    <row r="4100" ht="15.75" customHeight="1">
      <c r="O4100" s="4" t="s">
        <v>5379</v>
      </c>
    </row>
    <row r="4101" ht="15.75" customHeight="1">
      <c r="O4101" s="4" t="s">
        <v>5380</v>
      </c>
    </row>
    <row r="4102" ht="15.75" customHeight="1">
      <c r="O4102" s="4" t="s">
        <v>5381</v>
      </c>
    </row>
    <row r="4103" ht="15.75" customHeight="1">
      <c r="O4103" s="4" t="s">
        <v>5382</v>
      </c>
    </row>
    <row r="4104" ht="15.75" customHeight="1">
      <c r="O4104" s="4" t="s">
        <v>5383</v>
      </c>
    </row>
    <row r="4105" ht="15.75" customHeight="1">
      <c r="O4105" s="4" t="s">
        <v>5384</v>
      </c>
    </row>
    <row r="4106" ht="15.75" customHeight="1">
      <c r="O4106" s="4" t="s">
        <v>5385</v>
      </c>
    </row>
    <row r="4107" ht="15.75" customHeight="1">
      <c r="O4107" s="4" t="s">
        <v>5386</v>
      </c>
    </row>
    <row r="4108" ht="15.75" customHeight="1">
      <c r="O4108" s="4" t="s">
        <v>5387</v>
      </c>
    </row>
    <row r="4109" ht="15.75" customHeight="1">
      <c r="O4109" s="4" t="s">
        <v>5388</v>
      </c>
    </row>
    <row r="4110" ht="15.75" customHeight="1">
      <c r="O4110" s="4" t="s">
        <v>5389</v>
      </c>
    </row>
    <row r="4111" ht="15.75" customHeight="1">
      <c r="O4111" s="4" t="s">
        <v>5390</v>
      </c>
    </row>
    <row r="4112" ht="15.75" customHeight="1">
      <c r="O4112" s="4" t="s">
        <v>5391</v>
      </c>
    </row>
    <row r="4113" ht="15.75" customHeight="1">
      <c r="O4113" s="4" t="s">
        <v>5392</v>
      </c>
    </row>
    <row r="4114" ht="15.75" customHeight="1">
      <c r="O4114" s="4" t="s">
        <v>5393</v>
      </c>
    </row>
    <row r="4115" ht="15.75" customHeight="1">
      <c r="O4115" s="4" t="s">
        <v>5394</v>
      </c>
    </row>
    <row r="4116" ht="15.75" customHeight="1">
      <c r="O4116" s="4" t="s">
        <v>5395</v>
      </c>
    </row>
    <row r="4117" ht="15.75" customHeight="1">
      <c r="O4117" s="4" t="s">
        <v>5396</v>
      </c>
    </row>
    <row r="4118" ht="15.75" customHeight="1">
      <c r="O4118" s="4" t="s">
        <v>5397</v>
      </c>
    </row>
    <row r="4119" ht="15.75" customHeight="1">
      <c r="O4119" s="4" t="s">
        <v>5398</v>
      </c>
    </row>
    <row r="4120" ht="15.75" customHeight="1">
      <c r="O4120" s="4" t="s">
        <v>5399</v>
      </c>
    </row>
    <row r="4121" ht="15.75" customHeight="1">
      <c r="O4121" s="4" t="s">
        <v>5400</v>
      </c>
    </row>
    <row r="4122" ht="15.75" customHeight="1">
      <c r="O4122" s="4" t="s">
        <v>5401</v>
      </c>
    </row>
    <row r="4123" ht="15.75" customHeight="1">
      <c r="O4123" s="4" t="s">
        <v>5402</v>
      </c>
    </row>
    <row r="4124" ht="15.75" customHeight="1">
      <c r="O4124" s="4" t="s">
        <v>5403</v>
      </c>
    </row>
    <row r="4125" ht="15.75" customHeight="1">
      <c r="O4125" s="4" t="s">
        <v>5404</v>
      </c>
    </row>
    <row r="4126" ht="15.75" customHeight="1">
      <c r="O4126" s="4" t="s">
        <v>5405</v>
      </c>
    </row>
    <row r="4127" ht="15.75" customHeight="1">
      <c r="O4127" s="4" t="s">
        <v>5406</v>
      </c>
    </row>
    <row r="4128" ht="15.75" customHeight="1">
      <c r="O4128" s="4" t="s">
        <v>5407</v>
      </c>
    </row>
    <row r="4129" ht="15.75" customHeight="1">
      <c r="O4129" s="4" t="s">
        <v>5408</v>
      </c>
    </row>
    <row r="4130" ht="15.75" customHeight="1">
      <c r="O4130" s="4" t="s">
        <v>5409</v>
      </c>
    </row>
    <row r="4131" ht="15.75" customHeight="1">
      <c r="O4131" s="4" t="s">
        <v>5410</v>
      </c>
    </row>
    <row r="4132" ht="15.75" customHeight="1">
      <c r="O4132" s="4" t="s">
        <v>5411</v>
      </c>
    </row>
    <row r="4133" ht="15.75" customHeight="1">
      <c r="O4133" s="4" t="s">
        <v>5412</v>
      </c>
    </row>
    <row r="4134" ht="15.75" customHeight="1">
      <c r="O4134" s="4" t="s">
        <v>5413</v>
      </c>
    </row>
    <row r="4135" ht="15.75" customHeight="1">
      <c r="O4135" s="4" t="s">
        <v>5414</v>
      </c>
    </row>
    <row r="4136" ht="15.75" customHeight="1">
      <c r="O4136" s="4" t="s">
        <v>5415</v>
      </c>
    </row>
    <row r="4137" ht="15.75" customHeight="1">
      <c r="O4137" s="4" t="s">
        <v>5416</v>
      </c>
    </row>
    <row r="4138" ht="15.75" customHeight="1">
      <c r="O4138" s="4" t="s">
        <v>5417</v>
      </c>
    </row>
    <row r="4139" ht="15.75" customHeight="1">
      <c r="O4139" s="4" t="s">
        <v>5418</v>
      </c>
    </row>
    <row r="4140" ht="15.75" customHeight="1">
      <c r="O4140" s="4" t="s">
        <v>5419</v>
      </c>
    </row>
    <row r="4141" ht="15.75" customHeight="1">
      <c r="O4141" s="4" t="s">
        <v>5420</v>
      </c>
    </row>
    <row r="4142" ht="15.75" customHeight="1">
      <c r="O4142" s="4" t="s">
        <v>5421</v>
      </c>
    </row>
    <row r="4143" ht="15.75" customHeight="1">
      <c r="O4143" s="4" t="s">
        <v>5422</v>
      </c>
    </row>
    <row r="4144" ht="15.75" customHeight="1">
      <c r="O4144" s="4" t="s">
        <v>5423</v>
      </c>
    </row>
    <row r="4145" ht="15.75" customHeight="1">
      <c r="O4145" s="4" t="s">
        <v>5424</v>
      </c>
    </row>
    <row r="4146" ht="15.75" customHeight="1">
      <c r="O4146" s="4" t="s">
        <v>5425</v>
      </c>
    </row>
    <row r="4147" ht="15.75" customHeight="1">
      <c r="O4147" s="4" t="s">
        <v>5426</v>
      </c>
    </row>
    <row r="4148" ht="15.75" customHeight="1">
      <c r="O4148" s="4" t="s">
        <v>5427</v>
      </c>
    </row>
    <row r="4149" ht="15.75" customHeight="1">
      <c r="O4149" s="4" t="s">
        <v>5428</v>
      </c>
    </row>
    <row r="4150" ht="15.75" customHeight="1">
      <c r="O4150" s="4" t="s">
        <v>5429</v>
      </c>
    </row>
    <row r="4151" ht="15.75" customHeight="1">
      <c r="O4151" s="4" t="s">
        <v>5430</v>
      </c>
    </row>
    <row r="4152" ht="15.75" customHeight="1">
      <c r="O4152" s="4" t="s">
        <v>5431</v>
      </c>
    </row>
    <row r="4153" ht="15.75" customHeight="1">
      <c r="O4153" s="4" t="s">
        <v>5432</v>
      </c>
    </row>
    <row r="4154" ht="15.75" customHeight="1">
      <c r="O4154" s="4" t="s">
        <v>5433</v>
      </c>
    </row>
    <row r="4155" ht="15.75" customHeight="1">
      <c r="O4155" s="4" t="s">
        <v>5434</v>
      </c>
    </row>
    <row r="4156" ht="15.75" customHeight="1">
      <c r="O4156" s="4" t="s">
        <v>5435</v>
      </c>
    </row>
    <row r="4157" ht="15.75" customHeight="1">
      <c r="O4157" s="4" t="s">
        <v>5436</v>
      </c>
    </row>
    <row r="4158" ht="15.75" customHeight="1">
      <c r="O4158" s="4" t="s">
        <v>5437</v>
      </c>
    </row>
    <row r="4159" ht="15.75" customHeight="1">
      <c r="O4159" s="4" t="s">
        <v>5438</v>
      </c>
    </row>
    <row r="4160" ht="15.75" customHeight="1">
      <c r="O4160" s="4" t="s">
        <v>5439</v>
      </c>
    </row>
    <row r="4161" ht="15.75" customHeight="1">
      <c r="O4161" s="4" t="s">
        <v>5440</v>
      </c>
    </row>
    <row r="4162" ht="15.75" customHeight="1">
      <c r="O4162" s="4" t="s">
        <v>5441</v>
      </c>
    </row>
    <row r="4163" ht="15.75" customHeight="1">
      <c r="O4163" s="4" t="s">
        <v>5442</v>
      </c>
    </row>
    <row r="4164" ht="15.75" customHeight="1">
      <c r="O4164" s="4" t="s">
        <v>5443</v>
      </c>
    </row>
    <row r="4165" ht="15.75" customHeight="1">
      <c r="O4165" s="4" t="s">
        <v>5444</v>
      </c>
    </row>
    <row r="4166" ht="15.75" customHeight="1">
      <c r="O4166" s="4" t="s">
        <v>5445</v>
      </c>
    </row>
    <row r="4167" ht="15.75" customHeight="1">
      <c r="O4167" s="4" t="s">
        <v>5446</v>
      </c>
    </row>
    <row r="4168" ht="15.75" customHeight="1">
      <c r="O4168" s="4" t="s">
        <v>5447</v>
      </c>
    </row>
    <row r="4169" ht="15.75" customHeight="1">
      <c r="O4169" s="4" t="s">
        <v>5448</v>
      </c>
    </row>
    <row r="4170" ht="15.75" customHeight="1">
      <c r="O4170" s="4" t="s">
        <v>5449</v>
      </c>
    </row>
    <row r="4171" ht="15.75" customHeight="1">
      <c r="O4171" s="4" t="s">
        <v>5450</v>
      </c>
    </row>
    <row r="4172" ht="15.75" customHeight="1">
      <c r="O4172" s="4" t="s">
        <v>5451</v>
      </c>
    </row>
    <row r="4173" ht="15.75" customHeight="1">
      <c r="O4173" s="4" t="s">
        <v>5452</v>
      </c>
    </row>
    <row r="4174" ht="15.75" customHeight="1">
      <c r="O4174" s="4" t="s">
        <v>5453</v>
      </c>
    </row>
    <row r="4175" ht="15.75" customHeight="1">
      <c r="O4175" s="4" t="s">
        <v>5454</v>
      </c>
    </row>
    <row r="4176" ht="15.75" customHeight="1">
      <c r="O4176" s="4" t="s">
        <v>5455</v>
      </c>
    </row>
    <row r="4177" ht="15.75" customHeight="1">
      <c r="O4177" s="4" t="s">
        <v>5456</v>
      </c>
    </row>
    <row r="4178" ht="15.75" customHeight="1">
      <c r="O4178" s="4" t="s">
        <v>5457</v>
      </c>
    </row>
    <row r="4179" ht="15.75" customHeight="1">
      <c r="O4179" s="4" t="s">
        <v>5458</v>
      </c>
    </row>
    <row r="4180" ht="15.75" customHeight="1">
      <c r="O4180" s="4" t="s">
        <v>5459</v>
      </c>
    </row>
    <row r="4181" ht="15.75" customHeight="1">
      <c r="O4181" s="4" t="s">
        <v>5460</v>
      </c>
    </row>
    <row r="4182" ht="15.75" customHeight="1">
      <c r="O4182" s="4" t="s">
        <v>5461</v>
      </c>
    </row>
    <row r="4183" ht="15.75" customHeight="1">
      <c r="O4183" s="4" t="s">
        <v>5462</v>
      </c>
    </row>
    <row r="4184" ht="15.75" customHeight="1">
      <c r="O4184" s="4" t="s">
        <v>5463</v>
      </c>
    </row>
    <row r="4185" ht="15.75" customHeight="1">
      <c r="O4185" s="4" t="s">
        <v>5464</v>
      </c>
    </row>
    <row r="4186" ht="15.75" customHeight="1">
      <c r="O4186" s="4" t="s">
        <v>5465</v>
      </c>
    </row>
    <row r="4187" ht="15.75" customHeight="1">
      <c r="O4187" s="4" t="s">
        <v>5466</v>
      </c>
    </row>
    <row r="4188" ht="15.75" customHeight="1">
      <c r="O4188" s="4" t="s">
        <v>5467</v>
      </c>
    </row>
    <row r="4189" ht="15.75" customHeight="1">
      <c r="O4189" s="4" t="s">
        <v>5468</v>
      </c>
    </row>
    <row r="4190" ht="15.75" customHeight="1">
      <c r="O4190" s="4" t="s">
        <v>5469</v>
      </c>
    </row>
    <row r="4191" ht="15.75" customHeight="1">
      <c r="O4191" s="4" t="s">
        <v>5470</v>
      </c>
    </row>
    <row r="4192" ht="15.75" customHeight="1">
      <c r="O4192" s="4" t="s">
        <v>5471</v>
      </c>
    </row>
    <row r="4193" ht="15.75" customHeight="1">
      <c r="O4193" s="4" t="s">
        <v>5472</v>
      </c>
    </row>
    <row r="4194" ht="15.75" customHeight="1">
      <c r="O4194" s="4" t="s">
        <v>5473</v>
      </c>
    </row>
    <row r="4195" ht="15.75" customHeight="1">
      <c r="O4195" s="4" t="s">
        <v>5474</v>
      </c>
    </row>
    <row r="4196" ht="15.75" customHeight="1">
      <c r="O4196" s="4" t="s">
        <v>5475</v>
      </c>
    </row>
    <row r="4197" ht="15.75" customHeight="1">
      <c r="O4197" s="4" t="s">
        <v>5476</v>
      </c>
    </row>
    <row r="4198" ht="15.75" customHeight="1">
      <c r="O4198" s="4" t="s">
        <v>5477</v>
      </c>
    </row>
    <row r="4199" ht="15.75" customHeight="1">
      <c r="O4199" s="4" t="s">
        <v>5478</v>
      </c>
    </row>
    <row r="4200" ht="15.75" customHeight="1">
      <c r="O4200" s="4" t="s">
        <v>1220</v>
      </c>
    </row>
    <row r="4201" ht="15.75" customHeight="1">
      <c r="O4201" s="4" t="s">
        <v>5479</v>
      </c>
    </row>
    <row r="4202" ht="15.75" customHeight="1">
      <c r="O4202" s="4" t="s">
        <v>5480</v>
      </c>
    </row>
    <row r="4203" ht="15.75" customHeight="1">
      <c r="O4203" s="4" t="s">
        <v>5481</v>
      </c>
    </row>
    <row r="4204" ht="15.75" customHeight="1">
      <c r="O4204" s="4" t="s">
        <v>5482</v>
      </c>
    </row>
    <row r="4205" ht="15.75" customHeight="1">
      <c r="O4205" s="4" t="s">
        <v>5483</v>
      </c>
    </row>
    <row r="4206" ht="15.75" customHeight="1">
      <c r="O4206" s="4" t="s">
        <v>5484</v>
      </c>
    </row>
    <row r="4207" ht="15.75" customHeight="1">
      <c r="O4207" s="4" t="s">
        <v>5485</v>
      </c>
    </row>
    <row r="4208" ht="15.75" customHeight="1">
      <c r="O4208" s="4" t="s">
        <v>5486</v>
      </c>
    </row>
    <row r="4209" ht="15.75" customHeight="1">
      <c r="O4209" s="4" t="s">
        <v>5487</v>
      </c>
    </row>
    <row r="4210" ht="15.75" customHeight="1">
      <c r="O4210" s="4" t="s">
        <v>5488</v>
      </c>
    </row>
    <row r="4211" ht="15.75" customHeight="1">
      <c r="O4211" s="4" t="s">
        <v>5489</v>
      </c>
    </row>
    <row r="4212" ht="15.75" customHeight="1">
      <c r="O4212" s="4" t="s">
        <v>5490</v>
      </c>
    </row>
    <row r="4213" ht="15.75" customHeight="1">
      <c r="O4213" s="4" t="s">
        <v>5491</v>
      </c>
    </row>
    <row r="4214" ht="15.75" customHeight="1">
      <c r="O4214" s="4" t="s">
        <v>5492</v>
      </c>
    </row>
    <row r="4215" ht="15.75" customHeight="1">
      <c r="O4215" s="4" t="s">
        <v>5493</v>
      </c>
    </row>
    <row r="4216" ht="15.75" customHeight="1">
      <c r="O4216" s="4" t="s">
        <v>5494</v>
      </c>
    </row>
    <row r="4217" ht="15.75" customHeight="1">
      <c r="O4217" s="4" t="s">
        <v>5495</v>
      </c>
    </row>
    <row r="4218" ht="15.75" customHeight="1">
      <c r="O4218" s="4" t="s">
        <v>5496</v>
      </c>
    </row>
    <row r="4219" ht="15.75" customHeight="1">
      <c r="O4219" s="4" t="s">
        <v>5497</v>
      </c>
    </row>
    <row r="4220" ht="15.75" customHeight="1">
      <c r="O4220" s="4" t="s">
        <v>5498</v>
      </c>
    </row>
    <row r="4221" ht="15.75" customHeight="1">
      <c r="O4221" s="4" t="s">
        <v>5499</v>
      </c>
    </row>
    <row r="4222" ht="15.75" customHeight="1">
      <c r="O4222" s="4" t="s">
        <v>5500</v>
      </c>
    </row>
    <row r="4223" ht="15.75" customHeight="1">
      <c r="O4223" s="4" t="s">
        <v>5501</v>
      </c>
    </row>
    <row r="4224" ht="15.75" customHeight="1">
      <c r="O4224" s="4" t="s">
        <v>5502</v>
      </c>
    </row>
    <row r="4225" ht="15.75" customHeight="1">
      <c r="O4225" s="4" t="s">
        <v>5503</v>
      </c>
    </row>
    <row r="4226" ht="15.75" customHeight="1">
      <c r="O4226" s="4" t="s">
        <v>5504</v>
      </c>
    </row>
    <row r="4227" ht="15.75" customHeight="1">
      <c r="O4227" s="4" t="s">
        <v>5505</v>
      </c>
    </row>
    <row r="4228" ht="15.75" customHeight="1">
      <c r="O4228" s="4" t="s">
        <v>5506</v>
      </c>
    </row>
    <row r="4229" ht="15.75" customHeight="1">
      <c r="O4229" s="4" t="s">
        <v>5507</v>
      </c>
    </row>
    <row r="4230" ht="15.75" customHeight="1">
      <c r="O4230" s="4" t="s">
        <v>5508</v>
      </c>
    </row>
    <row r="4231" ht="15.75" customHeight="1">
      <c r="O4231" s="4" t="s">
        <v>5509</v>
      </c>
    </row>
    <row r="4232" ht="15.75" customHeight="1">
      <c r="O4232" s="4" t="s">
        <v>5510</v>
      </c>
    </row>
    <row r="4233" ht="15.75" customHeight="1">
      <c r="O4233" s="4" t="s">
        <v>5511</v>
      </c>
    </row>
    <row r="4234" ht="15.75" customHeight="1">
      <c r="O4234" s="4" t="s">
        <v>5512</v>
      </c>
    </row>
    <row r="4235" ht="15.75" customHeight="1">
      <c r="O4235" s="4" t="s">
        <v>5513</v>
      </c>
    </row>
    <row r="4236" ht="15.75" customHeight="1">
      <c r="O4236" s="4" t="s">
        <v>5514</v>
      </c>
    </row>
    <row r="4237" ht="15.75" customHeight="1">
      <c r="O4237" s="4" t="s">
        <v>5515</v>
      </c>
    </row>
    <row r="4238" ht="15.75" customHeight="1">
      <c r="O4238" s="4" t="s">
        <v>5516</v>
      </c>
    </row>
    <row r="4239" ht="15.75" customHeight="1">
      <c r="O4239" s="4" t="s">
        <v>5517</v>
      </c>
    </row>
    <row r="4240" ht="15.75" customHeight="1">
      <c r="O4240" s="4" t="s">
        <v>5518</v>
      </c>
    </row>
    <row r="4241" ht="15.75" customHeight="1">
      <c r="O4241" s="4" t="s">
        <v>5519</v>
      </c>
    </row>
    <row r="4242" ht="15.75" customHeight="1">
      <c r="O4242" s="4" t="s">
        <v>5520</v>
      </c>
    </row>
    <row r="4243" ht="15.75" customHeight="1">
      <c r="O4243" s="4" t="s">
        <v>5521</v>
      </c>
    </row>
    <row r="4244" ht="15.75" customHeight="1">
      <c r="O4244" s="4" t="s">
        <v>5522</v>
      </c>
    </row>
    <row r="4245" ht="15.75" customHeight="1">
      <c r="O4245" s="4" t="s">
        <v>5523</v>
      </c>
    </row>
    <row r="4246" ht="15.75" customHeight="1">
      <c r="O4246" s="4" t="s">
        <v>5524</v>
      </c>
    </row>
    <row r="4247" ht="15.75" customHeight="1">
      <c r="O4247" s="4" t="s">
        <v>5525</v>
      </c>
    </row>
    <row r="4248" ht="15.75" customHeight="1">
      <c r="O4248" s="4" t="s">
        <v>5526</v>
      </c>
    </row>
    <row r="4249" ht="15.75" customHeight="1">
      <c r="O4249" s="4" t="s">
        <v>5527</v>
      </c>
    </row>
    <row r="4250" ht="15.75" customHeight="1">
      <c r="O4250" s="4" t="s">
        <v>5528</v>
      </c>
    </row>
    <row r="4251" ht="15.75" customHeight="1">
      <c r="O4251" s="4" t="s">
        <v>5529</v>
      </c>
    </row>
    <row r="4252" ht="15.75" customHeight="1">
      <c r="O4252" s="4" t="s">
        <v>5530</v>
      </c>
    </row>
    <row r="4253" ht="15.75" customHeight="1">
      <c r="O4253" s="4" t="s">
        <v>5531</v>
      </c>
    </row>
    <row r="4254" ht="15.75" customHeight="1">
      <c r="O4254" s="4" t="s">
        <v>5532</v>
      </c>
    </row>
    <row r="4255" ht="15.75" customHeight="1">
      <c r="O4255" s="4" t="s">
        <v>5533</v>
      </c>
    </row>
    <row r="4256" ht="15.75" customHeight="1">
      <c r="O4256" s="4" t="s">
        <v>5534</v>
      </c>
    </row>
    <row r="4257" ht="15.75" customHeight="1">
      <c r="O4257" s="4" t="s">
        <v>5535</v>
      </c>
    </row>
    <row r="4258" ht="15.75" customHeight="1">
      <c r="O4258" s="4" t="s">
        <v>5536</v>
      </c>
    </row>
    <row r="4259" ht="15.75" customHeight="1">
      <c r="O4259" s="4" t="s">
        <v>5537</v>
      </c>
    </row>
    <row r="4260" ht="15.75" customHeight="1">
      <c r="O4260" s="4" t="s">
        <v>5538</v>
      </c>
    </row>
    <row r="4261" ht="15.75" customHeight="1">
      <c r="O4261" s="4" t="s">
        <v>5539</v>
      </c>
    </row>
    <row r="4262" ht="15.75" customHeight="1">
      <c r="O4262" s="4" t="s">
        <v>5540</v>
      </c>
    </row>
    <row r="4263" ht="15.75" customHeight="1">
      <c r="O4263" s="4" t="s">
        <v>5541</v>
      </c>
    </row>
    <row r="4264" ht="15.75" customHeight="1">
      <c r="O4264" s="4" t="s">
        <v>5542</v>
      </c>
    </row>
    <row r="4265" ht="15.75" customHeight="1">
      <c r="O4265" s="4" t="s">
        <v>5543</v>
      </c>
    </row>
    <row r="4266" ht="15.75" customHeight="1">
      <c r="O4266" s="4" t="s">
        <v>5544</v>
      </c>
    </row>
    <row r="4267" ht="15.75" customHeight="1">
      <c r="O4267" s="4" t="s">
        <v>5545</v>
      </c>
    </row>
    <row r="4268" ht="15.75" customHeight="1">
      <c r="O4268" s="4" t="s">
        <v>5546</v>
      </c>
    </row>
    <row r="4269" ht="15.75" customHeight="1">
      <c r="O4269" s="4" t="s">
        <v>5547</v>
      </c>
    </row>
    <row r="4270" ht="15.75" customHeight="1">
      <c r="O4270" s="4" t="s">
        <v>5548</v>
      </c>
    </row>
    <row r="4271" ht="15.75" customHeight="1">
      <c r="O4271" s="4" t="s">
        <v>5549</v>
      </c>
    </row>
    <row r="4272" ht="15.75" customHeight="1">
      <c r="O4272" s="4" t="s">
        <v>5550</v>
      </c>
    </row>
    <row r="4273" ht="15.75" customHeight="1">
      <c r="O4273" s="4" t="s">
        <v>5551</v>
      </c>
    </row>
    <row r="4274" ht="15.75" customHeight="1">
      <c r="O4274" s="4" t="s">
        <v>5552</v>
      </c>
    </row>
    <row r="4275" ht="15.75" customHeight="1">
      <c r="O4275" s="4" t="s">
        <v>5553</v>
      </c>
    </row>
    <row r="4276" ht="15.75" customHeight="1">
      <c r="O4276" s="4" t="s">
        <v>5554</v>
      </c>
    </row>
    <row r="4277" ht="15.75" customHeight="1">
      <c r="O4277" s="4" t="s">
        <v>5555</v>
      </c>
    </row>
    <row r="4278" ht="15.75" customHeight="1">
      <c r="O4278" s="4" t="s">
        <v>5556</v>
      </c>
    </row>
    <row r="4279" ht="15.75" customHeight="1">
      <c r="O4279" s="4" t="s">
        <v>5557</v>
      </c>
    </row>
    <row r="4280" ht="15.75" customHeight="1">
      <c r="O4280" s="4" t="s">
        <v>5558</v>
      </c>
    </row>
    <row r="4281" ht="15.75" customHeight="1">
      <c r="O4281" s="4" t="s">
        <v>5559</v>
      </c>
    </row>
    <row r="4282" ht="15.75" customHeight="1">
      <c r="O4282" s="4" t="s">
        <v>5560</v>
      </c>
    </row>
    <row r="4283" ht="15.75" customHeight="1">
      <c r="O4283" s="4" t="s">
        <v>5561</v>
      </c>
    </row>
    <row r="4284" ht="15.75" customHeight="1">
      <c r="O4284" s="4" t="s">
        <v>5562</v>
      </c>
    </row>
    <row r="4285" ht="15.75" customHeight="1">
      <c r="O4285" s="4" t="s">
        <v>5563</v>
      </c>
    </row>
    <row r="4286" ht="15.75" customHeight="1">
      <c r="O4286" s="4" t="s">
        <v>5564</v>
      </c>
    </row>
    <row r="4287" ht="15.75" customHeight="1">
      <c r="O4287" s="4" t="s">
        <v>5565</v>
      </c>
    </row>
    <row r="4288" ht="15.75" customHeight="1">
      <c r="O4288" s="4" t="s">
        <v>5566</v>
      </c>
    </row>
    <row r="4289" ht="15.75" customHeight="1">
      <c r="O4289" s="4" t="s">
        <v>5567</v>
      </c>
    </row>
    <row r="4290" ht="15.75" customHeight="1">
      <c r="O4290" s="4" t="s">
        <v>5568</v>
      </c>
    </row>
    <row r="4291" ht="15.75" customHeight="1">
      <c r="O4291" s="4" t="s">
        <v>5569</v>
      </c>
    </row>
    <row r="4292" ht="15.75" customHeight="1">
      <c r="O4292" s="4" t="s">
        <v>5570</v>
      </c>
    </row>
    <row r="4293" ht="15.75" customHeight="1">
      <c r="O4293" s="4" t="s">
        <v>5571</v>
      </c>
    </row>
    <row r="4294" ht="15.75" customHeight="1">
      <c r="O4294" s="4" t="s">
        <v>5572</v>
      </c>
    </row>
    <row r="4295" ht="15.75" customHeight="1">
      <c r="O4295" s="4" t="s">
        <v>5573</v>
      </c>
    </row>
    <row r="4296" ht="15.75" customHeight="1">
      <c r="O4296" s="4" t="s">
        <v>5574</v>
      </c>
    </row>
    <row r="4297" ht="15.75" customHeight="1">
      <c r="O4297" s="4" t="s">
        <v>5575</v>
      </c>
    </row>
    <row r="4298" ht="15.75" customHeight="1">
      <c r="O4298" s="4" t="s">
        <v>5576</v>
      </c>
    </row>
    <row r="4299" ht="15.75" customHeight="1">
      <c r="O4299" s="4" t="s">
        <v>5577</v>
      </c>
    </row>
    <row r="4300" ht="15.75" customHeight="1">
      <c r="O4300" s="4" t="s">
        <v>5578</v>
      </c>
    </row>
    <row r="4301" ht="15.75" customHeight="1">
      <c r="O4301" s="4" t="s">
        <v>5579</v>
      </c>
    </row>
    <row r="4302" ht="15.75" customHeight="1">
      <c r="O4302" s="4" t="s">
        <v>5580</v>
      </c>
    </row>
    <row r="4303" ht="15.75" customHeight="1">
      <c r="O4303" s="4" t="s">
        <v>5581</v>
      </c>
    </row>
    <row r="4304" ht="15.75" customHeight="1">
      <c r="O4304" s="4" t="s">
        <v>5582</v>
      </c>
    </row>
    <row r="4305" ht="15.75" customHeight="1">
      <c r="O4305" s="4" t="s">
        <v>5583</v>
      </c>
    </row>
    <row r="4306" ht="15.75" customHeight="1">
      <c r="O4306" s="4" t="s">
        <v>5584</v>
      </c>
    </row>
    <row r="4307" ht="15.75" customHeight="1">
      <c r="O4307" s="4" t="s">
        <v>5585</v>
      </c>
    </row>
    <row r="4308" ht="15.75" customHeight="1">
      <c r="O4308" s="4" t="s">
        <v>5586</v>
      </c>
    </row>
    <row r="4309" ht="15.75" customHeight="1">
      <c r="O4309" s="4" t="s">
        <v>5587</v>
      </c>
    </row>
    <row r="4310" ht="15.75" customHeight="1">
      <c r="O4310" s="4" t="s">
        <v>5588</v>
      </c>
    </row>
    <row r="4311" ht="15.75" customHeight="1">
      <c r="O4311" s="4" t="s">
        <v>5589</v>
      </c>
    </row>
    <row r="4312" ht="15.75" customHeight="1">
      <c r="O4312" s="4" t="s">
        <v>5590</v>
      </c>
    </row>
    <row r="4313" ht="15.75" customHeight="1">
      <c r="O4313" s="5" t="s">
        <v>5591</v>
      </c>
    </row>
    <row r="4314" ht="15.75" customHeight="1">
      <c r="O4314" s="4" t="s">
        <v>5592</v>
      </c>
    </row>
    <row r="4315" ht="15.75" customHeight="1">
      <c r="O4315" s="4" t="s">
        <v>5593</v>
      </c>
    </row>
    <row r="4316" ht="15.75" customHeight="1">
      <c r="O4316" s="4" t="s">
        <v>5594</v>
      </c>
    </row>
    <row r="4317" ht="15.75" customHeight="1">
      <c r="O4317" s="4" t="s">
        <v>5595</v>
      </c>
    </row>
    <row r="4318" ht="15.75" customHeight="1">
      <c r="O4318" s="4" t="s">
        <v>5596</v>
      </c>
    </row>
    <row r="4319" ht="15.75" customHeight="1">
      <c r="O4319" s="4" t="s">
        <v>5597</v>
      </c>
    </row>
    <row r="4320" ht="15.75" customHeight="1">
      <c r="O4320" s="4" t="s">
        <v>5598</v>
      </c>
    </row>
    <row r="4321" ht="15.75" customHeight="1">
      <c r="O4321" s="4" t="s">
        <v>5599</v>
      </c>
    </row>
    <row r="4322" ht="15.75" customHeight="1">
      <c r="O4322" s="4" t="s">
        <v>5600</v>
      </c>
    </row>
    <row r="4323" ht="15.75" customHeight="1">
      <c r="O4323" s="4" t="s">
        <v>5601</v>
      </c>
    </row>
    <row r="4324" ht="15.75" customHeight="1">
      <c r="O4324" s="4" t="s">
        <v>5602</v>
      </c>
    </row>
    <row r="4325" ht="15.75" customHeight="1">
      <c r="O4325" s="4" t="s">
        <v>5603</v>
      </c>
    </row>
    <row r="4326" ht="15.75" customHeight="1">
      <c r="O4326" s="4" t="s">
        <v>5604</v>
      </c>
    </row>
    <row r="4327" ht="15.75" customHeight="1">
      <c r="O4327" s="4" t="s">
        <v>5605</v>
      </c>
    </row>
    <row r="4328" ht="15.75" customHeight="1">
      <c r="O4328" s="4" t="s">
        <v>5606</v>
      </c>
    </row>
    <row r="4329" ht="15.75" customHeight="1">
      <c r="O4329" s="4" t="s">
        <v>5607</v>
      </c>
    </row>
    <row r="4330" ht="15.75" customHeight="1">
      <c r="O4330" s="4" t="s">
        <v>5608</v>
      </c>
    </row>
    <row r="4331" ht="15.75" customHeight="1">
      <c r="O4331" s="4" t="s">
        <v>5609</v>
      </c>
    </row>
    <row r="4332" ht="15.75" customHeight="1">
      <c r="O4332" s="4" t="s">
        <v>5610</v>
      </c>
    </row>
    <row r="4333" ht="15.75" customHeight="1">
      <c r="O4333" s="4" t="s">
        <v>5611</v>
      </c>
    </row>
    <row r="4334" ht="15.75" customHeight="1">
      <c r="O4334" s="4" t="s">
        <v>5612</v>
      </c>
    </row>
    <row r="4335" ht="15.75" customHeight="1">
      <c r="O4335" s="4" t="s">
        <v>5613</v>
      </c>
    </row>
    <row r="4336" ht="15.75" customHeight="1">
      <c r="O4336" s="4" t="s">
        <v>5614</v>
      </c>
    </row>
    <row r="4337" ht="15.75" customHeight="1">
      <c r="O4337" s="4" t="s">
        <v>5615</v>
      </c>
    </row>
    <row r="4338" ht="15.75" customHeight="1">
      <c r="O4338" s="4" t="s">
        <v>5616</v>
      </c>
    </row>
    <row r="4339" ht="15.75" customHeight="1">
      <c r="O4339" s="4" t="s">
        <v>5617</v>
      </c>
    </row>
    <row r="4340" ht="15.75" customHeight="1">
      <c r="O4340" s="4" t="s">
        <v>5618</v>
      </c>
    </row>
    <row r="4341" ht="15.75" customHeight="1">
      <c r="O4341" s="4" t="s">
        <v>5619</v>
      </c>
    </row>
    <row r="4342" ht="15.75" customHeight="1">
      <c r="O4342" s="4" t="s">
        <v>5620</v>
      </c>
    </row>
    <row r="4343" ht="15.75" customHeight="1">
      <c r="O4343" s="4" t="s">
        <v>5621</v>
      </c>
    </row>
    <row r="4344" ht="15.75" customHeight="1">
      <c r="O4344" s="4" t="s">
        <v>5622</v>
      </c>
    </row>
    <row r="4345" ht="15.75" customHeight="1">
      <c r="O4345" s="4" t="s">
        <v>5623</v>
      </c>
    </row>
    <row r="4346" ht="15.75" customHeight="1">
      <c r="O4346" s="4" t="s">
        <v>5624</v>
      </c>
    </row>
    <row r="4347" ht="15.75" customHeight="1">
      <c r="O4347" s="4" t="s">
        <v>5625</v>
      </c>
    </row>
    <row r="4348" ht="15.75" customHeight="1">
      <c r="O4348" s="4" t="s">
        <v>5626</v>
      </c>
    </row>
    <row r="4349" ht="15.75" customHeight="1">
      <c r="O4349" s="4" t="s">
        <v>5627</v>
      </c>
    </row>
    <row r="4350" ht="15.75" customHeight="1">
      <c r="O4350" s="4" t="s">
        <v>5628</v>
      </c>
    </row>
    <row r="4351" ht="15.75" customHeight="1">
      <c r="O4351" s="4" t="s">
        <v>5629</v>
      </c>
    </row>
    <row r="4352" ht="15.75" customHeight="1">
      <c r="O4352" s="4" t="s">
        <v>5630</v>
      </c>
    </row>
    <row r="4353" ht="15.75" customHeight="1">
      <c r="O4353" s="4" t="s">
        <v>5631</v>
      </c>
    </row>
    <row r="4354" ht="15.75" customHeight="1">
      <c r="O4354" s="4" t="s">
        <v>5632</v>
      </c>
    </row>
    <row r="4355" ht="15.75" customHeight="1">
      <c r="O4355" s="4" t="s">
        <v>5633</v>
      </c>
    </row>
    <row r="4356" ht="15.75" customHeight="1">
      <c r="O4356" s="4" t="s">
        <v>5634</v>
      </c>
    </row>
    <row r="4357" ht="15.75" customHeight="1">
      <c r="O4357" s="4" t="s">
        <v>5635</v>
      </c>
    </row>
    <row r="4358" ht="15.75" customHeight="1">
      <c r="O4358" s="4" t="s">
        <v>5636</v>
      </c>
    </row>
    <row r="4359" ht="15.75" customHeight="1">
      <c r="O4359" s="4" t="s">
        <v>5637</v>
      </c>
    </row>
    <row r="4360" ht="15.75" customHeight="1">
      <c r="O4360" s="4" t="s">
        <v>5638</v>
      </c>
    </row>
    <row r="4361" ht="15.75" customHeight="1">
      <c r="O4361" s="4" t="s">
        <v>5639</v>
      </c>
    </row>
    <row r="4362" ht="15.75" customHeight="1">
      <c r="O4362" s="4" t="s">
        <v>5640</v>
      </c>
    </row>
    <row r="4363" ht="15.75" customHeight="1">
      <c r="O4363" s="4" t="s">
        <v>5641</v>
      </c>
    </row>
    <row r="4364" ht="15.75" customHeight="1">
      <c r="O4364" s="4" t="s">
        <v>5642</v>
      </c>
    </row>
    <row r="4365" ht="15.75" customHeight="1">
      <c r="O4365" s="4" t="s">
        <v>5643</v>
      </c>
    </row>
    <row r="4366" ht="15.75" customHeight="1">
      <c r="O4366" s="4" t="s">
        <v>5644</v>
      </c>
    </row>
    <row r="4367" ht="15.75" customHeight="1">
      <c r="O4367" s="4" t="s">
        <v>5645</v>
      </c>
    </row>
    <row r="4368" ht="15.75" customHeight="1">
      <c r="O4368" s="4" t="s">
        <v>5646</v>
      </c>
    </row>
    <row r="4369" ht="15.75" customHeight="1">
      <c r="O4369" s="4" t="s">
        <v>5647</v>
      </c>
    </row>
    <row r="4370" ht="15.75" customHeight="1">
      <c r="O4370" s="4" t="s">
        <v>5648</v>
      </c>
    </row>
    <row r="4371" ht="15.75" customHeight="1">
      <c r="O4371" s="4" t="s">
        <v>5649</v>
      </c>
    </row>
    <row r="4372" ht="15.75" customHeight="1">
      <c r="O4372" s="4" t="s">
        <v>5650</v>
      </c>
    </row>
    <row r="4373" ht="15.75" customHeight="1">
      <c r="O4373" s="4" t="s">
        <v>5651</v>
      </c>
    </row>
    <row r="4374" ht="15.75" customHeight="1">
      <c r="O4374" s="4" t="s">
        <v>5652</v>
      </c>
    </row>
    <row r="4375" ht="15.75" customHeight="1">
      <c r="O4375" s="4" t="s">
        <v>5653</v>
      </c>
    </row>
    <row r="4376" ht="15.75" customHeight="1">
      <c r="O4376" s="4" t="s">
        <v>5654</v>
      </c>
    </row>
    <row r="4377" ht="15.75" customHeight="1">
      <c r="O4377" s="4" t="s">
        <v>5655</v>
      </c>
    </row>
    <row r="4378" ht="15.75" customHeight="1">
      <c r="O4378" s="4" t="s">
        <v>5656</v>
      </c>
    </row>
    <row r="4379" ht="15.75" customHeight="1">
      <c r="O4379" s="4" t="s">
        <v>5657</v>
      </c>
    </row>
    <row r="4380" ht="15.75" customHeight="1">
      <c r="O4380" s="4" t="s">
        <v>5658</v>
      </c>
    </row>
    <row r="4381" ht="15.75" customHeight="1">
      <c r="O4381" s="4" t="s">
        <v>5659</v>
      </c>
    </row>
    <row r="4382" ht="15.75" customHeight="1">
      <c r="O4382" s="4" t="s">
        <v>5660</v>
      </c>
    </row>
    <row r="4383" ht="15.75" customHeight="1">
      <c r="O4383" s="4" t="s">
        <v>5661</v>
      </c>
    </row>
    <row r="4384" ht="15.75" customHeight="1">
      <c r="O4384" s="4" t="s">
        <v>5662</v>
      </c>
    </row>
    <row r="4385" ht="15.75" customHeight="1">
      <c r="O4385" s="4" t="s">
        <v>5663</v>
      </c>
    </row>
    <row r="4386" ht="15.75" customHeight="1">
      <c r="O4386" s="4" t="s">
        <v>5664</v>
      </c>
    </row>
    <row r="4387" ht="15.75" customHeight="1">
      <c r="O4387" s="4" t="s">
        <v>5665</v>
      </c>
    </row>
    <row r="4388" ht="15.75" customHeight="1">
      <c r="O4388" s="4" t="s">
        <v>5666</v>
      </c>
    </row>
    <row r="4389" ht="15.75" customHeight="1">
      <c r="O4389" s="4" t="s">
        <v>5667</v>
      </c>
    </row>
    <row r="4390" ht="15.75" customHeight="1">
      <c r="O4390" s="4" t="s">
        <v>5668</v>
      </c>
    </row>
    <row r="4391" ht="15.75" customHeight="1">
      <c r="O4391" s="4" t="s">
        <v>5669</v>
      </c>
    </row>
    <row r="4392" ht="15.75" customHeight="1">
      <c r="O4392" s="4" t="s">
        <v>5670</v>
      </c>
    </row>
    <row r="4393" ht="15.75" customHeight="1">
      <c r="O4393" s="4" t="s">
        <v>5671</v>
      </c>
    </row>
    <row r="4394" ht="15.75" customHeight="1">
      <c r="O4394" s="4" t="s">
        <v>5672</v>
      </c>
    </row>
    <row r="4395" ht="15.75" customHeight="1">
      <c r="O4395" s="4" t="s">
        <v>5673</v>
      </c>
    </row>
    <row r="4396" ht="15.75" customHeight="1">
      <c r="O4396" s="4" t="s">
        <v>5674</v>
      </c>
    </row>
    <row r="4397" ht="15.75" customHeight="1">
      <c r="O4397" s="4" t="s">
        <v>5675</v>
      </c>
    </row>
    <row r="4398" ht="15.75" customHeight="1">
      <c r="O4398" s="4" t="s">
        <v>5676</v>
      </c>
    </row>
    <row r="4399" ht="15.75" customHeight="1">
      <c r="O4399" s="4" t="s">
        <v>5677</v>
      </c>
    </row>
    <row r="4400" ht="15.75" customHeight="1">
      <c r="O4400" s="4" t="s">
        <v>5678</v>
      </c>
    </row>
    <row r="4401" ht="15.75" customHeight="1">
      <c r="O4401" s="4" t="s">
        <v>5679</v>
      </c>
    </row>
    <row r="4402" ht="15.75" customHeight="1">
      <c r="O4402" s="4" t="s">
        <v>5680</v>
      </c>
    </row>
    <row r="4403" ht="15.75" customHeight="1">
      <c r="O4403" s="4" t="s">
        <v>5681</v>
      </c>
    </row>
    <row r="4404" ht="15.75" customHeight="1">
      <c r="O4404" s="4" t="s">
        <v>5682</v>
      </c>
    </row>
    <row r="4405" ht="15.75" customHeight="1">
      <c r="O4405" s="4" t="s">
        <v>5683</v>
      </c>
    </row>
    <row r="4406" ht="15.75" customHeight="1">
      <c r="O4406" s="4" t="s">
        <v>5684</v>
      </c>
    </row>
    <row r="4407" ht="15.75" customHeight="1">
      <c r="O4407" s="4" t="s">
        <v>5685</v>
      </c>
    </row>
    <row r="4408" ht="15.75" customHeight="1">
      <c r="O4408" s="4" t="s">
        <v>5686</v>
      </c>
    </row>
    <row r="4409" ht="15.75" customHeight="1">
      <c r="O4409" s="4" t="s">
        <v>5687</v>
      </c>
    </row>
    <row r="4410" ht="15.75" customHeight="1">
      <c r="O4410" s="4" t="s">
        <v>5688</v>
      </c>
    </row>
    <row r="4411" ht="15.75" customHeight="1">
      <c r="O4411" s="4" t="s">
        <v>5689</v>
      </c>
    </row>
    <row r="4412" ht="15.75" customHeight="1">
      <c r="O4412" s="4" t="s">
        <v>5690</v>
      </c>
    </row>
    <row r="4413" ht="15.75" customHeight="1">
      <c r="O4413" s="4" t="s">
        <v>5691</v>
      </c>
    </row>
    <row r="4414" ht="15.75" customHeight="1">
      <c r="O4414" s="4" t="s">
        <v>5692</v>
      </c>
    </row>
    <row r="4415" ht="15.75" customHeight="1">
      <c r="O4415" s="4" t="s">
        <v>5693</v>
      </c>
    </row>
    <row r="4416" ht="15.75" customHeight="1">
      <c r="O4416" s="4" t="s">
        <v>5694</v>
      </c>
    </row>
    <row r="4417" ht="15.75" customHeight="1">
      <c r="O4417" s="4" t="s">
        <v>5695</v>
      </c>
    </row>
    <row r="4418" ht="15.75" customHeight="1">
      <c r="O4418" s="4" t="s">
        <v>5696</v>
      </c>
    </row>
    <row r="4419" ht="15.75" customHeight="1">
      <c r="O4419" s="4" t="s">
        <v>5697</v>
      </c>
    </row>
    <row r="4420" ht="15.75" customHeight="1">
      <c r="O4420" s="4" t="s">
        <v>5698</v>
      </c>
    </row>
    <row r="4421" ht="15.75" customHeight="1">
      <c r="O4421" s="4" t="s">
        <v>5699</v>
      </c>
    </row>
    <row r="4422" ht="15.75" customHeight="1">
      <c r="O4422" s="4" t="s">
        <v>5700</v>
      </c>
    </row>
    <row r="4423" ht="15.75" customHeight="1">
      <c r="O4423" s="4" t="s">
        <v>5701</v>
      </c>
    </row>
    <row r="4424" ht="15.75" customHeight="1">
      <c r="O4424" s="4" t="s">
        <v>5702</v>
      </c>
    </row>
    <row r="4425" ht="15.75" customHeight="1">
      <c r="O4425" s="4" t="s">
        <v>5703</v>
      </c>
    </row>
    <row r="4426" ht="15.75" customHeight="1">
      <c r="O4426" s="4" t="s">
        <v>5704</v>
      </c>
    </row>
    <row r="4427" ht="15.75" customHeight="1">
      <c r="O4427" s="4" t="s">
        <v>5705</v>
      </c>
    </row>
    <row r="4428" ht="15.75" customHeight="1">
      <c r="O4428" s="4" t="s">
        <v>5706</v>
      </c>
    </row>
    <row r="4429" ht="15.75" customHeight="1">
      <c r="O4429" s="4" t="s">
        <v>5707</v>
      </c>
    </row>
    <row r="4430" ht="15.75" customHeight="1">
      <c r="O4430" s="4" t="s">
        <v>5708</v>
      </c>
    </row>
    <row r="4431" ht="15.75" customHeight="1">
      <c r="O4431" s="4" t="s">
        <v>5709</v>
      </c>
    </row>
    <row r="4432" ht="15.75" customHeight="1">
      <c r="O4432" s="4" t="s">
        <v>5710</v>
      </c>
    </row>
    <row r="4433" ht="15.75" customHeight="1">
      <c r="O4433" s="4" t="s">
        <v>5711</v>
      </c>
    </row>
    <row r="4434" ht="15.75" customHeight="1">
      <c r="O4434" s="4" t="s">
        <v>5712</v>
      </c>
    </row>
    <row r="4435" ht="15.75" customHeight="1">
      <c r="O4435" s="4" t="s">
        <v>5713</v>
      </c>
    </row>
    <row r="4436" ht="15.75" customHeight="1">
      <c r="O4436" s="4" t="s">
        <v>5714</v>
      </c>
    </row>
    <row r="4437" ht="15.75" customHeight="1">
      <c r="O4437" s="4" t="s">
        <v>5715</v>
      </c>
    </row>
    <row r="4438" ht="15.75" customHeight="1">
      <c r="O4438" s="4" t="s">
        <v>5716</v>
      </c>
    </row>
    <row r="4439" ht="15.75" customHeight="1">
      <c r="O4439" s="4" t="s">
        <v>5717</v>
      </c>
    </row>
    <row r="4440" ht="15.75" customHeight="1">
      <c r="O4440" s="4" t="s">
        <v>5718</v>
      </c>
    </row>
    <row r="4441" ht="15.75" customHeight="1">
      <c r="O4441" s="4" t="s">
        <v>5719</v>
      </c>
    </row>
    <row r="4442" ht="15.75" customHeight="1">
      <c r="O4442" s="4" t="s">
        <v>5720</v>
      </c>
    </row>
    <row r="4443" ht="15.75" customHeight="1">
      <c r="O4443" s="4" t="s">
        <v>5721</v>
      </c>
    </row>
    <row r="4444" ht="15.75" customHeight="1">
      <c r="O4444" s="4" t="s">
        <v>5722</v>
      </c>
    </row>
    <row r="4445" ht="15.75" customHeight="1">
      <c r="O4445" s="4" t="s">
        <v>5723</v>
      </c>
    </row>
    <row r="4446" ht="15.75" customHeight="1">
      <c r="O4446" s="4" t="s">
        <v>5724</v>
      </c>
    </row>
    <row r="4447" ht="15.75" customHeight="1">
      <c r="O4447" s="4" t="s">
        <v>5725</v>
      </c>
    </row>
    <row r="4448" ht="15.75" customHeight="1">
      <c r="O4448" s="4" t="s">
        <v>5726</v>
      </c>
    </row>
    <row r="4449" ht="15.75" customHeight="1">
      <c r="O4449" s="4" t="s">
        <v>5727</v>
      </c>
    </row>
    <row r="4450" ht="15.75" customHeight="1">
      <c r="O4450" s="4" t="s">
        <v>5728</v>
      </c>
    </row>
    <row r="4451" ht="15.75" customHeight="1">
      <c r="O4451" s="4" t="s">
        <v>5729</v>
      </c>
    </row>
    <row r="4452" ht="15.75" customHeight="1">
      <c r="O4452" s="4" t="s">
        <v>5730</v>
      </c>
    </row>
    <row r="4453" ht="15.75" customHeight="1">
      <c r="O4453" s="4" t="s">
        <v>5731</v>
      </c>
    </row>
    <row r="4454" ht="15.75" customHeight="1">
      <c r="O4454" s="4" t="s">
        <v>5732</v>
      </c>
    </row>
    <row r="4455" ht="15.75" customHeight="1">
      <c r="O4455" s="4" t="s">
        <v>5733</v>
      </c>
    </row>
    <row r="4456" ht="15.75" customHeight="1">
      <c r="O4456" s="4" t="s">
        <v>5734</v>
      </c>
    </row>
    <row r="4457" ht="15.75" customHeight="1">
      <c r="O4457" s="4" t="s">
        <v>5735</v>
      </c>
    </row>
    <row r="4458" ht="15.75" customHeight="1">
      <c r="O4458" s="4" t="s">
        <v>5736</v>
      </c>
    </row>
    <row r="4459" ht="15.75" customHeight="1">
      <c r="O4459" s="4" t="s">
        <v>5737</v>
      </c>
    </row>
    <row r="4460" ht="15.75" customHeight="1">
      <c r="O4460" s="4" t="s">
        <v>5738</v>
      </c>
    </row>
    <row r="4461" ht="15.75" customHeight="1">
      <c r="O4461" s="4" t="s">
        <v>5739</v>
      </c>
    </row>
    <row r="4462" ht="15.75" customHeight="1">
      <c r="O4462" s="4" t="s">
        <v>5740</v>
      </c>
    </row>
    <row r="4463" ht="15.75" customHeight="1">
      <c r="O4463" s="4" t="s">
        <v>5741</v>
      </c>
    </row>
    <row r="4464" ht="15.75" customHeight="1">
      <c r="O4464" s="4" t="s">
        <v>5742</v>
      </c>
    </row>
    <row r="4465" ht="15.75" customHeight="1">
      <c r="O4465" s="4" t="s">
        <v>5743</v>
      </c>
    </row>
    <row r="4466" ht="15.75" customHeight="1">
      <c r="O4466" s="4" t="s">
        <v>5744</v>
      </c>
    </row>
    <row r="4467" ht="15.75" customHeight="1">
      <c r="O4467" s="4" t="s">
        <v>5745</v>
      </c>
    </row>
    <row r="4468" ht="15.75" customHeight="1">
      <c r="O4468" s="4" t="s">
        <v>5746</v>
      </c>
    </row>
    <row r="4469" ht="15.75" customHeight="1">
      <c r="O4469" s="4" t="s">
        <v>5747</v>
      </c>
    </row>
    <row r="4470" ht="15.75" customHeight="1">
      <c r="O4470" s="4" t="s">
        <v>5748</v>
      </c>
    </row>
    <row r="4471" ht="15.75" customHeight="1">
      <c r="O4471" s="4" t="s">
        <v>5749</v>
      </c>
    </row>
    <row r="4472" ht="15.75" customHeight="1">
      <c r="O4472" s="4" t="s">
        <v>5750</v>
      </c>
    </row>
    <row r="4473" ht="15.75" customHeight="1">
      <c r="O4473" s="4" t="s">
        <v>5751</v>
      </c>
    </row>
    <row r="4474" ht="15.75" customHeight="1">
      <c r="O4474" s="4" t="s">
        <v>5752</v>
      </c>
    </row>
    <row r="4475" ht="15.75" customHeight="1">
      <c r="O4475" s="4" t="s">
        <v>5753</v>
      </c>
    </row>
    <row r="4476" ht="15.75" customHeight="1">
      <c r="O4476" s="4" t="s">
        <v>5754</v>
      </c>
    </row>
    <row r="4477" ht="15.75" customHeight="1">
      <c r="O4477" s="4" t="s">
        <v>5755</v>
      </c>
    </row>
    <row r="4478" ht="15.75" customHeight="1">
      <c r="O4478" s="4" t="s">
        <v>5756</v>
      </c>
    </row>
    <row r="4479" ht="15.75" customHeight="1">
      <c r="O4479" s="4" t="s">
        <v>5757</v>
      </c>
    </row>
    <row r="4480" ht="15.75" customHeight="1">
      <c r="O4480" s="4" t="s">
        <v>5758</v>
      </c>
    </row>
    <row r="4481" ht="15.75" customHeight="1">
      <c r="O4481" s="4" t="s">
        <v>5759</v>
      </c>
    </row>
    <row r="4482" ht="15.75" customHeight="1">
      <c r="O4482" s="4" t="s">
        <v>5760</v>
      </c>
    </row>
    <row r="4483" ht="15.75" customHeight="1">
      <c r="O4483" s="4" t="s">
        <v>5761</v>
      </c>
    </row>
    <row r="4484" ht="15.75" customHeight="1">
      <c r="O4484" s="4" t="s">
        <v>5762</v>
      </c>
    </row>
    <row r="4485" ht="15.75" customHeight="1">
      <c r="O4485" s="4" t="s">
        <v>5763</v>
      </c>
    </row>
    <row r="4486" ht="15.75" customHeight="1">
      <c r="O4486" s="4" t="s">
        <v>5764</v>
      </c>
    </row>
    <row r="4487" ht="15.75" customHeight="1">
      <c r="O4487" s="4" t="s">
        <v>5765</v>
      </c>
    </row>
    <row r="4488" ht="15.75" customHeight="1">
      <c r="O4488" s="4" t="s">
        <v>5766</v>
      </c>
    </row>
    <row r="4489" ht="15.75" customHeight="1">
      <c r="O4489" s="4" t="s">
        <v>5767</v>
      </c>
    </row>
    <row r="4490" ht="15.75" customHeight="1">
      <c r="O4490" s="4" t="s">
        <v>5768</v>
      </c>
    </row>
    <row r="4491" ht="15.75" customHeight="1">
      <c r="O4491" s="4" t="s">
        <v>5769</v>
      </c>
    </row>
    <row r="4492" ht="15.75" customHeight="1">
      <c r="O4492" s="4" t="s">
        <v>5770</v>
      </c>
    </row>
    <row r="4493" ht="15.75" customHeight="1">
      <c r="O4493" s="4" t="s">
        <v>5771</v>
      </c>
    </row>
    <row r="4494" ht="15.75" customHeight="1">
      <c r="O4494" s="4" t="s">
        <v>5772</v>
      </c>
    </row>
    <row r="4495" ht="15.75" customHeight="1">
      <c r="O4495" s="4" t="s">
        <v>5773</v>
      </c>
    </row>
    <row r="4496" ht="15.75" customHeight="1">
      <c r="O4496" s="4" t="s">
        <v>5774</v>
      </c>
    </row>
    <row r="4497" ht="15.75" customHeight="1">
      <c r="O4497" s="4" t="s">
        <v>5775</v>
      </c>
    </row>
    <row r="4498" ht="15.75" customHeight="1">
      <c r="O4498" s="4" t="s">
        <v>5776</v>
      </c>
    </row>
    <row r="4499" ht="15.75" customHeight="1">
      <c r="O4499" s="4" t="s">
        <v>5777</v>
      </c>
    </row>
    <row r="4500" ht="15.75" customHeight="1">
      <c r="O4500" s="4" t="s">
        <v>5778</v>
      </c>
    </row>
    <row r="4501" ht="15.75" customHeight="1">
      <c r="O4501" s="4" t="s">
        <v>5779</v>
      </c>
    </row>
    <row r="4502" ht="15.75" customHeight="1">
      <c r="O4502" s="4" t="s">
        <v>5780</v>
      </c>
    </row>
    <row r="4503" ht="15.75" customHeight="1">
      <c r="O4503" s="4" t="s">
        <v>5781</v>
      </c>
    </row>
    <row r="4504" ht="15.75" customHeight="1">
      <c r="O4504" s="4" t="s">
        <v>5782</v>
      </c>
    </row>
    <row r="4505" ht="15.75" customHeight="1">
      <c r="O4505" s="4" t="s">
        <v>5783</v>
      </c>
    </row>
    <row r="4506" ht="15.75" customHeight="1">
      <c r="O4506" s="4" t="s">
        <v>5784</v>
      </c>
    </row>
    <row r="4507" ht="15.75" customHeight="1">
      <c r="O4507" s="4" t="s">
        <v>5785</v>
      </c>
    </row>
    <row r="4508" ht="15.75" customHeight="1">
      <c r="O4508" s="4" t="s">
        <v>5786</v>
      </c>
    </row>
    <row r="4509" ht="15.75" customHeight="1">
      <c r="O4509" s="4" t="s">
        <v>5787</v>
      </c>
    </row>
    <row r="4510" ht="15.75" customHeight="1">
      <c r="O4510" s="4" t="s">
        <v>5788</v>
      </c>
    </row>
    <row r="4511" ht="15.75" customHeight="1">
      <c r="O4511" s="4" t="s">
        <v>5789</v>
      </c>
    </row>
    <row r="4512" ht="15.75" customHeight="1">
      <c r="O4512" s="4" t="s">
        <v>5790</v>
      </c>
    </row>
    <row r="4513" ht="15.75" customHeight="1">
      <c r="O4513" s="4" t="s">
        <v>5791</v>
      </c>
    </row>
    <row r="4514" ht="15.75" customHeight="1">
      <c r="O4514" s="4" t="s">
        <v>5792</v>
      </c>
    </row>
    <row r="4515" ht="15.75" customHeight="1">
      <c r="O4515" s="4" t="s">
        <v>5793</v>
      </c>
    </row>
    <row r="4516" ht="15.75" customHeight="1">
      <c r="O4516" s="4" t="s">
        <v>5794</v>
      </c>
    </row>
    <row r="4517" ht="15.75" customHeight="1">
      <c r="O4517" s="4" t="s">
        <v>5795</v>
      </c>
    </row>
    <row r="4518" ht="15.75" customHeight="1">
      <c r="O4518" s="4" t="s">
        <v>5796</v>
      </c>
    </row>
    <row r="4519" ht="15.75" customHeight="1">
      <c r="O4519" s="4" t="s">
        <v>5797</v>
      </c>
    </row>
    <row r="4520" ht="15.75" customHeight="1">
      <c r="O4520" s="4" t="s">
        <v>5798</v>
      </c>
    </row>
    <row r="4521" ht="15.75" customHeight="1">
      <c r="O4521" s="4" t="s">
        <v>5799</v>
      </c>
    </row>
    <row r="4522" ht="15.75" customHeight="1">
      <c r="O4522" s="4" t="s">
        <v>5800</v>
      </c>
    </row>
    <row r="4523" ht="15.75" customHeight="1">
      <c r="O4523" s="5" t="s">
        <v>5801</v>
      </c>
    </row>
    <row r="4524" ht="15.75" customHeight="1">
      <c r="O4524" s="4" t="s">
        <v>5802</v>
      </c>
    </row>
    <row r="4525" ht="15.75" customHeight="1">
      <c r="O4525" s="4" t="s">
        <v>5803</v>
      </c>
    </row>
    <row r="4526" ht="15.75" customHeight="1">
      <c r="O4526" s="4" t="s">
        <v>5804</v>
      </c>
    </row>
    <row r="4527" ht="15.75" customHeight="1">
      <c r="O4527" s="4" t="s">
        <v>5805</v>
      </c>
    </row>
    <row r="4528" ht="15.75" customHeight="1">
      <c r="O4528" s="4" t="s">
        <v>5806</v>
      </c>
    </row>
    <row r="4529" ht="15.75" customHeight="1">
      <c r="O4529" s="4" t="s">
        <v>5807</v>
      </c>
    </row>
    <row r="4530" ht="15.75" customHeight="1">
      <c r="O4530" s="4" t="s">
        <v>5808</v>
      </c>
    </row>
    <row r="4531" ht="15.75" customHeight="1">
      <c r="O4531" s="4" t="s">
        <v>5809</v>
      </c>
    </row>
    <row r="4532" ht="15.75" customHeight="1">
      <c r="O4532" s="4" t="s">
        <v>5810</v>
      </c>
    </row>
    <row r="4533" ht="15.75" customHeight="1">
      <c r="O4533" s="4" t="s">
        <v>5811</v>
      </c>
    </row>
    <row r="4534" ht="15.75" customHeight="1">
      <c r="O4534" s="4" t="s">
        <v>5812</v>
      </c>
    </row>
    <row r="4535" ht="15.75" customHeight="1">
      <c r="O4535" s="4" t="s">
        <v>5813</v>
      </c>
    </row>
    <row r="4536" ht="15.75" customHeight="1">
      <c r="O4536" s="4" t="s">
        <v>5814</v>
      </c>
    </row>
    <row r="4537" ht="15.75" customHeight="1">
      <c r="O4537" s="4" t="s">
        <v>5815</v>
      </c>
    </row>
    <row r="4538" ht="15.75" customHeight="1">
      <c r="O4538" s="4" t="s">
        <v>5816</v>
      </c>
    </row>
    <row r="4539" ht="15.75" customHeight="1">
      <c r="O4539" s="4" t="s">
        <v>5817</v>
      </c>
    </row>
    <row r="4540" ht="15.75" customHeight="1">
      <c r="O4540" s="4" t="s">
        <v>5818</v>
      </c>
    </row>
    <row r="4541" ht="15.75" customHeight="1">
      <c r="O4541" s="4" t="s">
        <v>5819</v>
      </c>
    </row>
    <row r="4542" ht="15.75" customHeight="1">
      <c r="O4542" s="4" t="s">
        <v>5820</v>
      </c>
    </row>
    <row r="4543" ht="15.75" customHeight="1">
      <c r="O4543" s="4" t="s">
        <v>5821</v>
      </c>
    </row>
    <row r="4544" ht="15.75" customHeight="1">
      <c r="O4544" s="4" t="s">
        <v>5822</v>
      </c>
    </row>
    <row r="4545" ht="15.75" customHeight="1">
      <c r="O4545" s="4" t="s">
        <v>5823</v>
      </c>
    </row>
    <row r="4546" ht="15.75" customHeight="1">
      <c r="O4546" s="4" t="s">
        <v>5824</v>
      </c>
    </row>
    <row r="4547" ht="15.75" customHeight="1">
      <c r="O4547" s="4" t="s">
        <v>5825</v>
      </c>
    </row>
    <row r="4548" ht="15.75" customHeight="1">
      <c r="O4548" s="4" t="s">
        <v>5826</v>
      </c>
    </row>
    <row r="4549" ht="15.75" customHeight="1">
      <c r="O4549" s="4" t="s">
        <v>5827</v>
      </c>
    </row>
    <row r="4550" ht="15.75" customHeight="1">
      <c r="O4550" s="4" t="s">
        <v>5828</v>
      </c>
    </row>
    <row r="4551" ht="15.75" customHeight="1">
      <c r="O4551" s="4" t="s">
        <v>5829</v>
      </c>
    </row>
    <row r="4552" ht="15.75" customHeight="1">
      <c r="O4552" s="4" t="s">
        <v>5830</v>
      </c>
    </row>
    <row r="4553" ht="15.75" customHeight="1">
      <c r="O4553" s="4" t="s">
        <v>5831</v>
      </c>
    </row>
    <row r="4554" ht="15.75" customHeight="1">
      <c r="O4554" s="4" t="s">
        <v>5832</v>
      </c>
    </row>
    <row r="4555" ht="15.75" customHeight="1">
      <c r="O4555" s="4" t="s">
        <v>5833</v>
      </c>
    </row>
    <row r="4556" ht="15.75" customHeight="1">
      <c r="O4556" s="4" t="s">
        <v>5834</v>
      </c>
    </row>
    <row r="4557" ht="15.75" customHeight="1">
      <c r="O4557" s="4" t="s">
        <v>5835</v>
      </c>
    </row>
    <row r="4558" ht="15.75" customHeight="1">
      <c r="O4558" s="4" t="s">
        <v>5836</v>
      </c>
    </row>
    <row r="4559" ht="15.75" customHeight="1">
      <c r="O4559" s="4" t="s">
        <v>5837</v>
      </c>
    </row>
    <row r="4560" ht="15.75" customHeight="1">
      <c r="O4560" s="4" t="s">
        <v>5838</v>
      </c>
    </row>
    <row r="4561" ht="15.75" customHeight="1">
      <c r="O4561" s="4" t="s">
        <v>5839</v>
      </c>
    </row>
    <row r="4562" ht="15.75" customHeight="1">
      <c r="O4562" s="4" t="s">
        <v>5840</v>
      </c>
    </row>
    <row r="4563" ht="15.75" customHeight="1">
      <c r="O4563" s="4" t="s">
        <v>5841</v>
      </c>
    </row>
    <row r="4564" ht="15.75" customHeight="1">
      <c r="O4564" s="4" t="s">
        <v>5842</v>
      </c>
    </row>
    <row r="4565" ht="15.75" customHeight="1">
      <c r="O4565" s="4" t="s">
        <v>5843</v>
      </c>
    </row>
    <row r="4566" ht="15.75" customHeight="1">
      <c r="O4566" s="4" t="s">
        <v>5844</v>
      </c>
    </row>
    <row r="4567" ht="15.75" customHeight="1">
      <c r="O4567" s="4" t="s">
        <v>5845</v>
      </c>
    </row>
    <row r="4568" ht="15.75" customHeight="1">
      <c r="O4568" s="4" t="s">
        <v>5846</v>
      </c>
    </row>
    <row r="4569" ht="15.75" customHeight="1">
      <c r="O4569" s="4" t="s">
        <v>5847</v>
      </c>
    </row>
    <row r="4570" ht="15.75" customHeight="1">
      <c r="O4570" s="4" t="s">
        <v>5848</v>
      </c>
    </row>
    <row r="4571" ht="15.75" customHeight="1">
      <c r="O4571" s="4" t="s">
        <v>5849</v>
      </c>
    </row>
    <row r="4572" ht="15.75" customHeight="1">
      <c r="O4572" s="4" t="s">
        <v>5850</v>
      </c>
    </row>
    <row r="4573" ht="15.75" customHeight="1">
      <c r="O4573" s="4" t="s">
        <v>5851</v>
      </c>
    </row>
    <row r="4574" ht="15.75" customHeight="1">
      <c r="O4574" s="4" t="s">
        <v>5852</v>
      </c>
    </row>
    <row r="4575" ht="15.75" customHeight="1">
      <c r="O4575" s="4" t="s">
        <v>5853</v>
      </c>
    </row>
    <row r="4576" ht="15.75" customHeight="1">
      <c r="O4576" s="4" t="s">
        <v>5854</v>
      </c>
    </row>
    <row r="4577" ht="15.75" customHeight="1">
      <c r="O4577" s="4" t="s">
        <v>5855</v>
      </c>
    </row>
    <row r="4578" ht="15.75" customHeight="1">
      <c r="O4578" s="4" t="s">
        <v>5856</v>
      </c>
    </row>
    <row r="4579" ht="15.75" customHeight="1">
      <c r="O4579" s="4" t="s">
        <v>5857</v>
      </c>
    </row>
    <row r="4580" ht="15.75" customHeight="1">
      <c r="O4580" s="4" t="s">
        <v>5858</v>
      </c>
    </row>
    <row r="4581" ht="15.75" customHeight="1">
      <c r="O4581" s="4" t="s">
        <v>5859</v>
      </c>
    </row>
    <row r="4582" ht="15.75" customHeight="1">
      <c r="O4582" s="4" t="s">
        <v>5860</v>
      </c>
    </row>
    <row r="4583" ht="15.75" customHeight="1">
      <c r="O4583" s="4" t="s">
        <v>5861</v>
      </c>
    </row>
    <row r="4584" ht="15.75" customHeight="1">
      <c r="O4584" s="4" t="s">
        <v>5862</v>
      </c>
    </row>
    <row r="4585" ht="15.75" customHeight="1">
      <c r="O4585" s="4" t="s">
        <v>5863</v>
      </c>
    </row>
    <row r="4586" ht="15.75" customHeight="1">
      <c r="O4586" s="4" t="s">
        <v>5864</v>
      </c>
    </row>
    <row r="4587" ht="15.75" customHeight="1">
      <c r="O4587" s="4" t="s">
        <v>5865</v>
      </c>
    </row>
    <row r="4588" ht="15.75" customHeight="1">
      <c r="O4588" s="4" t="s">
        <v>5866</v>
      </c>
    </row>
    <row r="4589" ht="15.75" customHeight="1">
      <c r="O4589" s="4" t="s">
        <v>5867</v>
      </c>
    </row>
    <row r="4590" ht="15.75" customHeight="1">
      <c r="O4590" s="4" t="s">
        <v>5868</v>
      </c>
    </row>
    <row r="4591" ht="15.75" customHeight="1">
      <c r="O4591" s="4" t="s">
        <v>5869</v>
      </c>
    </row>
    <row r="4592" ht="15.75" customHeight="1">
      <c r="O4592" s="4" t="s">
        <v>5870</v>
      </c>
    </row>
    <row r="4593" ht="15.75" customHeight="1">
      <c r="O4593" s="4" t="s">
        <v>5871</v>
      </c>
    </row>
    <row r="4594" ht="15.75" customHeight="1">
      <c r="O4594" s="4" t="s">
        <v>5872</v>
      </c>
    </row>
    <row r="4595" ht="15.75" customHeight="1">
      <c r="O4595" s="4" t="s">
        <v>5873</v>
      </c>
    </row>
    <row r="4596" ht="15.75" customHeight="1">
      <c r="O4596" s="4" t="s">
        <v>5874</v>
      </c>
    </row>
    <row r="4597" ht="15.75" customHeight="1">
      <c r="O4597" s="4" t="s">
        <v>5875</v>
      </c>
    </row>
    <row r="4598" ht="15.75" customHeight="1">
      <c r="O4598" s="4" t="s">
        <v>5876</v>
      </c>
    </row>
    <row r="4599" ht="15.75" customHeight="1">
      <c r="O4599" s="4" t="s">
        <v>5877</v>
      </c>
    </row>
    <row r="4600" ht="15.75" customHeight="1">
      <c r="O4600" s="4" t="s">
        <v>5878</v>
      </c>
    </row>
    <row r="4601" ht="15.75" customHeight="1">
      <c r="O4601" s="4" t="s">
        <v>5879</v>
      </c>
    </row>
    <row r="4602" ht="15.75" customHeight="1">
      <c r="O4602" s="4" t="s">
        <v>5880</v>
      </c>
    </row>
    <row r="4603" ht="15.75" customHeight="1">
      <c r="O4603" s="4" t="s">
        <v>5881</v>
      </c>
    </row>
    <row r="4604" ht="15.75" customHeight="1">
      <c r="O4604" s="4" t="s">
        <v>5882</v>
      </c>
    </row>
    <row r="4605" ht="15.75" customHeight="1">
      <c r="O4605" s="4" t="s">
        <v>5883</v>
      </c>
    </row>
    <row r="4606" ht="15.75" customHeight="1">
      <c r="O4606" s="4" t="s">
        <v>5884</v>
      </c>
    </row>
    <row r="4607" ht="15.75" customHeight="1">
      <c r="O4607" s="4" t="s">
        <v>5885</v>
      </c>
    </row>
    <row r="4608" ht="15.75" customHeight="1">
      <c r="O4608" s="4" t="s">
        <v>5886</v>
      </c>
    </row>
    <row r="4609" ht="15.75" customHeight="1">
      <c r="O4609" s="4" t="s">
        <v>5887</v>
      </c>
    </row>
    <row r="4610" ht="15.75" customHeight="1">
      <c r="O4610" s="4" t="s">
        <v>5888</v>
      </c>
    </row>
    <row r="4611" ht="15.75" customHeight="1">
      <c r="O4611" s="4" t="s">
        <v>5889</v>
      </c>
    </row>
    <row r="4612" ht="15.75" customHeight="1">
      <c r="O4612" s="4" t="s">
        <v>5890</v>
      </c>
    </row>
    <row r="4613" ht="15.75" customHeight="1">
      <c r="O4613" s="4" t="s">
        <v>5891</v>
      </c>
    </row>
    <row r="4614" ht="15.75" customHeight="1">
      <c r="O4614" s="4" t="s">
        <v>5892</v>
      </c>
    </row>
    <row r="4615" ht="15.75" customHeight="1">
      <c r="O4615" s="4" t="s">
        <v>5893</v>
      </c>
    </row>
    <row r="4616" ht="15.75" customHeight="1">
      <c r="O4616" s="4" t="s">
        <v>5894</v>
      </c>
    </row>
    <row r="4617" ht="15.75" customHeight="1">
      <c r="O4617" s="4" t="s">
        <v>5895</v>
      </c>
    </row>
    <row r="4618" ht="15.75" customHeight="1">
      <c r="O4618" s="4" t="s">
        <v>5896</v>
      </c>
    </row>
    <row r="4619" ht="15.75" customHeight="1">
      <c r="O4619" s="4" t="s">
        <v>5897</v>
      </c>
    </row>
    <row r="4620" ht="15.75" customHeight="1">
      <c r="O4620" s="4" t="s">
        <v>5898</v>
      </c>
    </row>
    <row r="4621" ht="15.75" customHeight="1">
      <c r="O4621" s="4" t="s">
        <v>5899</v>
      </c>
    </row>
    <row r="4622" ht="15.75" customHeight="1">
      <c r="O4622" s="4" t="s">
        <v>5900</v>
      </c>
    </row>
    <row r="4623" ht="15.75" customHeight="1">
      <c r="O4623" s="4" t="s">
        <v>5901</v>
      </c>
    </row>
    <row r="4624" ht="15.75" customHeight="1">
      <c r="O4624" s="4" t="s">
        <v>5902</v>
      </c>
    </row>
    <row r="4625" ht="15.75" customHeight="1">
      <c r="O4625" s="4" t="s">
        <v>5903</v>
      </c>
    </row>
    <row r="4626" ht="15.75" customHeight="1">
      <c r="O4626" s="4" t="s">
        <v>5904</v>
      </c>
    </row>
    <row r="4627" ht="15.75" customHeight="1">
      <c r="O4627" s="4" t="s">
        <v>5905</v>
      </c>
    </row>
    <row r="4628" ht="15.75" customHeight="1">
      <c r="O4628" s="4" t="s">
        <v>5906</v>
      </c>
    </row>
    <row r="4629" ht="15.75" customHeight="1">
      <c r="O4629" s="4" t="s">
        <v>5907</v>
      </c>
    </row>
    <row r="4630" ht="15.75" customHeight="1">
      <c r="O4630" s="4" t="s">
        <v>5908</v>
      </c>
    </row>
    <row r="4631" ht="15.75" customHeight="1">
      <c r="O4631" s="4" t="s">
        <v>5909</v>
      </c>
    </row>
    <row r="4632" ht="15.75" customHeight="1">
      <c r="O4632" s="4" t="s">
        <v>5910</v>
      </c>
    </row>
    <row r="4633" ht="15.75" customHeight="1">
      <c r="O4633" s="4" t="s">
        <v>5911</v>
      </c>
    </row>
    <row r="4634" ht="15.75" customHeight="1">
      <c r="O4634" s="4" t="s">
        <v>5912</v>
      </c>
    </row>
    <row r="4635" ht="15.75" customHeight="1">
      <c r="O4635" s="4" t="s">
        <v>5913</v>
      </c>
    </row>
    <row r="4636" ht="15.75" customHeight="1">
      <c r="O4636" s="4" t="s">
        <v>5914</v>
      </c>
    </row>
    <row r="4637" ht="15.75" customHeight="1">
      <c r="O4637" s="4" t="s">
        <v>5915</v>
      </c>
    </row>
    <row r="4638" ht="15.75" customHeight="1">
      <c r="O4638" s="4" t="s">
        <v>5916</v>
      </c>
    </row>
    <row r="4639" ht="15.75" customHeight="1">
      <c r="O4639" s="4" t="s">
        <v>5917</v>
      </c>
    </row>
    <row r="4640" ht="15.75" customHeight="1">
      <c r="O4640" s="4" t="s">
        <v>5918</v>
      </c>
    </row>
    <row r="4641" ht="15.75" customHeight="1">
      <c r="O4641" s="4" t="s">
        <v>5919</v>
      </c>
    </row>
    <row r="4642" ht="15.75" customHeight="1">
      <c r="O4642" s="4" t="s">
        <v>5920</v>
      </c>
    </row>
    <row r="4643" ht="15.75" customHeight="1">
      <c r="O4643" s="4" t="s">
        <v>5921</v>
      </c>
    </row>
    <row r="4644" ht="15.75" customHeight="1">
      <c r="O4644" s="4" t="s">
        <v>5922</v>
      </c>
    </row>
    <row r="4645" ht="15.75" customHeight="1">
      <c r="O4645" s="4" t="s">
        <v>5923</v>
      </c>
    </row>
    <row r="4646" ht="15.75" customHeight="1">
      <c r="O4646" s="4" t="s">
        <v>5924</v>
      </c>
    </row>
    <row r="4647" ht="15.75" customHeight="1">
      <c r="O4647" s="4" t="s">
        <v>5925</v>
      </c>
    </row>
    <row r="4648" ht="15.75" customHeight="1">
      <c r="O4648" s="4" t="s">
        <v>5926</v>
      </c>
    </row>
    <row r="4649" ht="15.75" customHeight="1">
      <c r="O4649" s="4" t="s">
        <v>5927</v>
      </c>
    </row>
    <row r="4650" ht="15.75" customHeight="1">
      <c r="O4650" s="4" t="s">
        <v>5928</v>
      </c>
    </row>
    <row r="4651" ht="15.75" customHeight="1">
      <c r="O4651" s="4" t="s">
        <v>5929</v>
      </c>
    </row>
    <row r="4652" ht="15.75" customHeight="1">
      <c r="O4652" s="4" t="s">
        <v>5930</v>
      </c>
    </row>
    <row r="4653" ht="15.75" customHeight="1">
      <c r="O4653" s="4" t="s">
        <v>5931</v>
      </c>
    </row>
    <row r="4654" ht="15.75" customHeight="1">
      <c r="O4654" s="4" t="s">
        <v>5932</v>
      </c>
    </row>
    <row r="4655" ht="15.75" customHeight="1">
      <c r="O4655" s="4" t="s">
        <v>5933</v>
      </c>
    </row>
    <row r="4656" ht="15.75" customHeight="1">
      <c r="O4656" s="4" t="s">
        <v>5934</v>
      </c>
    </row>
    <row r="4657" ht="15.75" customHeight="1">
      <c r="O4657" s="4" t="s">
        <v>5935</v>
      </c>
    </row>
    <row r="4658" ht="15.75" customHeight="1">
      <c r="O4658" s="4" t="s">
        <v>5936</v>
      </c>
    </row>
    <row r="4659" ht="15.75" customHeight="1">
      <c r="O4659" s="4" t="s">
        <v>123</v>
      </c>
    </row>
    <row r="4660" ht="15.75" customHeight="1">
      <c r="O4660" s="4" t="s">
        <v>5937</v>
      </c>
    </row>
    <row r="4661" ht="15.75" customHeight="1">
      <c r="O4661" s="4" t="s">
        <v>5938</v>
      </c>
    </row>
    <row r="4662" ht="15.75" customHeight="1">
      <c r="O4662" s="4" t="s">
        <v>5939</v>
      </c>
    </row>
    <row r="4663" ht="15.75" customHeight="1">
      <c r="O4663" s="4" t="s">
        <v>5940</v>
      </c>
    </row>
    <row r="4664" ht="15.75" customHeight="1">
      <c r="O4664" s="4" t="s">
        <v>5941</v>
      </c>
    </row>
    <row r="4665" ht="15.75" customHeight="1">
      <c r="O4665" s="4" t="s">
        <v>5942</v>
      </c>
    </row>
    <row r="4666" ht="15.75" customHeight="1">
      <c r="O4666" s="4" t="s">
        <v>5943</v>
      </c>
    </row>
    <row r="4667" ht="15.75" customHeight="1">
      <c r="O4667" s="4" t="s">
        <v>5944</v>
      </c>
    </row>
    <row r="4668" ht="15.75" customHeight="1">
      <c r="O4668" s="4" t="s">
        <v>5945</v>
      </c>
    </row>
    <row r="4669" ht="15.75" customHeight="1">
      <c r="O4669" s="4" t="s">
        <v>5946</v>
      </c>
    </row>
    <row r="4670" ht="15.75" customHeight="1">
      <c r="O4670" s="4" t="s">
        <v>5947</v>
      </c>
    </row>
    <row r="4671" ht="15.75" customHeight="1">
      <c r="O4671" s="4" t="s">
        <v>5948</v>
      </c>
    </row>
    <row r="4672" ht="15.75" customHeight="1">
      <c r="O4672" s="4" t="s">
        <v>5949</v>
      </c>
    </row>
    <row r="4673" ht="15.75" customHeight="1">
      <c r="O4673" s="4" t="s">
        <v>5950</v>
      </c>
    </row>
    <row r="4674" ht="15.75" customHeight="1">
      <c r="O4674" s="4" t="s">
        <v>5951</v>
      </c>
    </row>
    <row r="4675" ht="15.75" customHeight="1">
      <c r="O4675" s="4" t="s">
        <v>5952</v>
      </c>
    </row>
    <row r="4676" ht="15.75" customHeight="1">
      <c r="O4676" s="4" t="s">
        <v>5953</v>
      </c>
    </row>
    <row r="4677" ht="15.75" customHeight="1">
      <c r="O4677" s="4" t="s">
        <v>5954</v>
      </c>
    </row>
    <row r="4678" ht="15.75" customHeight="1">
      <c r="O4678" s="4" t="s">
        <v>5955</v>
      </c>
    </row>
    <row r="4679" ht="15.75" customHeight="1">
      <c r="O4679" s="4" t="s">
        <v>5956</v>
      </c>
    </row>
    <row r="4680" ht="15.75" customHeight="1">
      <c r="O4680" s="4" t="s">
        <v>5957</v>
      </c>
    </row>
    <row r="4681" ht="15.75" customHeight="1">
      <c r="O4681" s="4" t="s">
        <v>5958</v>
      </c>
    </row>
    <row r="4682" ht="15.75" customHeight="1">
      <c r="O4682" s="4" t="s">
        <v>5959</v>
      </c>
    </row>
    <row r="4683" ht="15.75" customHeight="1">
      <c r="O4683" s="4" t="s">
        <v>5960</v>
      </c>
    </row>
    <row r="4684" ht="15.75" customHeight="1">
      <c r="O4684" s="4" t="s">
        <v>5961</v>
      </c>
    </row>
    <row r="4685" ht="15.75" customHeight="1">
      <c r="O4685" s="4" t="s">
        <v>5962</v>
      </c>
    </row>
    <row r="4686" ht="15.75" customHeight="1">
      <c r="O4686" s="4" t="s">
        <v>5963</v>
      </c>
    </row>
    <row r="4687" ht="15.75" customHeight="1">
      <c r="O4687" s="4" t="s">
        <v>5964</v>
      </c>
    </row>
    <row r="4688" ht="15.75" customHeight="1">
      <c r="O4688" s="4" t="s">
        <v>5965</v>
      </c>
    </row>
    <row r="4689" ht="15.75" customHeight="1">
      <c r="O4689" s="4" t="s">
        <v>5966</v>
      </c>
    </row>
    <row r="4690" ht="15.75" customHeight="1">
      <c r="O4690" s="4" t="s">
        <v>5967</v>
      </c>
    </row>
    <row r="4691" ht="15.75" customHeight="1">
      <c r="O4691" s="4" t="s">
        <v>5968</v>
      </c>
    </row>
    <row r="4692" ht="15.75" customHeight="1">
      <c r="O4692" s="4" t="s">
        <v>5969</v>
      </c>
    </row>
    <row r="4693" ht="15.75" customHeight="1">
      <c r="O4693" s="4" t="s">
        <v>5970</v>
      </c>
    </row>
    <row r="4694" ht="15.75" customHeight="1">
      <c r="O4694" s="4" t="s">
        <v>5971</v>
      </c>
    </row>
    <row r="4695" ht="15.75" customHeight="1">
      <c r="O4695" s="4" t="s">
        <v>5972</v>
      </c>
    </row>
    <row r="4696" ht="15.75" customHeight="1">
      <c r="O4696" s="4" t="s">
        <v>5973</v>
      </c>
    </row>
    <row r="4697" ht="15.75" customHeight="1">
      <c r="O4697" s="4" t="s">
        <v>5974</v>
      </c>
    </row>
    <row r="4698" ht="15.75" customHeight="1">
      <c r="O4698" s="4" t="s">
        <v>5975</v>
      </c>
    </row>
    <row r="4699" ht="15.75" customHeight="1">
      <c r="O4699" s="4" t="s">
        <v>5976</v>
      </c>
    </row>
    <row r="4700" ht="15.75" customHeight="1">
      <c r="O4700" s="4" t="s">
        <v>5977</v>
      </c>
    </row>
    <row r="4701" ht="15.75" customHeight="1">
      <c r="O4701" s="4" t="s">
        <v>5978</v>
      </c>
    </row>
    <row r="4702" ht="15.75" customHeight="1">
      <c r="O4702" s="4" t="s">
        <v>5979</v>
      </c>
    </row>
    <row r="4703" ht="15.75" customHeight="1">
      <c r="O4703" s="4" t="s">
        <v>5980</v>
      </c>
    </row>
    <row r="4704" ht="15.75" customHeight="1">
      <c r="O4704" s="4" t="s">
        <v>5981</v>
      </c>
    </row>
    <row r="4705" ht="15.75" customHeight="1">
      <c r="O4705" s="4" t="s">
        <v>5982</v>
      </c>
    </row>
    <row r="4706" ht="15.75" customHeight="1">
      <c r="O4706" s="4" t="s">
        <v>5983</v>
      </c>
    </row>
    <row r="4707" ht="15.75" customHeight="1">
      <c r="O4707" s="4" t="s">
        <v>5984</v>
      </c>
    </row>
    <row r="4708" ht="15.75" customHeight="1">
      <c r="O4708" s="4" t="s">
        <v>5985</v>
      </c>
    </row>
    <row r="4709" ht="15.75" customHeight="1">
      <c r="O4709" s="4" t="s">
        <v>5986</v>
      </c>
    </row>
    <row r="4710" ht="15.75" customHeight="1">
      <c r="O4710" s="4" t="s">
        <v>5987</v>
      </c>
    </row>
    <row r="4711" ht="15.75" customHeight="1">
      <c r="O4711" s="4" t="s">
        <v>5988</v>
      </c>
    </row>
    <row r="4712" ht="15.75" customHeight="1">
      <c r="O4712" s="4" t="s">
        <v>5989</v>
      </c>
    </row>
    <row r="4713" ht="15.75" customHeight="1">
      <c r="O4713" s="4" t="s">
        <v>5990</v>
      </c>
    </row>
    <row r="4714" ht="15.75" customHeight="1">
      <c r="O4714" s="4" t="s">
        <v>5991</v>
      </c>
    </row>
    <row r="4715" ht="15.75" customHeight="1">
      <c r="O4715" s="4" t="s">
        <v>5992</v>
      </c>
    </row>
    <row r="4716" ht="15.75" customHeight="1">
      <c r="O4716" s="4" t="s">
        <v>5993</v>
      </c>
    </row>
    <row r="4717" ht="15.75" customHeight="1">
      <c r="O4717" s="4" t="s">
        <v>5994</v>
      </c>
    </row>
    <row r="4718" ht="15.75" customHeight="1">
      <c r="O4718" s="4" t="s">
        <v>5995</v>
      </c>
    </row>
    <row r="4719" ht="15.75" customHeight="1">
      <c r="O4719" s="4" t="s">
        <v>5996</v>
      </c>
    </row>
    <row r="4720" ht="15.75" customHeight="1">
      <c r="O4720" s="4" t="s">
        <v>5997</v>
      </c>
    </row>
    <row r="4721" ht="15.75" customHeight="1">
      <c r="O4721" s="4" t="s">
        <v>5998</v>
      </c>
    </row>
    <row r="4722" ht="15.75" customHeight="1">
      <c r="O4722" s="4" t="s">
        <v>5999</v>
      </c>
    </row>
    <row r="4723" ht="15.75" customHeight="1">
      <c r="O4723" s="4" t="s">
        <v>6000</v>
      </c>
    </row>
    <row r="4724" ht="15.75" customHeight="1">
      <c r="O4724" s="4" t="s">
        <v>6001</v>
      </c>
    </row>
    <row r="4725" ht="15.75" customHeight="1">
      <c r="O4725" s="4" t="s">
        <v>6002</v>
      </c>
    </row>
    <row r="4726" ht="15.75" customHeight="1">
      <c r="O4726" s="4" t="s">
        <v>6003</v>
      </c>
    </row>
    <row r="4727" ht="15.75" customHeight="1">
      <c r="O4727" s="4" t="s">
        <v>6004</v>
      </c>
    </row>
    <row r="4728" ht="15.75" customHeight="1">
      <c r="O4728" s="4" t="s">
        <v>6005</v>
      </c>
    </row>
    <row r="4729" ht="15.75" customHeight="1">
      <c r="O4729" s="4" t="s">
        <v>6006</v>
      </c>
    </row>
    <row r="4730" ht="15.75" customHeight="1">
      <c r="O4730" s="4" t="s">
        <v>6007</v>
      </c>
    </row>
    <row r="4731" ht="15.75" customHeight="1">
      <c r="O4731" s="4" t="s">
        <v>6008</v>
      </c>
    </row>
    <row r="4732" ht="15.75" customHeight="1">
      <c r="O4732" s="4" t="s">
        <v>6009</v>
      </c>
    </row>
    <row r="4733" ht="15.75" customHeight="1">
      <c r="O4733" s="4" t="s">
        <v>6010</v>
      </c>
    </row>
    <row r="4734" ht="15.75" customHeight="1">
      <c r="O4734" s="4" t="s">
        <v>6011</v>
      </c>
    </row>
    <row r="4735" ht="15.75" customHeight="1">
      <c r="O4735" s="4" t="s">
        <v>6012</v>
      </c>
    </row>
    <row r="4736" ht="15.75" customHeight="1">
      <c r="O4736" s="4" t="s">
        <v>6013</v>
      </c>
    </row>
    <row r="4737" ht="15.75" customHeight="1">
      <c r="O4737" s="4" t="s">
        <v>6014</v>
      </c>
    </row>
    <row r="4738" ht="15.75" customHeight="1">
      <c r="O4738" s="4" t="s">
        <v>6015</v>
      </c>
    </row>
    <row r="4739" ht="15.75" customHeight="1">
      <c r="O4739" s="4" t="s">
        <v>6016</v>
      </c>
    </row>
    <row r="4740" ht="15.75" customHeight="1">
      <c r="O4740" s="4" t="s">
        <v>6017</v>
      </c>
    </row>
    <row r="4741" ht="15.75" customHeight="1">
      <c r="O4741" s="4" t="s">
        <v>6018</v>
      </c>
    </row>
    <row r="4742" ht="15.75" customHeight="1">
      <c r="O4742" s="4" t="s">
        <v>6019</v>
      </c>
    </row>
    <row r="4743" ht="15.75" customHeight="1">
      <c r="O4743" s="4" t="s">
        <v>6020</v>
      </c>
    </row>
    <row r="4744" ht="15.75" customHeight="1">
      <c r="O4744" s="4" t="s">
        <v>6021</v>
      </c>
    </row>
    <row r="4745" ht="15.75" customHeight="1">
      <c r="O4745" s="4" t="s">
        <v>6022</v>
      </c>
    </row>
    <row r="4746" ht="15.75" customHeight="1">
      <c r="O4746" s="4" t="s">
        <v>6023</v>
      </c>
    </row>
    <row r="4747" ht="15.75" customHeight="1">
      <c r="O4747" s="4" t="s">
        <v>6024</v>
      </c>
    </row>
    <row r="4748" ht="15.75" customHeight="1">
      <c r="O4748" s="4" t="s">
        <v>6025</v>
      </c>
    </row>
    <row r="4749" ht="15.75" customHeight="1">
      <c r="O4749" s="4" t="s">
        <v>6026</v>
      </c>
    </row>
    <row r="4750" ht="15.75" customHeight="1">
      <c r="O4750" s="4" t="s">
        <v>6027</v>
      </c>
    </row>
    <row r="4751" ht="15.75" customHeight="1">
      <c r="O4751" s="4" t="s">
        <v>6028</v>
      </c>
    </row>
    <row r="4752" ht="15.75" customHeight="1">
      <c r="O4752" s="4" t="s">
        <v>6029</v>
      </c>
    </row>
    <row r="4753" ht="15.75" customHeight="1">
      <c r="O4753" s="4" t="s">
        <v>6030</v>
      </c>
    </row>
    <row r="4754" ht="15.75" customHeight="1">
      <c r="O4754" s="4" t="s">
        <v>6031</v>
      </c>
    </row>
    <row r="4755" ht="15.75" customHeight="1">
      <c r="O4755" s="4" t="s">
        <v>6032</v>
      </c>
    </row>
    <row r="4756" ht="15.75" customHeight="1">
      <c r="O4756" s="4" t="s">
        <v>6033</v>
      </c>
    </row>
    <row r="4757" ht="15.75" customHeight="1">
      <c r="O4757" s="4" t="s">
        <v>6034</v>
      </c>
    </row>
    <row r="4758" ht="15.75" customHeight="1">
      <c r="O4758" s="4" t="s">
        <v>6035</v>
      </c>
    </row>
    <row r="4759" ht="15.75" customHeight="1">
      <c r="O4759" s="4" t="s">
        <v>6036</v>
      </c>
    </row>
    <row r="4760" ht="15.75" customHeight="1">
      <c r="O4760" s="4" t="s">
        <v>6037</v>
      </c>
    </row>
    <row r="4761" ht="15.75" customHeight="1">
      <c r="O4761" s="4" t="s">
        <v>6038</v>
      </c>
    </row>
    <row r="4762" ht="15.75" customHeight="1">
      <c r="O4762" s="4" t="s">
        <v>6039</v>
      </c>
    </row>
    <row r="4763" ht="15.75" customHeight="1">
      <c r="O4763" s="4" t="s">
        <v>6040</v>
      </c>
    </row>
    <row r="4764" ht="15.75" customHeight="1">
      <c r="O4764" s="4" t="s">
        <v>6041</v>
      </c>
    </row>
    <row r="4765" ht="15.75" customHeight="1">
      <c r="O4765" s="4" t="s">
        <v>6042</v>
      </c>
    </row>
    <row r="4766" ht="15.75" customHeight="1">
      <c r="O4766" s="4" t="s">
        <v>6043</v>
      </c>
    </row>
    <row r="4767" ht="15.75" customHeight="1">
      <c r="O4767" s="4" t="s">
        <v>6044</v>
      </c>
    </row>
    <row r="4768" ht="15.75" customHeight="1">
      <c r="O4768" s="4" t="s">
        <v>6045</v>
      </c>
    </row>
    <row r="4769" ht="15.75" customHeight="1">
      <c r="O4769" s="4" t="s">
        <v>6046</v>
      </c>
    </row>
    <row r="4770" ht="15.75" customHeight="1">
      <c r="O4770" s="4" t="s">
        <v>6047</v>
      </c>
    </row>
    <row r="4771" ht="15.75" customHeight="1">
      <c r="O4771" s="4" t="s">
        <v>6048</v>
      </c>
    </row>
    <row r="4772" ht="15.75" customHeight="1">
      <c r="O4772" s="4" t="s">
        <v>6049</v>
      </c>
    </row>
    <row r="4773" ht="15.75" customHeight="1">
      <c r="O4773" s="4" t="s">
        <v>6050</v>
      </c>
    </row>
    <row r="4774" ht="15.75" customHeight="1">
      <c r="O4774" s="4" t="s">
        <v>6051</v>
      </c>
    </row>
    <row r="4775" ht="15.75" customHeight="1">
      <c r="O4775" s="4" t="s">
        <v>6052</v>
      </c>
    </row>
    <row r="4776" ht="15.75" customHeight="1">
      <c r="O4776" s="4" t="s">
        <v>6053</v>
      </c>
    </row>
    <row r="4777" ht="15.75" customHeight="1">
      <c r="O4777" s="4" t="s">
        <v>6054</v>
      </c>
    </row>
    <row r="4778" ht="15.75" customHeight="1">
      <c r="O4778" s="4" t="s">
        <v>6055</v>
      </c>
    </row>
    <row r="4779" ht="15.75" customHeight="1">
      <c r="O4779" s="4" t="s">
        <v>6056</v>
      </c>
    </row>
    <row r="4780" ht="15.75" customHeight="1">
      <c r="O4780" s="4" t="s">
        <v>6057</v>
      </c>
    </row>
    <row r="4781" ht="15.75" customHeight="1">
      <c r="O4781" s="4" t="s">
        <v>6058</v>
      </c>
    </row>
    <row r="4782" ht="15.75" customHeight="1">
      <c r="O4782" s="4" t="s">
        <v>6059</v>
      </c>
    </row>
    <row r="4783" ht="15.75" customHeight="1">
      <c r="O4783" s="4" t="s">
        <v>6060</v>
      </c>
    </row>
    <row r="4784" ht="15.75" customHeight="1">
      <c r="O4784" s="4" t="s">
        <v>6061</v>
      </c>
    </row>
    <row r="4785" ht="15.75" customHeight="1">
      <c r="O4785" s="4" t="s">
        <v>6062</v>
      </c>
    </row>
    <row r="4786" ht="15.75" customHeight="1">
      <c r="O4786" s="4" t="s">
        <v>6063</v>
      </c>
    </row>
    <row r="4787" ht="15.75" customHeight="1">
      <c r="O4787" s="4" t="s">
        <v>6064</v>
      </c>
    </row>
    <row r="4788" ht="15.75" customHeight="1">
      <c r="O4788" s="4" t="s">
        <v>6065</v>
      </c>
    </row>
    <row r="4789" ht="15.75" customHeight="1">
      <c r="O4789" s="4" t="s">
        <v>6066</v>
      </c>
    </row>
    <row r="4790" ht="15.75" customHeight="1">
      <c r="O4790" s="4" t="s">
        <v>6067</v>
      </c>
    </row>
    <row r="4791" ht="15.75" customHeight="1">
      <c r="O4791" s="4" t="s">
        <v>6068</v>
      </c>
    </row>
    <row r="4792" ht="15.75" customHeight="1">
      <c r="O4792" s="4" t="s">
        <v>6069</v>
      </c>
    </row>
    <row r="4793" ht="15.75" customHeight="1">
      <c r="O4793" s="4" t="s">
        <v>6070</v>
      </c>
    </row>
    <row r="4794" ht="15.75" customHeight="1">
      <c r="O4794" s="4" t="s">
        <v>6071</v>
      </c>
    </row>
    <row r="4795" ht="15.75" customHeight="1">
      <c r="O4795" s="4" t="s">
        <v>6072</v>
      </c>
    </row>
    <row r="4796" ht="15.75" customHeight="1">
      <c r="O4796" s="4" t="s">
        <v>6073</v>
      </c>
    </row>
    <row r="4797" ht="15.75" customHeight="1">
      <c r="O4797" s="4" t="s">
        <v>6074</v>
      </c>
    </row>
    <row r="4798" ht="15.75" customHeight="1">
      <c r="O4798" s="4" t="s">
        <v>6075</v>
      </c>
    </row>
    <row r="4799" ht="15.75" customHeight="1">
      <c r="O4799" s="4" t="s">
        <v>6076</v>
      </c>
    </row>
    <row r="4800" ht="15.75" customHeight="1">
      <c r="O4800" s="4" t="s">
        <v>6077</v>
      </c>
    </row>
    <row r="4801" ht="15.75" customHeight="1">
      <c r="O4801" s="4" t="s">
        <v>6078</v>
      </c>
    </row>
    <row r="4802" ht="15.75" customHeight="1">
      <c r="O4802" s="4" t="s">
        <v>6079</v>
      </c>
    </row>
    <row r="4803" ht="15.75" customHeight="1">
      <c r="O4803" s="4" t="s">
        <v>6080</v>
      </c>
    </row>
    <row r="4804" ht="15.75" customHeight="1">
      <c r="O4804" s="4" t="s">
        <v>6081</v>
      </c>
    </row>
    <row r="4805" ht="15.75" customHeight="1">
      <c r="O4805" s="4" t="s">
        <v>6082</v>
      </c>
    </row>
    <row r="4806" ht="15.75" customHeight="1">
      <c r="O4806" s="4" t="s">
        <v>6083</v>
      </c>
    </row>
    <row r="4807" ht="15.75" customHeight="1">
      <c r="O4807" s="4" t="s">
        <v>6084</v>
      </c>
    </row>
    <row r="4808" ht="15.75" customHeight="1">
      <c r="O4808" s="4" t="s">
        <v>6085</v>
      </c>
    </row>
    <row r="4809" ht="15.75" customHeight="1">
      <c r="O4809" s="4" t="s">
        <v>6086</v>
      </c>
    </row>
    <row r="4810" ht="15.75" customHeight="1">
      <c r="O4810" s="4" t="s">
        <v>6087</v>
      </c>
    </row>
    <row r="4811" ht="15.75" customHeight="1">
      <c r="O4811" s="4" t="s">
        <v>6088</v>
      </c>
    </row>
    <row r="4812" ht="15.75" customHeight="1">
      <c r="O4812" s="4" t="s">
        <v>6089</v>
      </c>
    </row>
    <row r="4813" ht="15.75" customHeight="1">
      <c r="O4813" s="4" t="s">
        <v>6090</v>
      </c>
    </row>
    <row r="4814" ht="15.75" customHeight="1">
      <c r="O4814" s="4" t="s">
        <v>6091</v>
      </c>
    </row>
    <row r="4815" ht="15.75" customHeight="1">
      <c r="O4815" s="4" t="s">
        <v>6092</v>
      </c>
    </row>
    <row r="4816" ht="15.75" customHeight="1">
      <c r="O4816" s="4" t="s">
        <v>6093</v>
      </c>
    </row>
    <row r="4817" ht="15.75" customHeight="1">
      <c r="O4817" s="4" t="s">
        <v>6094</v>
      </c>
    </row>
    <row r="4818" ht="15.75" customHeight="1">
      <c r="O4818" s="4" t="s">
        <v>6095</v>
      </c>
    </row>
    <row r="4819" ht="15.75" customHeight="1">
      <c r="O4819" s="4" t="s">
        <v>6096</v>
      </c>
    </row>
    <row r="4820" ht="15.75" customHeight="1">
      <c r="O4820" s="4" t="s">
        <v>6097</v>
      </c>
    </row>
    <row r="4821" ht="15.75" customHeight="1">
      <c r="O4821" s="4" t="s">
        <v>6098</v>
      </c>
    </row>
    <row r="4822" ht="15.75" customHeight="1">
      <c r="O4822" s="4" t="s">
        <v>6099</v>
      </c>
    </row>
    <row r="4823" ht="15.75" customHeight="1">
      <c r="O4823" s="4" t="s">
        <v>6100</v>
      </c>
    </row>
    <row r="4824" ht="15.75" customHeight="1">
      <c r="O4824" s="4" t="s">
        <v>6101</v>
      </c>
    </row>
    <row r="4825" ht="15.75" customHeight="1">
      <c r="O4825" s="4" t="s">
        <v>6102</v>
      </c>
    </row>
    <row r="4826" ht="15.75" customHeight="1">
      <c r="O4826" s="4" t="s">
        <v>6103</v>
      </c>
    </row>
    <row r="4827" ht="15.75" customHeight="1">
      <c r="O4827" s="4" t="s">
        <v>6104</v>
      </c>
    </row>
    <row r="4828" ht="15.75" customHeight="1">
      <c r="O4828" s="4" t="s">
        <v>6105</v>
      </c>
    </row>
    <row r="4829" ht="15.75" customHeight="1">
      <c r="O4829" s="4" t="s">
        <v>6106</v>
      </c>
    </row>
    <row r="4830" ht="15.75" customHeight="1">
      <c r="O4830" s="4" t="s">
        <v>6107</v>
      </c>
    </row>
    <row r="4831" ht="15.75" customHeight="1">
      <c r="O4831" s="4" t="s">
        <v>6108</v>
      </c>
    </row>
    <row r="4832" ht="15.75" customHeight="1">
      <c r="O4832" s="4" t="s">
        <v>6109</v>
      </c>
    </row>
    <row r="4833" ht="15.75" customHeight="1">
      <c r="O4833" s="4" t="s">
        <v>6110</v>
      </c>
    </row>
    <row r="4834" ht="15.75" customHeight="1">
      <c r="O4834" s="4" t="s">
        <v>6111</v>
      </c>
    </row>
    <row r="4835" ht="15.75" customHeight="1">
      <c r="O4835" s="4" t="s">
        <v>6112</v>
      </c>
    </row>
    <row r="4836" ht="15.75" customHeight="1">
      <c r="O4836" s="4" t="s">
        <v>6113</v>
      </c>
    </row>
    <row r="4837" ht="15.75" customHeight="1">
      <c r="O4837" s="4" t="s">
        <v>6114</v>
      </c>
    </row>
    <row r="4838" ht="15.75" customHeight="1">
      <c r="O4838" s="4" t="s">
        <v>6115</v>
      </c>
    </row>
    <row r="4839" ht="15.75" customHeight="1">
      <c r="O4839" s="4" t="s">
        <v>6116</v>
      </c>
    </row>
    <row r="4840" ht="15.75" customHeight="1">
      <c r="O4840" s="4" t="s">
        <v>6117</v>
      </c>
    </row>
    <row r="4841" ht="15.75" customHeight="1">
      <c r="O4841" s="4" t="s">
        <v>6118</v>
      </c>
    </row>
    <row r="4842" ht="15.75" customHeight="1">
      <c r="O4842" s="4" t="s">
        <v>6119</v>
      </c>
    </row>
    <row r="4843" ht="15.75" customHeight="1">
      <c r="O4843" s="4" t="s">
        <v>6120</v>
      </c>
    </row>
    <row r="4844" ht="15.75" customHeight="1">
      <c r="O4844" s="4" t="s">
        <v>6121</v>
      </c>
    </row>
    <row r="4845" ht="15.75" customHeight="1">
      <c r="O4845" s="4" t="s">
        <v>6122</v>
      </c>
    </row>
    <row r="4846" ht="15.75" customHeight="1">
      <c r="O4846" s="4" t="s">
        <v>6123</v>
      </c>
    </row>
    <row r="4847" ht="15.75" customHeight="1">
      <c r="O4847" s="4" t="s">
        <v>6124</v>
      </c>
    </row>
    <row r="4848" ht="15.75" customHeight="1">
      <c r="O4848" s="4" t="s">
        <v>6125</v>
      </c>
    </row>
    <row r="4849" ht="15.75" customHeight="1">
      <c r="O4849" s="4" t="s">
        <v>6126</v>
      </c>
    </row>
    <row r="4850" ht="15.75" customHeight="1">
      <c r="O4850" s="4" t="s">
        <v>6127</v>
      </c>
    </row>
    <row r="4851" ht="15.75" customHeight="1">
      <c r="O4851" s="4" t="s">
        <v>6128</v>
      </c>
    </row>
    <row r="4852" ht="15.75" customHeight="1">
      <c r="O4852" s="4" t="s">
        <v>6129</v>
      </c>
    </row>
    <row r="4853" ht="15.75" customHeight="1">
      <c r="O4853" s="4" t="s">
        <v>6130</v>
      </c>
    </row>
    <row r="4854" ht="15.75" customHeight="1">
      <c r="O4854" s="4" t="s">
        <v>6131</v>
      </c>
    </row>
    <row r="4855" ht="15.75" customHeight="1">
      <c r="O4855" s="4" t="s">
        <v>6132</v>
      </c>
    </row>
    <row r="4856" ht="15.75" customHeight="1">
      <c r="O4856" s="4" t="s">
        <v>6133</v>
      </c>
    </row>
    <row r="4857" ht="15.75" customHeight="1">
      <c r="O4857" s="4" t="s">
        <v>6134</v>
      </c>
    </row>
    <row r="4858" ht="15.75" customHeight="1">
      <c r="O4858" s="4" t="s">
        <v>6135</v>
      </c>
    </row>
    <row r="4859" ht="15.75" customHeight="1">
      <c r="O4859" s="4" t="s">
        <v>6136</v>
      </c>
    </row>
    <row r="4860" ht="15.75" customHeight="1">
      <c r="O4860" s="4" t="s">
        <v>6137</v>
      </c>
    </row>
    <row r="4861" ht="15.75" customHeight="1">
      <c r="O4861" s="4" t="s">
        <v>6138</v>
      </c>
    </row>
    <row r="4862" ht="15.75" customHeight="1">
      <c r="O4862" s="4" t="s">
        <v>6139</v>
      </c>
    </row>
    <row r="4863" ht="15.75" customHeight="1">
      <c r="O4863" s="4" t="s">
        <v>6140</v>
      </c>
    </row>
    <row r="4864" ht="15.75" customHeight="1">
      <c r="O4864" s="4" t="s">
        <v>6141</v>
      </c>
    </row>
    <row r="4865" ht="15.75" customHeight="1">
      <c r="O4865" s="4" t="s">
        <v>6142</v>
      </c>
    </row>
    <row r="4866" ht="15.75" customHeight="1">
      <c r="O4866" s="4" t="s">
        <v>6143</v>
      </c>
    </row>
    <row r="4867" ht="15.75" customHeight="1">
      <c r="O4867" s="4" t="s">
        <v>6144</v>
      </c>
    </row>
    <row r="4868" ht="15.75" customHeight="1">
      <c r="O4868" s="4" t="s">
        <v>6145</v>
      </c>
    </row>
    <row r="4869" ht="15.75" customHeight="1">
      <c r="O4869" s="4" t="s">
        <v>6146</v>
      </c>
    </row>
    <row r="4870" ht="15.75" customHeight="1">
      <c r="O4870" s="4" t="s">
        <v>6147</v>
      </c>
    </row>
    <row r="4871" ht="15.75" customHeight="1">
      <c r="O4871" s="4" t="s">
        <v>6148</v>
      </c>
    </row>
    <row r="4872" ht="15.75" customHeight="1">
      <c r="O4872" s="4" t="s">
        <v>6149</v>
      </c>
    </row>
    <row r="4873" ht="15.75" customHeight="1">
      <c r="O4873" s="4" t="s">
        <v>6150</v>
      </c>
    </row>
    <row r="4874" ht="15.75" customHeight="1">
      <c r="O4874" s="4" t="s">
        <v>6151</v>
      </c>
    </row>
    <row r="4875" ht="15.75" customHeight="1">
      <c r="O4875" s="4" t="s">
        <v>6152</v>
      </c>
    </row>
    <row r="4876" ht="15.75" customHeight="1">
      <c r="O4876" s="4" t="s">
        <v>6153</v>
      </c>
    </row>
    <row r="4877" ht="15.75" customHeight="1">
      <c r="O4877" s="4" t="s">
        <v>6154</v>
      </c>
    </row>
    <row r="4878" ht="15.75" customHeight="1">
      <c r="O4878" s="4" t="s">
        <v>6155</v>
      </c>
    </row>
    <row r="4879" ht="15.75" customHeight="1">
      <c r="O4879" s="4" t="s">
        <v>6156</v>
      </c>
    </row>
    <row r="4880" ht="15.75" customHeight="1">
      <c r="O4880" s="4" t="s">
        <v>6157</v>
      </c>
    </row>
    <row r="4881" ht="15.75" customHeight="1">
      <c r="O4881" s="4" t="s">
        <v>6158</v>
      </c>
    </row>
    <row r="4882" ht="15.75" customHeight="1">
      <c r="O4882" s="4" t="s">
        <v>6159</v>
      </c>
    </row>
    <row r="4883" ht="15.75" customHeight="1">
      <c r="O4883" s="4" t="s">
        <v>6160</v>
      </c>
    </row>
    <row r="4884" ht="15.75" customHeight="1">
      <c r="O4884" s="4" t="s">
        <v>6161</v>
      </c>
    </row>
    <row r="4885" ht="15.75" customHeight="1">
      <c r="O4885" s="4" t="s">
        <v>6162</v>
      </c>
    </row>
    <row r="4886" ht="15.75" customHeight="1">
      <c r="O4886" s="4" t="s">
        <v>6163</v>
      </c>
    </row>
    <row r="4887" ht="15.75" customHeight="1">
      <c r="O4887" s="4" t="s">
        <v>6164</v>
      </c>
    </row>
    <row r="4888" ht="15.75" customHeight="1">
      <c r="O4888" s="4" t="s">
        <v>6165</v>
      </c>
    </row>
    <row r="4889" ht="15.75" customHeight="1">
      <c r="O4889" s="4" t="s">
        <v>6166</v>
      </c>
    </row>
    <row r="4890" ht="15.75" customHeight="1">
      <c r="O4890" s="4" t="s">
        <v>6167</v>
      </c>
    </row>
    <row r="4891" ht="15.75" customHeight="1">
      <c r="O4891" s="4" t="s">
        <v>6168</v>
      </c>
    </row>
    <row r="4892" ht="15.75" customHeight="1">
      <c r="O4892" s="4" t="s">
        <v>6169</v>
      </c>
    </row>
    <row r="4893" ht="15.75" customHeight="1">
      <c r="O4893" s="4" t="s">
        <v>6170</v>
      </c>
    </row>
    <row r="4894" ht="15.75" customHeight="1">
      <c r="O4894" s="4" t="s">
        <v>6171</v>
      </c>
    </row>
    <row r="4895" ht="15.75" customHeight="1">
      <c r="O4895" s="4" t="s">
        <v>6172</v>
      </c>
    </row>
    <row r="4896" ht="15.75" customHeight="1">
      <c r="O4896" s="4" t="s">
        <v>6173</v>
      </c>
    </row>
    <row r="4897" ht="15.75" customHeight="1">
      <c r="O4897" s="4" t="s">
        <v>6174</v>
      </c>
    </row>
    <row r="4898" ht="15.75" customHeight="1">
      <c r="O4898" s="4" t="s">
        <v>6175</v>
      </c>
    </row>
    <row r="4899" ht="15.75" customHeight="1">
      <c r="O4899" s="4" t="s">
        <v>6176</v>
      </c>
    </row>
    <row r="4900" ht="15.75" customHeight="1">
      <c r="O4900" s="4" t="s">
        <v>6177</v>
      </c>
    </row>
    <row r="4901" ht="15.75" customHeight="1">
      <c r="O4901" s="4" t="s">
        <v>6178</v>
      </c>
    </row>
    <row r="4902" ht="15.75" customHeight="1">
      <c r="O4902" s="4" t="s">
        <v>6179</v>
      </c>
    </row>
    <row r="4903" ht="15.75" customHeight="1">
      <c r="O4903" s="4" t="s">
        <v>6180</v>
      </c>
    </row>
    <row r="4904" ht="15.75" customHeight="1">
      <c r="O4904" s="4" t="s">
        <v>6181</v>
      </c>
    </row>
    <row r="4905" ht="15.75" customHeight="1">
      <c r="O4905" s="4" t="s">
        <v>6182</v>
      </c>
    </row>
    <row r="4906" ht="15.75" customHeight="1">
      <c r="O4906" s="4" t="s">
        <v>6183</v>
      </c>
    </row>
    <row r="4907" ht="15.75" customHeight="1">
      <c r="O4907" s="4" t="s">
        <v>6184</v>
      </c>
    </row>
    <row r="4908" ht="15.75" customHeight="1">
      <c r="O4908" s="4" t="s">
        <v>6185</v>
      </c>
    </row>
    <row r="4909" ht="15.75" customHeight="1">
      <c r="O4909" s="4" t="s">
        <v>6186</v>
      </c>
    </row>
    <row r="4910" ht="15.75" customHeight="1">
      <c r="O4910" s="4" t="s">
        <v>6187</v>
      </c>
    </row>
    <row r="4911" ht="15.75" customHeight="1">
      <c r="O4911" s="4" t="s">
        <v>6188</v>
      </c>
    </row>
    <row r="4912" ht="15.75" customHeight="1">
      <c r="O4912" s="4" t="s">
        <v>6189</v>
      </c>
    </row>
    <row r="4913" ht="15.75" customHeight="1">
      <c r="O4913" s="4" t="s">
        <v>6190</v>
      </c>
    </row>
    <row r="4914" ht="15.75" customHeight="1">
      <c r="O4914" s="4" t="s">
        <v>6191</v>
      </c>
    </row>
    <row r="4915" ht="15.75" customHeight="1">
      <c r="O4915" s="4" t="s">
        <v>6192</v>
      </c>
    </row>
    <row r="4916" ht="15.75" customHeight="1">
      <c r="O4916" s="4" t="s">
        <v>6193</v>
      </c>
    </row>
    <row r="4917" ht="15.75" customHeight="1">
      <c r="O4917" s="4" t="s">
        <v>6194</v>
      </c>
    </row>
    <row r="4918" ht="15.75" customHeight="1">
      <c r="O4918" s="4" t="s">
        <v>6195</v>
      </c>
    </row>
    <row r="4919" ht="15.75" customHeight="1">
      <c r="O4919" s="4" t="s">
        <v>6196</v>
      </c>
    </row>
    <row r="4920" ht="15.75" customHeight="1">
      <c r="O4920" s="4" t="s">
        <v>6197</v>
      </c>
    </row>
    <row r="4921" ht="15.75" customHeight="1">
      <c r="O4921" s="4" t="s">
        <v>6198</v>
      </c>
    </row>
    <row r="4922" ht="15.75" customHeight="1">
      <c r="O4922" s="4" t="s">
        <v>6199</v>
      </c>
    </row>
    <row r="4923" ht="15.75" customHeight="1">
      <c r="O4923" s="4" t="s">
        <v>6200</v>
      </c>
    </row>
    <row r="4924" ht="15.75" customHeight="1">
      <c r="O4924" s="4" t="s">
        <v>6201</v>
      </c>
    </row>
    <row r="4925" ht="15.75" customHeight="1">
      <c r="O4925" s="4" t="s">
        <v>6202</v>
      </c>
    </row>
    <row r="4926" ht="15.75" customHeight="1">
      <c r="O4926" s="4" t="s">
        <v>6203</v>
      </c>
    </row>
    <row r="4927" ht="15.75" customHeight="1">
      <c r="O4927" s="4" t="s">
        <v>6204</v>
      </c>
    </row>
    <row r="4928" ht="15.75" customHeight="1">
      <c r="O4928" s="4" t="s">
        <v>6205</v>
      </c>
    </row>
    <row r="4929" ht="15.75" customHeight="1">
      <c r="O4929" s="4" t="s">
        <v>6206</v>
      </c>
    </row>
    <row r="4930" ht="15.75" customHeight="1">
      <c r="O4930" s="4" t="s">
        <v>6207</v>
      </c>
    </row>
    <row r="4931" ht="15.75" customHeight="1">
      <c r="O4931" s="4" t="s">
        <v>6208</v>
      </c>
    </row>
    <row r="4932" ht="15.75" customHeight="1">
      <c r="O4932" s="4" t="s">
        <v>6209</v>
      </c>
    </row>
    <row r="4933" ht="15.75" customHeight="1">
      <c r="O4933" s="4" t="s">
        <v>6210</v>
      </c>
    </row>
    <row r="4934" ht="15.75" customHeight="1">
      <c r="O4934" s="4" t="s">
        <v>6211</v>
      </c>
    </row>
    <row r="4935" ht="15.75" customHeight="1">
      <c r="O4935" s="4" t="s">
        <v>6212</v>
      </c>
    </row>
    <row r="4936" ht="15.75" customHeight="1">
      <c r="O4936" s="4" t="s">
        <v>6213</v>
      </c>
    </row>
    <row r="4937" ht="15.75" customHeight="1">
      <c r="O4937" s="4" t="s">
        <v>6214</v>
      </c>
    </row>
    <row r="4938" ht="15.75" customHeight="1">
      <c r="O4938" s="4" t="s">
        <v>6215</v>
      </c>
    </row>
    <row r="4939" ht="15.75" customHeight="1">
      <c r="O4939" s="4" t="s">
        <v>6216</v>
      </c>
    </row>
    <row r="4940" ht="15.75" customHeight="1">
      <c r="O4940" s="4" t="s">
        <v>6217</v>
      </c>
    </row>
    <row r="4941" ht="15.75" customHeight="1">
      <c r="O4941" s="4" t="s">
        <v>6218</v>
      </c>
    </row>
    <row r="4942" ht="15.75" customHeight="1">
      <c r="O4942" s="4" t="s">
        <v>6219</v>
      </c>
    </row>
    <row r="4943" ht="15.75" customHeight="1">
      <c r="O4943" s="4" t="s">
        <v>6220</v>
      </c>
    </row>
    <row r="4944" ht="15.75" customHeight="1">
      <c r="O4944" s="4" t="s">
        <v>6221</v>
      </c>
    </row>
    <row r="4945" ht="15.75" customHeight="1">
      <c r="O4945" s="4" t="s">
        <v>6222</v>
      </c>
    </row>
    <row r="4946" ht="15.75" customHeight="1">
      <c r="O4946" s="4" t="s">
        <v>6223</v>
      </c>
    </row>
    <row r="4947" ht="15.75" customHeight="1">
      <c r="O4947" s="4" t="s">
        <v>6224</v>
      </c>
    </row>
    <row r="4948" ht="15.75" customHeight="1">
      <c r="O4948" s="4" t="s">
        <v>6225</v>
      </c>
    </row>
    <row r="4949" ht="15.75" customHeight="1">
      <c r="O4949" s="4" t="s">
        <v>6226</v>
      </c>
    </row>
    <row r="4950" ht="15.75" customHeight="1">
      <c r="O4950" s="4" t="s">
        <v>6227</v>
      </c>
    </row>
    <row r="4951" ht="15.75" customHeight="1">
      <c r="O4951" s="4" t="s">
        <v>6228</v>
      </c>
    </row>
    <row r="4952" ht="15.75" customHeight="1">
      <c r="O4952" s="4" t="s">
        <v>6229</v>
      </c>
    </row>
    <row r="4953" ht="15.75" customHeight="1">
      <c r="O4953" s="4" t="s">
        <v>6230</v>
      </c>
    </row>
    <row r="4954" ht="15.75" customHeight="1">
      <c r="O4954" s="4" t="s">
        <v>6231</v>
      </c>
    </row>
    <row r="4955" ht="15.75" customHeight="1">
      <c r="O4955" s="4" t="s">
        <v>6232</v>
      </c>
    </row>
    <row r="4956" ht="15.75" customHeight="1">
      <c r="O4956" s="4" t="s">
        <v>6233</v>
      </c>
    </row>
    <row r="4957" ht="15.75" customHeight="1">
      <c r="O4957" s="4" t="s">
        <v>6234</v>
      </c>
    </row>
    <row r="4958" ht="15.75" customHeight="1">
      <c r="O4958" s="4" t="s">
        <v>6235</v>
      </c>
    </row>
    <row r="4959" ht="15.75" customHeight="1">
      <c r="O4959" s="4" t="s">
        <v>6236</v>
      </c>
    </row>
    <row r="4960" ht="15.75" customHeight="1">
      <c r="O4960" s="4" t="s">
        <v>6237</v>
      </c>
    </row>
    <row r="4961" ht="15.75" customHeight="1">
      <c r="O4961" s="4" t="s">
        <v>6238</v>
      </c>
    </row>
    <row r="4962" ht="15.75" customHeight="1">
      <c r="O4962" s="4" t="s">
        <v>6239</v>
      </c>
    </row>
    <row r="4963" ht="15.75" customHeight="1">
      <c r="O4963" s="4" t="s">
        <v>6240</v>
      </c>
    </row>
    <row r="4964" ht="15.75" customHeight="1">
      <c r="O4964" s="4" t="s">
        <v>6241</v>
      </c>
    </row>
    <row r="4965" ht="15.75" customHeight="1">
      <c r="O4965" s="4" t="s">
        <v>6242</v>
      </c>
    </row>
    <row r="4966" ht="15.75" customHeight="1">
      <c r="O4966" s="4" t="s">
        <v>6243</v>
      </c>
    </row>
    <row r="4967" ht="15.75" customHeight="1">
      <c r="O4967" s="4" t="s">
        <v>6244</v>
      </c>
    </row>
    <row r="4968" ht="15.75" customHeight="1">
      <c r="O4968" s="4" t="s">
        <v>6245</v>
      </c>
    </row>
    <row r="4969" ht="15.75" customHeight="1">
      <c r="O4969" s="4" t="s">
        <v>6246</v>
      </c>
    </row>
    <row r="4970" ht="15.75" customHeight="1">
      <c r="O4970" s="4" t="s">
        <v>6247</v>
      </c>
    </row>
    <row r="4971" ht="15.75" customHeight="1">
      <c r="O4971" s="4" t="s">
        <v>6248</v>
      </c>
    </row>
    <row r="4972" ht="15.75" customHeight="1">
      <c r="O4972" s="4" t="s">
        <v>6249</v>
      </c>
    </row>
    <row r="4973" ht="15.75" customHeight="1">
      <c r="O4973" s="4" t="s">
        <v>6250</v>
      </c>
    </row>
    <row r="4974" ht="15.75" customHeight="1">
      <c r="O4974" s="4" t="s">
        <v>6251</v>
      </c>
    </row>
    <row r="4975" ht="15.75" customHeight="1">
      <c r="O4975" s="4" t="s">
        <v>6252</v>
      </c>
    </row>
    <row r="4976" ht="15.75" customHeight="1">
      <c r="O4976" s="4" t="s">
        <v>6253</v>
      </c>
    </row>
    <row r="4977" ht="15.75" customHeight="1">
      <c r="O4977" s="4" t="s">
        <v>6254</v>
      </c>
    </row>
    <row r="4978" ht="15.75" customHeight="1">
      <c r="O4978" s="4" t="s">
        <v>6255</v>
      </c>
    </row>
    <row r="4979" ht="15.75" customHeight="1">
      <c r="O4979" s="4" t="s">
        <v>6256</v>
      </c>
    </row>
    <row r="4980" ht="15.75" customHeight="1">
      <c r="O4980" s="4" t="s">
        <v>6257</v>
      </c>
    </row>
    <row r="4981" ht="15.75" customHeight="1">
      <c r="O4981" s="4" t="s">
        <v>6258</v>
      </c>
    </row>
    <row r="4982" ht="15.75" customHeight="1">
      <c r="O4982" s="4" t="s">
        <v>6259</v>
      </c>
    </row>
    <row r="4983" ht="15.75" customHeight="1">
      <c r="O4983" s="4" t="s">
        <v>6260</v>
      </c>
    </row>
    <row r="4984" ht="15.75" customHeight="1">
      <c r="O4984" s="4" t="s">
        <v>6261</v>
      </c>
    </row>
    <row r="4985" ht="15.75" customHeight="1">
      <c r="O4985" s="4" t="s">
        <v>6262</v>
      </c>
    </row>
    <row r="4986" ht="15.75" customHeight="1">
      <c r="O4986" s="4" t="s">
        <v>6263</v>
      </c>
    </row>
    <row r="4987" ht="15.75" customHeight="1">
      <c r="O4987" s="4" t="s">
        <v>6264</v>
      </c>
    </row>
    <row r="4988" ht="15.75" customHeight="1">
      <c r="O4988" s="4" t="s">
        <v>6265</v>
      </c>
    </row>
    <row r="4989" ht="15.75" customHeight="1">
      <c r="O4989" s="4" t="s">
        <v>6266</v>
      </c>
    </row>
    <row r="4990" ht="15.75" customHeight="1">
      <c r="O4990" s="4" t="s">
        <v>6267</v>
      </c>
    </row>
    <row r="4991" ht="15.75" customHeight="1">
      <c r="O4991" s="4" t="s">
        <v>6268</v>
      </c>
    </row>
    <row r="4992" ht="15.75" customHeight="1">
      <c r="O4992" s="4" t="s">
        <v>6269</v>
      </c>
    </row>
    <row r="4993" ht="15.75" customHeight="1">
      <c r="O4993" s="4" t="s">
        <v>6270</v>
      </c>
    </row>
    <row r="4994" ht="15.75" customHeight="1">
      <c r="O4994" s="4" t="s">
        <v>6271</v>
      </c>
    </row>
    <row r="4995" ht="15.75" customHeight="1">
      <c r="O4995" s="4" t="s">
        <v>6272</v>
      </c>
    </row>
    <row r="4996" ht="15.75" customHeight="1">
      <c r="O4996" s="4" t="s">
        <v>6273</v>
      </c>
    </row>
    <row r="4997" ht="15.75" customHeight="1">
      <c r="O4997" s="4" t="s">
        <v>6274</v>
      </c>
    </row>
    <row r="4998" ht="15.75" customHeight="1">
      <c r="O4998" s="4" t="s">
        <v>6275</v>
      </c>
    </row>
    <row r="4999" ht="15.75" customHeight="1">
      <c r="O4999" s="4" t="s">
        <v>6276</v>
      </c>
    </row>
    <row r="5000" ht="15.75" customHeight="1">
      <c r="O5000" s="4" t="s">
        <v>6277</v>
      </c>
    </row>
    <row r="5001" ht="15.75" customHeight="1">
      <c r="O5001" s="4" t="s">
        <v>6278</v>
      </c>
    </row>
    <row r="5002" ht="15.75" customHeight="1">
      <c r="O5002" s="4" t="s">
        <v>6279</v>
      </c>
    </row>
    <row r="5003" ht="15.75" customHeight="1">
      <c r="O5003" s="4" t="s">
        <v>6280</v>
      </c>
    </row>
    <row r="5004" ht="15.75" customHeight="1">
      <c r="O5004" s="4" t="s">
        <v>6281</v>
      </c>
    </row>
    <row r="5005" ht="15.75" customHeight="1">
      <c r="O5005" s="4" t="s">
        <v>6282</v>
      </c>
    </row>
    <row r="5006" ht="15.75" customHeight="1">
      <c r="O5006" s="4" t="s">
        <v>6283</v>
      </c>
    </row>
    <row r="5007" ht="15.75" customHeight="1">
      <c r="O5007" s="4" t="s">
        <v>6284</v>
      </c>
    </row>
    <row r="5008" ht="15.75" customHeight="1">
      <c r="O5008" s="4" t="s">
        <v>6285</v>
      </c>
    </row>
    <row r="5009" ht="15.75" customHeight="1">
      <c r="O5009" s="4" t="s">
        <v>6286</v>
      </c>
    </row>
    <row r="5010" ht="15.75" customHeight="1">
      <c r="O5010" s="4" t="s">
        <v>6287</v>
      </c>
    </row>
    <row r="5011" ht="15.75" customHeight="1">
      <c r="O5011" s="4" t="s">
        <v>6288</v>
      </c>
    </row>
    <row r="5012" ht="15.75" customHeight="1">
      <c r="O5012" s="4" t="s">
        <v>6289</v>
      </c>
    </row>
    <row r="5013" ht="15.75" customHeight="1">
      <c r="O5013" s="4" t="s">
        <v>6290</v>
      </c>
    </row>
    <row r="5014" ht="15.75" customHeight="1">
      <c r="O5014" s="4" t="s">
        <v>6291</v>
      </c>
    </row>
    <row r="5015" ht="15.75" customHeight="1">
      <c r="O5015" s="4" t="s">
        <v>6292</v>
      </c>
    </row>
    <row r="5016" ht="15.75" customHeight="1">
      <c r="O5016" s="4" t="s">
        <v>6293</v>
      </c>
    </row>
    <row r="5017" ht="15.75" customHeight="1">
      <c r="O5017" s="4" t="s">
        <v>6294</v>
      </c>
    </row>
    <row r="5018" ht="15.75" customHeight="1">
      <c r="O5018" s="4" t="s">
        <v>6295</v>
      </c>
    </row>
    <row r="5019" ht="15.75" customHeight="1">
      <c r="O5019" s="4" t="s">
        <v>6296</v>
      </c>
    </row>
    <row r="5020" ht="15.75" customHeight="1">
      <c r="O5020" s="4" t="s">
        <v>6297</v>
      </c>
    </row>
    <row r="5021" ht="15.75" customHeight="1">
      <c r="O5021" s="4" t="s">
        <v>6298</v>
      </c>
    </row>
    <row r="5022" ht="15.75" customHeight="1">
      <c r="O5022" s="4" t="s">
        <v>6299</v>
      </c>
    </row>
    <row r="5023" ht="15.75" customHeight="1">
      <c r="O5023" s="4" t="s">
        <v>6300</v>
      </c>
    </row>
    <row r="5024" ht="15.75" customHeight="1">
      <c r="O5024" s="4" t="s">
        <v>6301</v>
      </c>
    </row>
    <row r="5025" ht="15.75" customHeight="1">
      <c r="O5025" s="4" t="s">
        <v>6302</v>
      </c>
    </row>
    <row r="5026" ht="15.75" customHeight="1">
      <c r="O5026" s="4" t="s">
        <v>6303</v>
      </c>
    </row>
    <row r="5027" ht="15.75" customHeight="1">
      <c r="O5027" s="4" t="s">
        <v>6304</v>
      </c>
    </row>
    <row r="5028" ht="15.75" customHeight="1">
      <c r="O5028" s="4" t="s">
        <v>6305</v>
      </c>
    </row>
    <row r="5029" ht="15.75" customHeight="1">
      <c r="O5029" s="4" t="s">
        <v>6306</v>
      </c>
    </row>
    <row r="5030" ht="15.75" customHeight="1">
      <c r="O5030" s="4" t="s">
        <v>6307</v>
      </c>
    </row>
    <row r="5031" ht="15.75" customHeight="1">
      <c r="O5031" s="4" t="s">
        <v>6308</v>
      </c>
    </row>
    <row r="5032" ht="15.75" customHeight="1">
      <c r="O5032" s="4" t="s">
        <v>6309</v>
      </c>
    </row>
    <row r="5033" ht="15.75" customHeight="1">
      <c r="O5033" s="4" t="s">
        <v>6310</v>
      </c>
    </row>
    <row r="5034" ht="15.75" customHeight="1">
      <c r="O5034" s="4" t="s">
        <v>6311</v>
      </c>
    </row>
    <row r="5035" ht="15.75" customHeight="1">
      <c r="O5035" s="4" t="s">
        <v>6312</v>
      </c>
    </row>
    <row r="5036" ht="15.75" customHeight="1">
      <c r="O5036" s="4" t="s">
        <v>6313</v>
      </c>
    </row>
    <row r="5037" ht="15.75" customHeight="1">
      <c r="O5037" s="4" t="s">
        <v>6314</v>
      </c>
    </row>
    <row r="5038" ht="15.75" customHeight="1">
      <c r="O5038" s="4" t="s">
        <v>6315</v>
      </c>
    </row>
    <row r="5039" ht="15.75" customHeight="1">
      <c r="O5039" s="4" t="s">
        <v>6316</v>
      </c>
    </row>
    <row r="5040" ht="15.75" customHeight="1">
      <c r="O5040" s="4" t="s">
        <v>6317</v>
      </c>
    </row>
    <row r="5041" ht="15.75" customHeight="1">
      <c r="O5041" s="4" t="s">
        <v>6318</v>
      </c>
    </row>
    <row r="5042" ht="15.75" customHeight="1">
      <c r="O5042" s="4" t="s">
        <v>6319</v>
      </c>
    </row>
    <row r="5043" ht="15.75" customHeight="1">
      <c r="O5043" s="4" t="s">
        <v>6320</v>
      </c>
    </row>
    <row r="5044" ht="15.75" customHeight="1">
      <c r="O5044" s="4" t="s">
        <v>6321</v>
      </c>
    </row>
    <row r="5045" ht="15.75" customHeight="1">
      <c r="O5045" s="4" t="s">
        <v>6322</v>
      </c>
    </row>
    <row r="5046" ht="15.75" customHeight="1">
      <c r="O5046" s="4" t="s">
        <v>6323</v>
      </c>
    </row>
    <row r="5047" ht="15.75" customHeight="1">
      <c r="O5047" s="4" t="s">
        <v>6324</v>
      </c>
    </row>
    <row r="5048" ht="15.75" customHeight="1">
      <c r="O5048" s="4" t="s">
        <v>6325</v>
      </c>
    </row>
    <row r="5049" ht="15.75" customHeight="1">
      <c r="O5049" s="4" t="s">
        <v>6326</v>
      </c>
    </row>
    <row r="5050" ht="15.75" customHeight="1">
      <c r="O5050" s="4" t="s">
        <v>6327</v>
      </c>
    </row>
    <row r="5051" ht="15.75" customHeight="1">
      <c r="O5051" s="4" t="s">
        <v>6328</v>
      </c>
    </row>
    <row r="5052" ht="15.75" customHeight="1">
      <c r="O5052" s="4" t="s">
        <v>6329</v>
      </c>
    </row>
    <row r="5053" ht="15.75" customHeight="1">
      <c r="O5053" s="4" t="s">
        <v>6330</v>
      </c>
    </row>
    <row r="5054" ht="15.75" customHeight="1">
      <c r="O5054" s="4" t="s">
        <v>6331</v>
      </c>
    </row>
    <row r="5055" ht="15.75" customHeight="1">
      <c r="O5055" s="4" t="s">
        <v>6332</v>
      </c>
    </row>
    <row r="5056" ht="15.75" customHeight="1">
      <c r="O5056" s="4" t="s">
        <v>6333</v>
      </c>
    </row>
    <row r="5057" ht="15.75" customHeight="1">
      <c r="O5057" s="4" t="s">
        <v>6334</v>
      </c>
    </row>
    <row r="5058" ht="15.75" customHeight="1">
      <c r="O5058" s="4" t="s">
        <v>6335</v>
      </c>
    </row>
    <row r="5059" ht="15.75" customHeight="1">
      <c r="O5059" s="4" t="s">
        <v>6336</v>
      </c>
    </row>
    <row r="5060" ht="15.75" customHeight="1">
      <c r="O5060" s="4" t="s">
        <v>6337</v>
      </c>
    </row>
    <row r="5061" ht="15.75" customHeight="1">
      <c r="O5061" s="4" t="s">
        <v>6338</v>
      </c>
    </row>
    <row r="5062" ht="15.75" customHeight="1">
      <c r="O5062" s="4" t="s">
        <v>6339</v>
      </c>
    </row>
    <row r="5063" ht="15.75" customHeight="1">
      <c r="O5063" s="4" t="s">
        <v>6340</v>
      </c>
    </row>
    <row r="5064" ht="15.75" customHeight="1">
      <c r="O5064" s="4" t="s">
        <v>6341</v>
      </c>
    </row>
    <row r="5065" ht="15.75" customHeight="1">
      <c r="O5065" s="4" t="s">
        <v>6342</v>
      </c>
    </row>
    <row r="5066" ht="15.75" customHeight="1">
      <c r="O5066" s="4" t="s">
        <v>6343</v>
      </c>
    </row>
    <row r="5067" ht="15.75" customHeight="1">
      <c r="O5067" s="4" t="s">
        <v>6344</v>
      </c>
    </row>
    <row r="5068" ht="15.75" customHeight="1">
      <c r="O5068" s="4" t="s">
        <v>6345</v>
      </c>
    </row>
    <row r="5069" ht="15.75" customHeight="1">
      <c r="O5069" s="4" t="s">
        <v>6346</v>
      </c>
    </row>
    <row r="5070" ht="15.75" customHeight="1">
      <c r="O5070" s="4" t="s">
        <v>6347</v>
      </c>
    </row>
    <row r="5071" ht="15.75" customHeight="1">
      <c r="O5071" s="4" t="s">
        <v>6348</v>
      </c>
    </row>
    <row r="5072" ht="15.75" customHeight="1">
      <c r="O5072" s="4" t="s">
        <v>6349</v>
      </c>
    </row>
    <row r="5073" ht="15.75" customHeight="1">
      <c r="O5073" s="4" t="s">
        <v>6350</v>
      </c>
    </row>
    <row r="5074" ht="15.75" customHeight="1">
      <c r="O5074" s="4" t="s">
        <v>6351</v>
      </c>
    </row>
    <row r="5075" ht="15.75" customHeight="1">
      <c r="O5075" s="4" t="s">
        <v>6352</v>
      </c>
    </row>
    <row r="5076" ht="15.75" customHeight="1">
      <c r="O5076" s="4" t="s">
        <v>6353</v>
      </c>
    </row>
    <row r="5077" ht="15.75" customHeight="1">
      <c r="O5077" s="4" t="s">
        <v>6354</v>
      </c>
    </row>
    <row r="5078" ht="15.75" customHeight="1">
      <c r="O5078" s="4" t="s">
        <v>6355</v>
      </c>
    </row>
    <row r="5079" ht="15.75" customHeight="1">
      <c r="O5079" s="4" t="s">
        <v>6356</v>
      </c>
    </row>
    <row r="5080" ht="15.75" customHeight="1">
      <c r="O5080" s="4" t="s">
        <v>6357</v>
      </c>
    </row>
    <row r="5081" ht="15.75" customHeight="1">
      <c r="O5081" s="4" t="s">
        <v>6358</v>
      </c>
    </row>
    <row r="5082" ht="15.75" customHeight="1">
      <c r="O5082" s="4" t="s">
        <v>6359</v>
      </c>
    </row>
    <row r="5083" ht="15.75" customHeight="1">
      <c r="O5083" s="4" t="s">
        <v>6360</v>
      </c>
    </row>
    <row r="5084" ht="15.75" customHeight="1">
      <c r="O5084" s="4" t="s">
        <v>6361</v>
      </c>
    </row>
    <row r="5085" ht="15.75" customHeight="1">
      <c r="O5085" s="4" t="s">
        <v>6362</v>
      </c>
    </row>
    <row r="5086" ht="15.75" customHeight="1">
      <c r="O5086" s="4" t="s">
        <v>6363</v>
      </c>
    </row>
    <row r="5087" ht="15.75" customHeight="1">
      <c r="O5087" s="4" t="s">
        <v>6364</v>
      </c>
    </row>
    <row r="5088" ht="15.75" customHeight="1">
      <c r="O5088" s="4" t="s">
        <v>6365</v>
      </c>
    </row>
    <row r="5089" ht="15.75" customHeight="1">
      <c r="O5089" s="4" t="s">
        <v>6366</v>
      </c>
    </row>
    <row r="5090" ht="15.75" customHeight="1">
      <c r="O5090" s="4" t="s">
        <v>6367</v>
      </c>
    </row>
    <row r="5091" ht="15.75" customHeight="1">
      <c r="O5091" s="4" t="s">
        <v>6368</v>
      </c>
    </row>
    <row r="5092" ht="15.75" customHeight="1">
      <c r="O5092" s="4" t="s">
        <v>6369</v>
      </c>
    </row>
    <row r="5093" ht="15.75" customHeight="1">
      <c r="O5093" s="4" t="s">
        <v>6370</v>
      </c>
    </row>
    <row r="5094" ht="15.75" customHeight="1">
      <c r="O5094" s="4" t="s">
        <v>6371</v>
      </c>
    </row>
    <row r="5095" ht="15.75" customHeight="1">
      <c r="O5095" s="4" t="s">
        <v>6372</v>
      </c>
    </row>
    <row r="5096" ht="15.75" customHeight="1">
      <c r="O5096" s="4" t="s">
        <v>6373</v>
      </c>
    </row>
    <row r="5097" ht="15.75" customHeight="1">
      <c r="O5097" s="4" t="s">
        <v>6374</v>
      </c>
    </row>
    <row r="5098" ht="15.75" customHeight="1">
      <c r="O5098" s="4" t="s">
        <v>6375</v>
      </c>
    </row>
    <row r="5099" ht="15.75" customHeight="1">
      <c r="O5099" s="4" t="s">
        <v>6376</v>
      </c>
    </row>
    <row r="5100" ht="15.75" customHeight="1">
      <c r="O5100" s="4" t="s">
        <v>6377</v>
      </c>
    </row>
    <row r="5101" ht="15.75" customHeight="1">
      <c r="O5101" s="4" t="s">
        <v>6378</v>
      </c>
    </row>
    <row r="5102" ht="15.75" customHeight="1">
      <c r="O5102" s="4" t="s">
        <v>6379</v>
      </c>
    </row>
    <row r="5103" ht="15.75" customHeight="1">
      <c r="O5103" s="4" t="s">
        <v>6380</v>
      </c>
    </row>
    <row r="5104" ht="15.75" customHeight="1">
      <c r="O5104" s="4" t="s">
        <v>6381</v>
      </c>
    </row>
    <row r="5105" ht="15.75" customHeight="1">
      <c r="O5105" s="4" t="s">
        <v>6382</v>
      </c>
    </row>
    <row r="5106" ht="15.75" customHeight="1">
      <c r="O5106" s="4" t="s">
        <v>6383</v>
      </c>
    </row>
    <row r="5107" ht="15.75" customHeight="1">
      <c r="O5107" s="4" t="s">
        <v>6384</v>
      </c>
    </row>
    <row r="5108" ht="15.75" customHeight="1">
      <c r="O5108" s="4" t="s">
        <v>6385</v>
      </c>
    </row>
    <row r="5109" ht="15.75" customHeight="1">
      <c r="O5109" s="4" t="s">
        <v>6386</v>
      </c>
    </row>
    <row r="5110" ht="15.75" customHeight="1">
      <c r="O5110" s="4" t="s">
        <v>6387</v>
      </c>
    </row>
    <row r="5111" ht="15.75" customHeight="1">
      <c r="O5111" s="4" t="s">
        <v>6388</v>
      </c>
    </row>
    <row r="5112" ht="15.75" customHeight="1">
      <c r="O5112" s="4" t="s">
        <v>6389</v>
      </c>
    </row>
    <row r="5113" ht="15.75" customHeight="1">
      <c r="O5113" s="4" t="s">
        <v>6390</v>
      </c>
    </row>
    <row r="5114" ht="15.75" customHeight="1">
      <c r="O5114" s="4" t="s">
        <v>6391</v>
      </c>
    </row>
    <row r="5115" ht="15.75" customHeight="1">
      <c r="O5115" s="4" t="s">
        <v>6392</v>
      </c>
    </row>
    <row r="5116" ht="15.75" customHeight="1">
      <c r="O5116" s="4" t="s">
        <v>6393</v>
      </c>
    </row>
    <row r="5117" ht="15.75" customHeight="1">
      <c r="O5117" s="4" t="s">
        <v>6394</v>
      </c>
    </row>
    <row r="5118" ht="15.75" customHeight="1">
      <c r="O5118" s="4" t="s">
        <v>6395</v>
      </c>
    </row>
    <row r="5119" ht="15.75" customHeight="1">
      <c r="O5119" s="4" t="s">
        <v>6396</v>
      </c>
    </row>
    <row r="5120" ht="15.75" customHeight="1">
      <c r="O5120" s="4" t="s">
        <v>6397</v>
      </c>
    </row>
    <row r="5121" ht="15.75" customHeight="1">
      <c r="O5121" s="4" t="s">
        <v>6398</v>
      </c>
    </row>
    <row r="5122" ht="15.75" customHeight="1">
      <c r="O5122" s="4" t="s">
        <v>6399</v>
      </c>
    </row>
    <row r="5123" ht="15.75" customHeight="1">
      <c r="O5123" s="4" t="s">
        <v>6400</v>
      </c>
    </row>
    <row r="5124" ht="15.75" customHeight="1">
      <c r="O5124" s="4" t="s">
        <v>6401</v>
      </c>
    </row>
    <row r="5125" ht="15.75" customHeight="1">
      <c r="O5125" s="4" t="s">
        <v>6402</v>
      </c>
    </row>
    <row r="5126" ht="15.75" customHeight="1">
      <c r="O5126" s="4" t="s">
        <v>6403</v>
      </c>
    </row>
    <row r="5127" ht="15.75" customHeight="1">
      <c r="O5127" s="4" t="s">
        <v>6404</v>
      </c>
    </row>
    <row r="5128" ht="15.75" customHeight="1">
      <c r="O5128" s="4" t="s">
        <v>6405</v>
      </c>
    </row>
    <row r="5129" ht="15.75" customHeight="1">
      <c r="O5129" s="4" t="s">
        <v>6406</v>
      </c>
    </row>
    <row r="5130" ht="15.75" customHeight="1">
      <c r="O5130" s="4" t="s">
        <v>6407</v>
      </c>
    </row>
    <row r="5131" ht="15.75" customHeight="1">
      <c r="O5131" s="4" t="s">
        <v>6408</v>
      </c>
    </row>
    <row r="5132" ht="15.75" customHeight="1">
      <c r="O5132" s="4" t="s">
        <v>6409</v>
      </c>
    </row>
    <row r="5133" ht="15.75" customHeight="1">
      <c r="O5133" s="4" t="s">
        <v>6410</v>
      </c>
    </row>
    <row r="5134" ht="15.75" customHeight="1">
      <c r="O5134" s="4" t="s">
        <v>6411</v>
      </c>
    </row>
    <row r="5135" ht="15.75" customHeight="1">
      <c r="O5135" s="4" t="s">
        <v>6412</v>
      </c>
    </row>
    <row r="5136" ht="15.75" customHeight="1">
      <c r="O5136" s="4" t="s">
        <v>6413</v>
      </c>
    </row>
    <row r="5137" ht="15.75" customHeight="1">
      <c r="O5137" s="4" t="s">
        <v>6414</v>
      </c>
    </row>
    <row r="5138" ht="15.75" customHeight="1">
      <c r="O5138" s="4" t="s">
        <v>6415</v>
      </c>
    </row>
    <row r="5139" ht="15.75" customHeight="1">
      <c r="O5139" s="4" t="s">
        <v>6416</v>
      </c>
    </row>
    <row r="5140" ht="15.75" customHeight="1">
      <c r="O5140" s="4" t="s">
        <v>6417</v>
      </c>
    </row>
    <row r="5141" ht="15.75" customHeight="1">
      <c r="O5141" s="4" t="s">
        <v>6418</v>
      </c>
    </row>
    <row r="5142" ht="15.75" customHeight="1">
      <c r="O5142" s="4" t="s">
        <v>6419</v>
      </c>
    </row>
    <row r="5143" ht="15.75" customHeight="1">
      <c r="O5143" s="4" t="s">
        <v>6420</v>
      </c>
    </row>
    <row r="5144" ht="15.75" customHeight="1">
      <c r="O5144" s="4" t="s">
        <v>6421</v>
      </c>
    </row>
    <row r="5145" ht="15.75" customHeight="1">
      <c r="O5145" s="4" t="s">
        <v>6422</v>
      </c>
    </row>
    <row r="5146" ht="15.75" customHeight="1">
      <c r="O5146" s="4" t="s">
        <v>6423</v>
      </c>
    </row>
    <row r="5147" ht="15.75" customHeight="1">
      <c r="O5147" s="4" t="s">
        <v>6424</v>
      </c>
    </row>
    <row r="5148" ht="15.75" customHeight="1">
      <c r="O5148" s="4" t="s">
        <v>6425</v>
      </c>
    </row>
    <row r="5149" ht="15.75" customHeight="1">
      <c r="O5149" s="4" t="s">
        <v>6426</v>
      </c>
    </row>
    <row r="5150" ht="15.75" customHeight="1">
      <c r="O5150" s="4" t="s">
        <v>6427</v>
      </c>
    </row>
    <row r="5151" ht="15.75" customHeight="1">
      <c r="O5151" s="4" t="s">
        <v>6428</v>
      </c>
    </row>
    <row r="5152" ht="15.75" customHeight="1">
      <c r="O5152" s="4" t="s">
        <v>6429</v>
      </c>
    </row>
    <row r="5153" ht="15.75" customHeight="1">
      <c r="O5153" s="4" t="s">
        <v>6430</v>
      </c>
    </row>
    <row r="5154" ht="15.75" customHeight="1">
      <c r="O5154" s="4" t="s">
        <v>6431</v>
      </c>
    </row>
    <row r="5155" ht="15.75" customHeight="1">
      <c r="O5155" s="4" t="s">
        <v>6432</v>
      </c>
    </row>
    <row r="5156" ht="15.75" customHeight="1">
      <c r="O5156" s="4" t="s">
        <v>6433</v>
      </c>
    </row>
    <row r="5157" ht="15.75" customHeight="1">
      <c r="O5157" s="4" t="s">
        <v>6434</v>
      </c>
    </row>
    <row r="5158" ht="15.75" customHeight="1">
      <c r="O5158" s="4" t="s">
        <v>6435</v>
      </c>
    </row>
    <row r="5159" ht="15.75" customHeight="1">
      <c r="O5159" s="4" t="s">
        <v>6436</v>
      </c>
    </row>
    <row r="5160" ht="15.75" customHeight="1">
      <c r="O5160" s="4" t="s">
        <v>6437</v>
      </c>
    </row>
    <row r="5161" ht="15.75" customHeight="1">
      <c r="O5161" s="4" t="s">
        <v>6438</v>
      </c>
    </row>
    <row r="5162" ht="15.75" customHeight="1">
      <c r="O5162" s="4" t="s">
        <v>6439</v>
      </c>
    </row>
    <row r="5163" ht="15.75" customHeight="1">
      <c r="O5163" s="4" t="s">
        <v>6440</v>
      </c>
    </row>
    <row r="5164" ht="15.75" customHeight="1">
      <c r="O5164" s="4" t="s">
        <v>6441</v>
      </c>
    </row>
    <row r="5165" ht="15.75" customHeight="1">
      <c r="O5165" s="4" t="s">
        <v>6442</v>
      </c>
    </row>
    <row r="5166" ht="15.75" customHeight="1">
      <c r="O5166" s="4" t="s">
        <v>6443</v>
      </c>
    </row>
    <row r="5167" ht="15.75" customHeight="1">
      <c r="O5167" s="4" t="s">
        <v>6444</v>
      </c>
    </row>
    <row r="5168" ht="15.75" customHeight="1">
      <c r="O5168" s="4" t="s">
        <v>6445</v>
      </c>
    </row>
    <row r="5169" ht="15.75" customHeight="1">
      <c r="O5169" s="4" t="s">
        <v>6446</v>
      </c>
    </row>
    <row r="5170" ht="15.75" customHeight="1">
      <c r="O5170" s="4" t="s">
        <v>6447</v>
      </c>
    </row>
    <row r="5171" ht="15.75" customHeight="1">
      <c r="O5171" s="4" t="s">
        <v>6448</v>
      </c>
    </row>
    <row r="5172" ht="15.75" customHeight="1">
      <c r="O5172" s="4" t="s">
        <v>6449</v>
      </c>
    </row>
    <row r="5173" ht="15.75" customHeight="1">
      <c r="O5173" s="4" t="s">
        <v>6450</v>
      </c>
    </row>
    <row r="5174" ht="15.75" customHeight="1">
      <c r="O5174" s="4" t="s">
        <v>6451</v>
      </c>
    </row>
    <row r="5175" ht="15.75" customHeight="1">
      <c r="O5175" s="4" t="s">
        <v>6452</v>
      </c>
    </row>
    <row r="5176" ht="15.75" customHeight="1">
      <c r="O5176" s="4" t="s">
        <v>6453</v>
      </c>
    </row>
    <row r="5177" ht="15.75" customHeight="1">
      <c r="O5177" s="4" t="s">
        <v>6454</v>
      </c>
    </row>
    <row r="5178" ht="15.75" customHeight="1">
      <c r="O5178" s="4" t="s">
        <v>6455</v>
      </c>
    </row>
    <row r="5179" ht="15.75" customHeight="1">
      <c r="O5179" s="4" t="s">
        <v>6456</v>
      </c>
    </row>
    <row r="5180" ht="15.75" customHeight="1">
      <c r="O5180" s="4" t="s">
        <v>6457</v>
      </c>
    </row>
    <row r="5181" ht="15.75" customHeight="1">
      <c r="O5181" s="4" t="s">
        <v>6458</v>
      </c>
    </row>
    <row r="5182" ht="15.75" customHeight="1">
      <c r="O5182" s="4" t="s">
        <v>6459</v>
      </c>
    </row>
    <row r="5183" ht="15.75" customHeight="1">
      <c r="O5183" s="4" t="s">
        <v>6460</v>
      </c>
    </row>
    <row r="5184" ht="15.75" customHeight="1">
      <c r="O5184" s="4" t="s">
        <v>6461</v>
      </c>
    </row>
    <row r="5185" ht="15.75" customHeight="1">
      <c r="O5185" s="4" t="s">
        <v>6462</v>
      </c>
    </row>
    <row r="5186" ht="15.75" customHeight="1">
      <c r="O5186" s="4" t="s">
        <v>6463</v>
      </c>
    </row>
    <row r="5187" ht="15.75" customHeight="1">
      <c r="O5187" s="4" t="s">
        <v>6464</v>
      </c>
    </row>
    <row r="5188" ht="15.75" customHeight="1">
      <c r="O5188" s="4" t="s">
        <v>6465</v>
      </c>
    </row>
    <row r="5189" ht="15.75" customHeight="1">
      <c r="O5189" s="4" t="s">
        <v>6466</v>
      </c>
    </row>
    <row r="5190" ht="15.75" customHeight="1">
      <c r="O5190" s="4" t="s">
        <v>6467</v>
      </c>
    </row>
    <row r="5191" ht="15.75" customHeight="1">
      <c r="O5191" s="4" t="s">
        <v>6468</v>
      </c>
    </row>
    <row r="5192" ht="15.75" customHeight="1">
      <c r="O5192" s="4" t="s">
        <v>6469</v>
      </c>
    </row>
    <row r="5193" ht="15.75" customHeight="1">
      <c r="O5193" s="4" t="s">
        <v>6470</v>
      </c>
    </row>
    <row r="5194" ht="15.75" customHeight="1">
      <c r="O5194" s="4" t="s">
        <v>6471</v>
      </c>
    </row>
    <row r="5195" ht="15.75" customHeight="1">
      <c r="O5195" s="4" t="s">
        <v>6472</v>
      </c>
    </row>
    <row r="5196" ht="15.75" customHeight="1">
      <c r="O5196" s="4" t="s">
        <v>6473</v>
      </c>
    </row>
    <row r="5197" ht="15.75" customHeight="1">
      <c r="O5197" s="4" t="s">
        <v>6474</v>
      </c>
    </row>
    <row r="5198" ht="15.75" customHeight="1">
      <c r="O5198" s="4" t="s">
        <v>6475</v>
      </c>
    </row>
    <row r="5199" ht="15.75" customHeight="1">
      <c r="O5199" s="4" t="s">
        <v>6476</v>
      </c>
    </row>
    <row r="5200" ht="15.75" customHeight="1">
      <c r="O5200" s="4" t="s">
        <v>6477</v>
      </c>
    </row>
    <row r="5201" ht="15.75" customHeight="1">
      <c r="O5201" s="4" t="s">
        <v>6478</v>
      </c>
    </row>
    <row r="5202" ht="15.75" customHeight="1">
      <c r="O5202" s="4" t="s">
        <v>6479</v>
      </c>
    </row>
    <row r="5203" ht="15.75" customHeight="1">
      <c r="O5203" s="4" t="s">
        <v>6480</v>
      </c>
    </row>
    <row r="5204" ht="15.75" customHeight="1">
      <c r="O5204" s="4" t="s">
        <v>6481</v>
      </c>
    </row>
    <row r="5205" ht="15.75" customHeight="1">
      <c r="O5205" s="4" t="s">
        <v>6482</v>
      </c>
    </row>
    <row r="5206" ht="15.75" customHeight="1">
      <c r="O5206" s="4" t="s">
        <v>6483</v>
      </c>
    </row>
    <row r="5207" ht="15.75" customHeight="1">
      <c r="O5207" s="4" t="s">
        <v>6484</v>
      </c>
    </row>
    <row r="5208" ht="15.75" customHeight="1">
      <c r="O5208" s="4" t="s">
        <v>6485</v>
      </c>
    </row>
    <row r="5209" ht="15.75" customHeight="1">
      <c r="O5209" s="4" t="s">
        <v>6486</v>
      </c>
    </row>
    <row r="5210" ht="15.75" customHeight="1">
      <c r="O5210" s="4" t="s">
        <v>6487</v>
      </c>
    </row>
    <row r="5211" ht="15.75" customHeight="1">
      <c r="O5211" s="4" t="s">
        <v>6488</v>
      </c>
    </row>
    <row r="5212" ht="15.75" customHeight="1">
      <c r="O5212" s="4" t="s">
        <v>6489</v>
      </c>
    </row>
    <row r="5213" ht="15.75" customHeight="1">
      <c r="O5213" s="4" t="s">
        <v>6490</v>
      </c>
    </row>
    <row r="5214" ht="15.75" customHeight="1">
      <c r="O5214" s="4" t="s">
        <v>6491</v>
      </c>
    </row>
    <row r="5215" ht="15.75" customHeight="1">
      <c r="O5215" s="4" t="s">
        <v>6492</v>
      </c>
    </row>
    <row r="5216" ht="15.75" customHeight="1">
      <c r="O5216" s="4" t="s">
        <v>6493</v>
      </c>
    </row>
    <row r="5217" ht="15.75" customHeight="1">
      <c r="O5217" s="4" t="s">
        <v>6494</v>
      </c>
    </row>
    <row r="5218" ht="15.75" customHeight="1">
      <c r="O5218" s="4" t="s">
        <v>6495</v>
      </c>
    </row>
    <row r="5219" ht="15.75" customHeight="1">
      <c r="O5219" s="4" t="s">
        <v>6496</v>
      </c>
    </row>
    <row r="5220" ht="15.75" customHeight="1">
      <c r="O5220" s="4" t="s">
        <v>6497</v>
      </c>
    </row>
    <row r="5221" ht="15.75" customHeight="1">
      <c r="O5221" s="4" t="s">
        <v>6498</v>
      </c>
    </row>
    <row r="5222" ht="15.75" customHeight="1">
      <c r="O5222" s="4" t="s">
        <v>6499</v>
      </c>
    </row>
    <row r="5223" ht="15.75" customHeight="1">
      <c r="O5223" s="4" t="s">
        <v>6500</v>
      </c>
    </row>
    <row r="5224" ht="15.75" customHeight="1">
      <c r="O5224" s="4" t="s">
        <v>6501</v>
      </c>
    </row>
    <row r="5225" ht="15.75" customHeight="1">
      <c r="O5225" s="4" t="s">
        <v>6502</v>
      </c>
    </row>
    <row r="5226" ht="15.75" customHeight="1">
      <c r="O5226" s="4" t="s">
        <v>6503</v>
      </c>
    </row>
    <row r="5227" ht="15.75" customHeight="1">
      <c r="O5227" s="4" t="s">
        <v>6504</v>
      </c>
    </row>
    <row r="5228" ht="15.75" customHeight="1">
      <c r="O5228" s="4" t="s">
        <v>6505</v>
      </c>
    </row>
    <row r="5229" ht="15.75" customHeight="1">
      <c r="O5229" s="4" t="s">
        <v>6506</v>
      </c>
    </row>
    <row r="5230" ht="15.75" customHeight="1">
      <c r="O5230" s="4" t="s">
        <v>6507</v>
      </c>
    </row>
    <row r="5231" ht="15.75" customHeight="1">
      <c r="O5231" s="4" t="s">
        <v>6508</v>
      </c>
    </row>
    <row r="5232" ht="15.75" customHeight="1">
      <c r="O5232" s="4" t="s">
        <v>6509</v>
      </c>
    </row>
    <row r="5233" ht="15.75" customHeight="1">
      <c r="O5233" s="4" t="s">
        <v>6510</v>
      </c>
    </row>
    <row r="5234" ht="15.75" customHeight="1">
      <c r="O5234" s="4" t="s">
        <v>6511</v>
      </c>
    </row>
    <row r="5235" ht="15.75" customHeight="1">
      <c r="O5235" s="4" t="s">
        <v>6512</v>
      </c>
    </row>
    <row r="5236" ht="15.75" customHeight="1">
      <c r="O5236" s="4" t="s">
        <v>6513</v>
      </c>
    </row>
    <row r="5237" ht="15.75" customHeight="1">
      <c r="O5237" s="4" t="s">
        <v>6514</v>
      </c>
    </row>
    <row r="5238" ht="15.75" customHeight="1">
      <c r="O5238" s="4" t="s">
        <v>6515</v>
      </c>
    </row>
    <row r="5239" ht="15.75" customHeight="1">
      <c r="O5239" s="4" t="s">
        <v>6516</v>
      </c>
    </row>
    <row r="5240" ht="15.75" customHeight="1">
      <c r="O5240" s="4" t="s">
        <v>6517</v>
      </c>
    </row>
    <row r="5241" ht="15.75" customHeight="1">
      <c r="O5241" s="4" t="s">
        <v>6518</v>
      </c>
    </row>
    <row r="5242" ht="15.75" customHeight="1">
      <c r="O5242" s="4" t="s">
        <v>6519</v>
      </c>
    </row>
    <row r="5243" ht="15.75" customHeight="1">
      <c r="O5243" s="4" t="s">
        <v>6520</v>
      </c>
    </row>
    <row r="5244" ht="15.75" customHeight="1">
      <c r="O5244" s="4" t="s">
        <v>6521</v>
      </c>
    </row>
    <row r="5245" ht="15.75" customHeight="1">
      <c r="O5245" s="4" t="s">
        <v>6522</v>
      </c>
    </row>
    <row r="5246" ht="15.75" customHeight="1">
      <c r="O5246" s="4" t="s">
        <v>6523</v>
      </c>
    </row>
    <row r="5247" ht="15.75" customHeight="1">
      <c r="O5247" s="4" t="s">
        <v>6524</v>
      </c>
    </row>
    <row r="5248" ht="15.75" customHeight="1">
      <c r="O5248" s="4" t="s">
        <v>6525</v>
      </c>
    </row>
    <row r="5249" ht="15.75" customHeight="1">
      <c r="O5249" s="4" t="s">
        <v>6526</v>
      </c>
    </row>
    <row r="5250" ht="15.75" customHeight="1">
      <c r="O5250" s="4" t="s">
        <v>6527</v>
      </c>
    </row>
    <row r="5251" ht="15.75" customHeight="1">
      <c r="O5251" s="4" t="s">
        <v>6528</v>
      </c>
    </row>
    <row r="5252" ht="15.75" customHeight="1">
      <c r="O5252" s="4" t="s">
        <v>6529</v>
      </c>
    </row>
    <row r="5253" ht="15.75" customHeight="1">
      <c r="O5253" s="4" t="s">
        <v>6530</v>
      </c>
    </row>
    <row r="5254" ht="15.75" customHeight="1">
      <c r="O5254" s="4" t="s">
        <v>6531</v>
      </c>
    </row>
    <row r="5255" ht="15.75" customHeight="1">
      <c r="O5255" s="4" t="s">
        <v>6532</v>
      </c>
    </row>
    <row r="5256" ht="15.75" customHeight="1">
      <c r="O5256" s="4" t="s">
        <v>6533</v>
      </c>
    </row>
    <row r="5257" ht="15.75" customHeight="1">
      <c r="O5257" s="4" t="s">
        <v>6534</v>
      </c>
    </row>
    <row r="5258" ht="15.75" customHeight="1">
      <c r="O5258" s="4" t="s">
        <v>6535</v>
      </c>
    </row>
    <row r="5259" ht="15.75" customHeight="1">
      <c r="O5259" s="4" t="s">
        <v>6536</v>
      </c>
    </row>
    <row r="5260" ht="15.75" customHeight="1">
      <c r="O5260" s="4" t="s">
        <v>6537</v>
      </c>
    </row>
    <row r="5261" ht="15.75" customHeight="1">
      <c r="O5261" s="4" t="s">
        <v>6538</v>
      </c>
    </row>
    <row r="5262" ht="15.75" customHeight="1">
      <c r="O5262" s="4" t="s">
        <v>6539</v>
      </c>
    </row>
    <row r="5263" ht="15.75" customHeight="1">
      <c r="O5263" s="4" t="s">
        <v>6540</v>
      </c>
    </row>
    <row r="5264" ht="15.75" customHeight="1">
      <c r="O5264" s="4" t="s">
        <v>6541</v>
      </c>
    </row>
    <row r="5265" ht="15.75" customHeight="1">
      <c r="O5265" s="4" t="s">
        <v>6542</v>
      </c>
    </row>
    <row r="5266" ht="15.75" customHeight="1">
      <c r="O5266" s="4" t="s">
        <v>6543</v>
      </c>
    </row>
    <row r="5267" ht="15.75" customHeight="1">
      <c r="O5267" s="4" t="s">
        <v>6544</v>
      </c>
    </row>
    <row r="5268" ht="15.75" customHeight="1">
      <c r="O5268" s="4" t="s">
        <v>6545</v>
      </c>
    </row>
    <row r="5269" ht="15.75" customHeight="1">
      <c r="O5269" s="4" t="s">
        <v>6546</v>
      </c>
    </row>
    <row r="5270" ht="15.75" customHeight="1">
      <c r="O5270" s="4" t="s">
        <v>6547</v>
      </c>
    </row>
    <row r="5271" ht="15.75" customHeight="1">
      <c r="O5271" s="4" t="s">
        <v>6548</v>
      </c>
    </row>
    <row r="5272" ht="15.75" customHeight="1">
      <c r="O5272" s="4" t="s">
        <v>6549</v>
      </c>
    </row>
    <row r="5273" ht="15.75" customHeight="1">
      <c r="O5273" s="4" t="s">
        <v>6550</v>
      </c>
    </row>
    <row r="5274" ht="15.75" customHeight="1">
      <c r="O5274" s="4" t="s">
        <v>6551</v>
      </c>
    </row>
    <row r="5275" ht="15.75" customHeight="1">
      <c r="O5275" s="4" t="s">
        <v>6552</v>
      </c>
    </row>
    <row r="5276" ht="15.75" customHeight="1">
      <c r="O5276" s="4" t="s">
        <v>6553</v>
      </c>
    </row>
    <row r="5277" ht="15.75" customHeight="1">
      <c r="O5277" s="4" t="s">
        <v>6554</v>
      </c>
    </row>
    <row r="5278" ht="15.75" customHeight="1">
      <c r="O5278" s="4" t="s">
        <v>6555</v>
      </c>
    </row>
    <row r="5279" ht="15.75" customHeight="1">
      <c r="O5279" s="4" t="s">
        <v>6556</v>
      </c>
    </row>
    <row r="5280" ht="15.75" customHeight="1">
      <c r="O5280" s="4" t="s">
        <v>6557</v>
      </c>
    </row>
    <row r="5281" ht="15.75" customHeight="1">
      <c r="O5281" s="4" t="s">
        <v>6558</v>
      </c>
    </row>
    <row r="5282" ht="15.75" customHeight="1">
      <c r="O5282" s="4" t="s">
        <v>6559</v>
      </c>
    </row>
    <row r="5283" ht="15.75" customHeight="1">
      <c r="O5283" s="4" t="s">
        <v>6560</v>
      </c>
    </row>
    <row r="5284" ht="15.75" customHeight="1">
      <c r="O5284" s="4" t="s">
        <v>6561</v>
      </c>
    </row>
    <row r="5285" ht="15.75" customHeight="1">
      <c r="O5285" s="4" t="s">
        <v>6562</v>
      </c>
    </row>
    <row r="5286" ht="15.75" customHeight="1">
      <c r="O5286" s="4" t="s">
        <v>6563</v>
      </c>
    </row>
    <row r="5287" ht="15.75" customHeight="1">
      <c r="O5287" s="4" t="s">
        <v>6564</v>
      </c>
    </row>
    <row r="5288" ht="15.75" customHeight="1">
      <c r="O5288" s="4" t="s">
        <v>6565</v>
      </c>
    </row>
    <row r="5289" ht="15.75" customHeight="1">
      <c r="O5289" s="4" t="s">
        <v>6566</v>
      </c>
    </row>
    <row r="5290" ht="15.75" customHeight="1">
      <c r="O5290" s="4" t="s">
        <v>6567</v>
      </c>
    </row>
    <row r="5291" ht="15.75" customHeight="1">
      <c r="O5291" s="4" t="s">
        <v>6568</v>
      </c>
    </row>
    <row r="5292" ht="15.75" customHeight="1">
      <c r="O5292" s="4" t="s">
        <v>6569</v>
      </c>
    </row>
    <row r="5293" ht="15.75" customHeight="1">
      <c r="O5293" s="4" t="s">
        <v>6570</v>
      </c>
    </row>
    <row r="5294" ht="15.75" customHeight="1">
      <c r="O5294" s="4" t="s">
        <v>6571</v>
      </c>
    </row>
    <row r="5295" ht="15.75" customHeight="1">
      <c r="O5295" s="4" t="s">
        <v>6572</v>
      </c>
    </row>
    <row r="5296" ht="15.75" customHeight="1">
      <c r="O5296" s="4" t="s">
        <v>6573</v>
      </c>
    </row>
    <row r="5297" ht="15.75" customHeight="1">
      <c r="O5297" s="4" t="s">
        <v>6574</v>
      </c>
    </row>
    <row r="5298" ht="15.75" customHeight="1">
      <c r="O5298" s="4" t="s">
        <v>6575</v>
      </c>
    </row>
    <row r="5299" ht="15.75" customHeight="1">
      <c r="O5299" s="4" t="s">
        <v>6576</v>
      </c>
    </row>
    <row r="5300" ht="15.75" customHeight="1">
      <c r="O5300" s="4" t="s">
        <v>6577</v>
      </c>
    </row>
    <row r="5301" ht="15.75" customHeight="1">
      <c r="O5301" s="4" t="s">
        <v>6578</v>
      </c>
    </row>
    <row r="5302" ht="15.75" customHeight="1">
      <c r="O5302" s="4" t="s">
        <v>6579</v>
      </c>
    </row>
    <row r="5303" ht="15.75" customHeight="1">
      <c r="O5303" s="4" t="s">
        <v>6580</v>
      </c>
    </row>
    <row r="5304" ht="15.75" customHeight="1">
      <c r="O5304" s="4" t="s">
        <v>6581</v>
      </c>
    </row>
    <row r="5305" ht="15.75" customHeight="1">
      <c r="O5305" s="4" t="s">
        <v>6582</v>
      </c>
    </row>
    <row r="5306" ht="15.75" customHeight="1">
      <c r="O5306" s="4" t="s">
        <v>6583</v>
      </c>
    </row>
    <row r="5307" ht="15.75" customHeight="1">
      <c r="O5307" s="4" t="s">
        <v>6584</v>
      </c>
    </row>
    <row r="5308" ht="15.75" customHeight="1">
      <c r="O5308" s="4" t="s">
        <v>6585</v>
      </c>
    </row>
    <row r="5309" ht="15.75" customHeight="1">
      <c r="O5309" s="4" t="s">
        <v>6586</v>
      </c>
    </row>
    <row r="5310" ht="15.75" customHeight="1">
      <c r="O5310" s="4" t="s">
        <v>6587</v>
      </c>
    </row>
    <row r="5311" ht="15.75" customHeight="1">
      <c r="O5311" s="4" t="s">
        <v>6588</v>
      </c>
    </row>
    <row r="5312" ht="15.75" customHeight="1">
      <c r="O5312" s="4" t="s">
        <v>6589</v>
      </c>
    </row>
    <row r="5313" ht="15.75" customHeight="1">
      <c r="O5313" s="4" t="s">
        <v>6590</v>
      </c>
    </row>
    <row r="5314" ht="15.75" customHeight="1">
      <c r="O5314" s="4" t="s">
        <v>6591</v>
      </c>
    </row>
    <row r="5315" ht="15.75" customHeight="1">
      <c r="O5315" s="4" t="s">
        <v>6592</v>
      </c>
    </row>
    <row r="5316" ht="15.75" customHeight="1">
      <c r="O5316" s="4" t="s">
        <v>6593</v>
      </c>
    </row>
    <row r="5317" ht="15.75" customHeight="1">
      <c r="O5317" s="4" t="s">
        <v>6594</v>
      </c>
    </row>
    <row r="5318" ht="15.75" customHeight="1">
      <c r="O5318" s="4" t="s">
        <v>6595</v>
      </c>
    </row>
    <row r="5319" ht="15.75" customHeight="1">
      <c r="O5319" s="4" t="s">
        <v>6596</v>
      </c>
    </row>
    <row r="5320" ht="15.75" customHeight="1">
      <c r="O5320" s="4" t="s">
        <v>6597</v>
      </c>
    </row>
    <row r="5321" ht="15.75" customHeight="1">
      <c r="O5321" s="4" t="s">
        <v>6598</v>
      </c>
    </row>
    <row r="5322" ht="15.75" customHeight="1">
      <c r="O5322" s="4" t="s">
        <v>6599</v>
      </c>
    </row>
    <row r="5323" ht="15.75" customHeight="1">
      <c r="O5323" s="4" t="s">
        <v>6600</v>
      </c>
    </row>
    <row r="5324" ht="15.75" customHeight="1">
      <c r="O5324" s="4" t="s">
        <v>6601</v>
      </c>
    </row>
    <row r="5325" ht="15.75" customHeight="1">
      <c r="O5325" s="4" t="s">
        <v>6602</v>
      </c>
    </row>
    <row r="5326" ht="15.75" customHeight="1">
      <c r="O5326" s="4" t="s">
        <v>6603</v>
      </c>
    </row>
    <row r="5327" ht="15.75" customHeight="1">
      <c r="O5327" s="4" t="s">
        <v>6604</v>
      </c>
    </row>
    <row r="5328" ht="15.75" customHeight="1">
      <c r="O5328" s="4" t="s">
        <v>6605</v>
      </c>
    </row>
    <row r="5329" ht="15.75" customHeight="1">
      <c r="O5329" s="4" t="s">
        <v>6606</v>
      </c>
    </row>
    <row r="5330" ht="15.75" customHeight="1">
      <c r="O5330" s="4" t="s">
        <v>6607</v>
      </c>
    </row>
    <row r="5331" ht="15.75" customHeight="1">
      <c r="O5331" s="4" t="s">
        <v>6608</v>
      </c>
    </row>
    <row r="5332" ht="15.75" customHeight="1">
      <c r="O5332" s="4" t="s">
        <v>6609</v>
      </c>
    </row>
    <row r="5333" ht="15.75" customHeight="1">
      <c r="O5333" s="4" t="s">
        <v>6610</v>
      </c>
    </row>
    <row r="5334" ht="15.75" customHeight="1">
      <c r="O5334" s="4" t="s">
        <v>6611</v>
      </c>
    </row>
    <row r="5335" ht="15.75" customHeight="1">
      <c r="O5335" s="4" t="s">
        <v>6612</v>
      </c>
    </row>
    <row r="5336" ht="15.75" customHeight="1">
      <c r="O5336" s="4" t="s">
        <v>6613</v>
      </c>
    </row>
    <row r="5337" ht="15.75" customHeight="1">
      <c r="O5337" s="4" t="s">
        <v>6614</v>
      </c>
    </row>
    <row r="5338" ht="15.75" customHeight="1">
      <c r="O5338" s="4" t="s">
        <v>6615</v>
      </c>
    </row>
    <row r="5339" ht="15.75" customHeight="1">
      <c r="O5339" s="4" t="s">
        <v>6616</v>
      </c>
    </row>
    <row r="5340" ht="15.75" customHeight="1">
      <c r="O5340" s="4" t="s">
        <v>6617</v>
      </c>
    </row>
    <row r="5341" ht="15.75" customHeight="1">
      <c r="O5341" s="4" t="s">
        <v>6618</v>
      </c>
    </row>
    <row r="5342" ht="15.75" customHeight="1">
      <c r="O5342" s="4" t="s">
        <v>6619</v>
      </c>
    </row>
    <row r="5343" ht="15.75" customHeight="1">
      <c r="O5343" s="4" t="s">
        <v>6620</v>
      </c>
    </row>
    <row r="5344" ht="15.75" customHeight="1">
      <c r="O5344" s="4" t="s">
        <v>6621</v>
      </c>
    </row>
    <row r="5345" ht="15.75" customHeight="1">
      <c r="O5345" s="4" t="s">
        <v>6622</v>
      </c>
    </row>
    <row r="5346" ht="15.75" customHeight="1">
      <c r="O5346" s="4" t="s">
        <v>6623</v>
      </c>
    </row>
    <row r="5347" ht="15.75" customHeight="1">
      <c r="O5347" s="4" t="s">
        <v>6624</v>
      </c>
    </row>
    <row r="5348" ht="15.75" customHeight="1">
      <c r="O5348" s="4" t="s">
        <v>6625</v>
      </c>
    </row>
    <row r="5349" ht="15.75" customHeight="1">
      <c r="O5349" s="4" t="s">
        <v>6626</v>
      </c>
    </row>
    <row r="5350" ht="15.75" customHeight="1">
      <c r="O5350" s="4" t="s">
        <v>6627</v>
      </c>
    </row>
    <row r="5351" ht="15.75" customHeight="1">
      <c r="O5351" s="4" t="s">
        <v>6628</v>
      </c>
    </row>
    <row r="5352" ht="15.75" customHeight="1">
      <c r="O5352" s="4" t="s">
        <v>6629</v>
      </c>
    </row>
    <row r="5353" ht="15.75" customHeight="1">
      <c r="O5353" s="4" t="s">
        <v>6630</v>
      </c>
    </row>
    <row r="5354" ht="15.75" customHeight="1">
      <c r="O5354" s="4" t="s">
        <v>6631</v>
      </c>
    </row>
    <row r="5355" ht="15.75" customHeight="1">
      <c r="O5355" s="4" t="s">
        <v>6632</v>
      </c>
    </row>
    <row r="5356" ht="15.75" customHeight="1">
      <c r="O5356" s="4" t="s">
        <v>6633</v>
      </c>
    </row>
    <row r="5357" ht="15.75" customHeight="1">
      <c r="O5357" s="4" t="s">
        <v>6634</v>
      </c>
    </row>
    <row r="5358" ht="15.75" customHeight="1">
      <c r="O5358" s="4" t="s">
        <v>6635</v>
      </c>
    </row>
    <row r="5359" ht="15.75" customHeight="1">
      <c r="O5359" s="4" t="s">
        <v>6636</v>
      </c>
    </row>
    <row r="5360" ht="15.75" customHeight="1">
      <c r="O5360" s="4" t="s">
        <v>6637</v>
      </c>
    </row>
    <row r="5361" ht="15.75" customHeight="1">
      <c r="O5361" s="4" t="s">
        <v>6638</v>
      </c>
    </row>
    <row r="5362" ht="15.75" customHeight="1">
      <c r="O5362" s="4" t="s">
        <v>6639</v>
      </c>
    </row>
    <row r="5363" ht="15.75" customHeight="1">
      <c r="O5363" s="4" t="s">
        <v>6640</v>
      </c>
    </row>
    <row r="5364" ht="15.75" customHeight="1">
      <c r="O5364" s="4" t="s">
        <v>6641</v>
      </c>
    </row>
    <row r="5365" ht="15.75" customHeight="1">
      <c r="O5365" s="4" t="s">
        <v>6642</v>
      </c>
    </row>
    <row r="5366" ht="15.75" customHeight="1">
      <c r="O5366" s="4" t="s">
        <v>6643</v>
      </c>
    </row>
    <row r="5367" ht="15.75" customHeight="1">
      <c r="O5367" s="4" t="s">
        <v>6644</v>
      </c>
    </row>
    <row r="5368" ht="15.75" customHeight="1">
      <c r="O5368" s="4" t="s">
        <v>6645</v>
      </c>
    </row>
    <row r="5369" ht="15.75" customHeight="1">
      <c r="O5369" s="4" t="s">
        <v>6646</v>
      </c>
    </row>
    <row r="5370" ht="15.75" customHeight="1">
      <c r="O5370" s="4" t="s">
        <v>6647</v>
      </c>
    </row>
    <row r="5371" ht="15.75" customHeight="1">
      <c r="O5371" s="4" t="s">
        <v>6648</v>
      </c>
    </row>
    <row r="5372" ht="15.75" customHeight="1">
      <c r="O5372" s="4" t="s">
        <v>6649</v>
      </c>
    </row>
    <row r="5373" ht="15.75" customHeight="1">
      <c r="O5373" s="4" t="s">
        <v>6650</v>
      </c>
    </row>
    <row r="5374" ht="15.75" customHeight="1">
      <c r="O5374" s="4" t="s">
        <v>6651</v>
      </c>
    </row>
    <row r="5375" ht="15.75" customHeight="1">
      <c r="O5375" s="4" t="s">
        <v>6652</v>
      </c>
    </row>
    <row r="5376" ht="15.75" customHeight="1">
      <c r="O5376" s="4" t="s">
        <v>6653</v>
      </c>
    </row>
    <row r="5377" ht="15.75" customHeight="1">
      <c r="O5377" s="4" t="s">
        <v>6654</v>
      </c>
    </row>
    <row r="5378" ht="15.75" customHeight="1">
      <c r="O5378" s="4" t="s">
        <v>6655</v>
      </c>
    </row>
    <row r="5379" ht="15.75" customHeight="1">
      <c r="O5379" s="4" t="s">
        <v>6656</v>
      </c>
    </row>
    <row r="5380" ht="15.75" customHeight="1">
      <c r="O5380" s="4" t="s">
        <v>6657</v>
      </c>
    </row>
    <row r="5381" ht="15.75" customHeight="1">
      <c r="O5381" s="4" t="s">
        <v>6658</v>
      </c>
    </row>
    <row r="5382" ht="15.75" customHeight="1">
      <c r="O5382" s="4" t="s">
        <v>6659</v>
      </c>
    </row>
    <row r="5383" ht="15.75" customHeight="1">
      <c r="O5383" s="4" t="s">
        <v>6660</v>
      </c>
    </row>
    <row r="5384" ht="15.75" customHeight="1">
      <c r="O5384" s="4" t="s">
        <v>6661</v>
      </c>
    </row>
    <row r="5385" ht="15.75" customHeight="1">
      <c r="O5385" s="4" t="s">
        <v>6662</v>
      </c>
    </row>
    <row r="5386" ht="15.75" customHeight="1">
      <c r="O5386" s="4" t="s">
        <v>6663</v>
      </c>
    </row>
    <row r="5387" ht="15.75" customHeight="1">
      <c r="O5387" s="4" t="s">
        <v>6664</v>
      </c>
    </row>
    <row r="5388" ht="15.75" customHeight="1">
      <c r="O5388" s="4" t="s">
        <v>6665</v>
      </c>
    </row>
    <row r="5389" ht="15.75" customHeight="1">
      <c r="O5389" s="4" t="s">
        <v>6666</v>
      </c>
    </row>
    <row r="5390" ht="15.75" customHeight="1">
      <c r="O5390" s="4" t="s">
        <v>6667</v>
      </c>
    </row>
    <row r="5391" ht="15.75" customHeight="1">
      <c r="O5391" s="4" t="s">
        <v>6668</v>
      </c>
    </row>
    <row r="5392" ht="15.75" customHeight="1">
      <c r="O5392" s="4" t="s">
        <v>6669</v>
      </c>
    </row>
    <row r="5393" ht="15.75" customHeight="1">
      <c r="O5393" s="4" t="s">
        <v>6670</v>
      </c>
    </row>
    <row r="5394" ht="15.75" customHeight="1">
      <c r="O5394" s="4" t="s">
        <v>6671</v>
      </c>
    </row>
    <row r="5395" ht="15.75" customHeight="1">
      <c r="O5395" s="4" t="s">
        <v>6672</v>
      </c>
    </row>
    <row r="5396" ht="15.75" customHeight="1">
      <c r="O5396" s="4" t="s">
        <v>6673</v>
      </c>
    </row>
    <row r="5397" ht="15.75" customHeight="1">
      <c r="O5397" s="4" t="s">
        <v>6674</v>
      </c>
    </row>
    <row r="5398" ht="15.75" customHeight="1">
      <c r="O5398" s="4" t="s">
        <v>6675</v>
      </c>
    </row>
    <row r="5399" ht="15.75" customHeight="1">
      <c r="O5399" s="4" t="s">
        <v>6676</v>
      </c>
    </row>
    <row r="5400" ht="15.75" customHeight="1">
      <c r="O5400" s="4" t="s">
        <v>6677</v>
      </c>
    </row>
    <row r="5401" ht="15.75" customHeight="1">
      <c r="O5401" s="4" t="s">
        <v>6678</v>
      </c>
    </row>
    <row r="5402" ht="15.75" customHeight="1">
      <c r="O5402" s="4" t="s">
        <v>6679</v>
      </c>
    </row>
    <row r="5403" ht="15.75" customHeight="1">
      <c r="O5403" s="4" t="s">
        <v>6680</v>
      </c>
    </row>
    <row r="5404" ht="15.75" customHeight="1">
      <c r="O5404" s="4" t="s">
        <v>6681</v>
      </c>
    </row>
    <row r="5405" ht="15.75" customHeight="1">
      <c r="O5405" s="4" t="s">
        <v>6682</v>
      </c>
    </row>
    <row r="5406" ht="15.75" customHeight="1">
      <c r="O5406" s="4" t="s">
        <v>6683</v>
      </c>
    </row>
    <row r="5407" ht="15.75" customHeight="1">
      <c r="O5407" s="4" t="s">
        <v>6684</v>
      </c>
    </row>
    <row r="5408" ht="15.75" customHeight="1">
      <c r="O5408" s="4" t="s">
        <v>6685</v>
      </c>
    </row>
    <row r="5409" ht="15.75" customHeight="1">
      <c r="O5409" s="4" t="s">
        <v>6686</v>
      </c>
    </row>
    <row r="5410" ht="15.75" customHeight="1">
      <c r="O5410" s="4" t="s">
        <v>6687</v>
      </c>
    </row>
    <row r="5411" ht="15.75" customHeight="1">
      <c r="O5411" s="4" t="s">
        <v>6688</v>
      </c>
    </row>
    <row r="5412" ht="15.75" customHeight="1">
      <c r="O5412" s="4" t="s">
        <v>6689</v>
      </c>
    </row>
    <row r="5413" ht="15.75" customHeight="1">
      <c r="O5413" s="4" t="s">
        <v>6690</v>
      </c>
    </row>
    <row r="5414" ht="15.75" customHeight="1">
      <c r="O5414" s="4" t="s">
        <v>6691</v>
      </c>
    </row>
    <row r="5415" ht="15.75" customHeight="1">
      <c r="O5415" s="4" t="s">
        <v>6692</v>
      </c>
    </row>
    <row r="5416" ht="15.75" customHeight="1">
      <c r="O5416" s="4" t="s">
        <v>6693</v>
      </c>
    </row>
    <row r="5417" ht="15.75" customHeight="1">
      <c r="O5417" s="4" t="s">
        <v>6694</v>
      </c>
    </row>
    <row r="5418" ht="15.75" customHeight="1">
      <c r="O5418" s="4" t="s">
        <v>6695</v>
      </c>
    </row>
    <row r="5419" ht="15.75" customHeight="1">
      <c r="O5419" s="4" t="s">
        <v>6696</v>
      </c>
    </row>
    <row r="5420" ht="15.75" customHeight="1">
      <c r="O5420" s="4" t="s">
        <v>6697</v>
      </c>
    </row>
    <row r="5421" ht="15.75" customHeight="1">
      <c r="O5421" s="4" t="s">
        <v>6698</v>
      </c>
    </row>
    <row r="5422" ht="15.75" customHeight="1">
      <c r="O5422" s="4" t="s">
        <v>6699</v>
      </c>
    </row>
    <row r="5423" ht="15.75" customHeight="1">
      <c r="O5423" s="4" t="s">
        <v>6700</v>
      </c>
    </row>
    <row r="5424" ht="15.75" customHeight="1">
      <c r="O5424" s="4" t="s">
        <v>6701</v>
      </c>
    </row>
    <row r="5425" ht="15.75" customHeight="1">
      <c r="O5425" s="4" t="s">
        <v>6702</v>
      </c>
    </row>
    <row r="5426" ht="15.75" customHeight="1">
      <c r="O5426" s="4" t="s">
        <v>6703</v>
      </c>
    </row>
    <row r="5427" ht="15.75" customHeight="1">
      <c r="O5427" s="4" t="s">
        <v>6704</v>
      </c>
    </row>
    <row r="5428" ht="15.75" customHeight="1">
      <c r="O5428" s="4" t="s">
        <v>6705</v>
      </c>
    </row>
    <row r="5429" ht="15.75" customHeight="1">
      <c r="O5429" s="4" t="s">
        <v>6706</v>
      </c>
    </row>
    <row r="5430" ht="15.75" customHeight="1">
      <c r="O5430" s="4" t="s">
        <v>6707</v>
      </c>
    </row>
    <row r="5431" ht="15.75" customHeight="1">
      <c r="O5431" s="4" t="s">
        <v>6708</v>
      </c>
    </row>
    <row r="5432" ht="15.75" customHeight="1">
      <c r="O5432" s="4" t="s">
        <v>6709</v>
      </c>
    </row>
    <row r="5433" ht="15.75" customHeight="1">
      <c r="O5433" s="4" t="s">
        <v>6710</v>
      </c>
    </row>
    <row r="5434" ht="15.75" customHeight="1">
      <c r="O5434" s="4" t="s">
        <v>6711</v>
      </c>
    </row>
    <row r="5435" ht="15.75" customHeight="1">
      <c r="O5435" s="4" t="s">
        <v>6712</v>
      </c>
    </row>
    <row r="5436" ht="15.75" customHeight="1">
      <c r="O5436" s="4" t="s">
        <v>6713</v>
      </c>
    </row>
    <row r="5437" ht="15.75" customHeight="1">
      <c r="O5437" s="4" t="s">
        <v>6714</v>
      </c>
    </row>
    <row r="5438" ht="15.75" customHeight="1">
      <c r="O5438" s="4" t="s">
        <v>6715</v>
      </c>
    </row>
    <row r="5439" ht="15.75" customHeight="1">
      <c r="O5439" s="4" t="s">
        <v>6716</v>
      </c>
    </row>
    <row r="5440" ht="15.75" customHeight="1">
      <c r="O5440" s="4" t="s">
        <v>6717</v>
      </c>
    </row>
    <row r="5441" ht="15.75" customHeight="1">
      <c r="O5441" s="4" t="s">
        <v>6718</v>
      </c>
    </row>
    <row r="5442" ht="15.75" customHeight="1">
      <c r="O5442" s="4" t="s">
        <v>6719</v>
      </c>
    </row>
    <row r="5443" ht="15.75" customHeight="1">
      <c r="O5443" s="4" t="s">
        <v>6720</v>
      </c>
    </row>
    <row r="5444" ht="15.75" customHeight="1">
      <c r="O5444" s="4" t="s">
        <v>6721</v>
      </c>
    </row>
    <row r="5445" ht="15.75" customHeight="1">
      <c r="O5445" s="4" t="s">
        <v>6722</v>
      </c>
    </row>
    <row r="5446" ht="15.75" customHeight="1">
      <c r="O5446" s="4" t="s">
        <v>6723</v>
      </c>
    </row>
    <row r="5447" ht="15.75" customHeight="1">
      <c r="O5447" s="4" t="s">
        <v>6724</v>
      </c>
    </row>
    <row r="5448" ht="15.75" customHeight="1">
      <c r="O5448" s="4" t="s">
        <v>6725</v>
      </c>
    </row>
    <row r="5449" ht="15.75" customHeight="1">
      <c r="O5449" s="4" t="s">
        <v>6726</v>
      </c>
    </row>
    <row r="5450" ht="15.75" customHeight="1">
      <c r="O5450" s="4" t="s">
        <v>6727</v>
      </c>
    </row>
    <row r="5451" ht="15.75" customHeight="1">
      <c r="O5451" s="4" t="s">
        <v>6728</v>
      </c>
    </row>
    <row r="5452" ht="15.75" customHeight="1">
      <c r="O5452" s="4" t="s">
        <v>6729</v>
      </c>
    </row>
    <row r="5453" ht="15.75" customHeight="1">
      <c r="O5453" s="4" t="s">
        <v>6730</v>
      </c>
    </row>
    <row r="5454" ht="15.75" customHeight="1">
      <c r="O5454" s="4" t="s">
        <v>6731</v>
      </c>
    </row>
    <row r="5455" ht="15.75" customHeight="1">
      <c r="O5455" s="4" t="s">
        <v>6732</v>
      </c>
    </row>
    <row r="5456" ht="15.75" customHeight="1">
      <c r="O5456" s="4" t="s">
        <v>6733</v>
      </c>
    </row>
    <row r="5457" ht="15.75" customHeight="1">
      <c r="O5457" s="4" t="s">
        <v>6734</v>
      </c>
    </row>
    <row r="5458" ht="15.75" customHeight="1">
      <c r="O5458" s="4" t="s">
        <v>6735</v>
      </c>
    </row>
    <row r="5459" ht="15.75" customHeight="1">
      <c r="O5459" s="4" t="s">
        <v>6736</v>
      </c>
    </row>
    <row r="5460" ht="15.75" customHeight="1">
      <c r="O5460" s="4" t="s">
        <v>6737</v>
      </c>
    </row>
    <row r="5461" ht="15.75" customHeight="1">
      <c r="O5461" s="4" t="s">
        <v>6738</v>
      </c>
    </row>
    <row r="5462" ht="15.75" customHeight="1">
      <c r="O5462" s="4" t="s">
        <v>6739</v>
      </c>
    </row>
    <row r="5463" ht="15.75" customHeight="1">
      <c r="O5463" s="4" t="s">
        <v>6740</v>
      </c>
    </row>
    <row r="5464" ht="15.75" customHeight="1">
      <c r="O5464" s="4" t="s">
        <v>6741</v>
      </c>
    </row>
    <row r="5465" ht="15.75" customHeight="1">
      <c r="O5465" s="4" t="s">
        <v>6742</v>
      </c>
    </row>
    <row r="5466" ht="15.75" customHeight="1">
      <c r="O5466" s="4" t="s">
        <v>6743</v>
      </c>
    </row>
    <row r="5467" ht="15.75" customHeight="1">
      <c r="O5467" s="4" t="s">
        <v>6744</v>
      </c>
    </row>
    <row r="5468" ht="15.75" customHeight="1">
      <c r="O5468" s="4" t="s">
        <v>6745</v>
      </c>
    </row>
    <row r="5469" ht="15.75" customHeight="1">
      <c r="O5469" s="4" t="s">
        <v>6746</v>
      </c>
    </row>
    <row r="5470" ht="15.75" customHeight="1">
      <c r="O5470" s="4" t="s">
        <v>6747</v>
      </c>
    </row>
    <row r="5471" ht="15.75" customHeight="1">
      <c r="O5471" s="4" t="s">
        <v>6748</v>
      </c>
    </row>
    <row r="5472" ht="15.75" customHeight="1">
      <c r="O5472" s="4" t="s">
        <v>6749</v>
      </c>
    </row>
    <row r="5473" ht="15.75" customHeight="1">
      <c r="O5473" s="4" t="s">
        <v>6750</v>
      </c>
    </row>
    <row r="5474" ht="15.75" customHeight="1">
      <c r="O5474" s="4" t="s">
        <v>6751</v>
      </c>
    </row>
    <row r="5475" ht="15.75" customHeight="1">
      <c r="O5475" s="4" t="s">
        <v>6752</v>
      </c>
    </row>
    <row r="5476" ht="15.75" customHeight="1">
      <c r="O5476" s="4" t="s">
        <v>6753</v>
      </c>
    </row>
    <row r="5477" ht="15.75" customHeight="1">
      <c r="O5477" s="4" t="s">
        <v>6754</v>
      </c>
    </row>
    <row r="5478" ht="15.75" customHeight="1">
      <c r="O5478" s="4" t="s">
        <v>6755</v>
      </c>
    </row>
    <row r="5479" ht="15.75" customHeight="1">
      <c r="O5479" s="4" t="s">
        <v>6756</v>
      </c>
    </row>
    <row r="5480" ht="15.75" customHeight="1">
      <c r="O5480" s="4" t="s">
        <v>6757</v>
      </c>
    </row>
    <row r="5481" ht="15.75" customHeight="1">
      <c r="O5481" s="4" t="s">
        <v>6758</v>
      </c>
    </row>
    <row r="5482" ht="15.75" customHeight="1">
      <c r="O5482" s="4" t="s">
        <v>6759</v>
      </c>
    </row>
    <row r="5483" ht="15.75" customHeight="1">
      <c r="O5483" s="4" t="s">
        <v>6760</v>
      </c>
    </row>
    <row r="5484" ht="15.75" customHeight="1">
      <c r="O5484" s="4" t="s">
        <v>6761</v>
      </c>
    </row>
    <row r="5485" ht="15.75" customHeight="1">
      <c r="O5485" s="4" t="s">
        <v>6762</v>
      </c>
    </row>
    <row r="5486" ht="15.75" customHeight="1">
      <c r="O5486" s="4" t="s">
        <v>6763</v>
      </c>
    </row>
    <row r="5487" ht="15.75" customHeight="1">
      <c r="O5487" s="4" t="s">
        <v>6764</v>
      </c>
    </row>
    <row r="5488" ht="15.75" customHeight="1">
      <c r="O5488" s="4" t="s">
        <v>6765</v>
      </c>
    </row>
    <row r="5489" ht="15.75" customHeight="1">
      <c r="O5489" s="4" t="s">
        <v>6766</v>
      </c>
    </row>
    <row r="5490" ht="15.75" customHeight="1">
      <c r="O5490" s="4" t="s">
        <v>6767</v>
      </c>
    </row>
    <row r="5491" ht="15.75" customHeight="1">
      <c r="O5491" s="4" t="s">
        <v>6768</v>
      </c>
    </row>
    <row r="5492" ht="15.75" customHeight="1">
      <c r="O5492" s="4" t="s">
        <v>6769</v>
      </c>
    </row>
    <row r="5493" ht="15.75" customHeight="1">
      <c r="O5493" s="4" t="s">
        <v>6770</v>
      </c>
    </row>
    <row r="5494" ht="15.75" customHeight="1">
      <c r="O5494" s="4" t="s">
        <v>6771</v>
      </c>
    </row>
    <row r="5495" ht="15.75" customHeight="1">
      <c r="O5495" s="4" t="s">
        <v>6772</v>
      </c>
    </row>
    <row r="5496" ht="15.75" customHeight="1">
      <c r="O5496" s="4" t="s">
        <v>6773</v>
      </c>
    </row>
    <row r="5497" ht="15.75" customHeight="1">
      <c r="O5497" s="4" t="s">
        <v>6774</v>
      </c>
    </row>
    <row r="5498" ht="15.75" customHeight="1">
      <c r="O5498" s="4" t="s">
        <v>6775</v>
      </c>
    </row>
    <row r="5499" ht="15.75" customHeight="1">
      <c r="O5499" s="4" t="s">
        <v>6776</v>
      </c>
    </row>
    <row r="5500" ht="15.75" customHeight="1">
      <c r="O5500" s="4" t="s">
        <v>6777</v>
      </c>
    </row>
    <row r="5501" ht="15.75" customHeight="1">
      <c r="O5501" s="4" t="s">
        <v>6778</v>
      </c>
    </row>
    <row r="5502" ht="15.75" customHeight="1">
      <c r="O5502" s="4" t="s">
        <v>6779</v>
      </c>
    </row>
    <row r="5503" ht="15.75" customHeight="1">
      <c r="O5503" s="4" t="s">
        <v>6780</v>
      </c>
    </row>
    <row r="5504" ht="15.75" customHeight="1">
      <c r="O5504" s="4" t="s">
        <v>6781</v>
      </c>
    </row>
    <row r="5505" ht="15.75" customHeight="1">
      <c r="O5505" s="4" t="s">
        <v>6782</v>
      </c>
    </row>
    <row r="5506" ht="15.75" customHeight="1">
      <c r="O5506" s="4" t="s">
        <v>6783</v>
      </c>
    </row>
    <row r="5507" ht="15.75" customHeight="1">
      <c r="O5507" s="4" t="s">
        <v>6784</v>
      </c>
    </row>
    <row r="5508" ht="15.75" customHeight="1">
      <c r="O5508" s="4" t="s">
        <v>6785</v>
      </c>
    </row>
    <row r="5509" ht="15.75" customHeight="1">
      <c r="O5509" s="4" t="s">
        <v>6786</v>
      </c>
    </row>
    <row r="5510" ht="15.75" customHeight="1">
      <c r="O5510" s="4" t="s">
        <v>6787</v>
      </c>
    </row>
    <row r="5511" ht="15.75" customHeight="1">
      <c r="O5511" s="4" t="s">
        <v>6788</v>
      </c>
    </row>
    <row r="5512" ht="15.75" customHeight="1">
      <c r="O5512" s="4" t="s">
        <v>6789</v>
      </c>
    </row>
    <row r="5513" ht="15.75" customHeight="1">
      <c r="O5513" s="4" t="s">
        <v>6790</v>
      </c>
    </row>
    <row r="5514" ht="15.75" customHeight="1">
      <c r="O5514" s="4" t="s">
        <v>6791</v>
      </c>
    </row>
    <row r="5515" ht="15.75" customHeight="1">
      <c r="O5515" s="4" t="s">
        <v>6792</v>
      </c>
    </row>
    <row r="5516" ht="15.75" customHeight="1">
      <c r="O5516" s="4" t="s">
        <v>6793</v>
      </c>
    </row>
    <row r="5517" ht="15.75" customHeight="1">
      <c r="O5517" s="4" t="s">
        <v>6794</v>
      </c>
    </row>
    <row r="5518" ht="15.75" customHeight="1">
      <c r="O5518" s="4" t="s">
        <v>6795</v>
      </c>
    </row>
    <row r="5519" ht="15.75" customHeight="1">
      <c r="O5519" s="4" t="s">
        <v>6796</v>
      </c>
    </row>
    <row r="5520" ht="15.75" customHeight="1">
      <c r="O5520" s="4" t="s">
        <v>6797</v>
      </c>
    </row>
    <row r="5521" ht="15.75" customHeight="1">
      <c r="O5521" s="4" t="s">
        <v>6798</v>
      </c>
    </row>
    <row r="5522" ht="15.75" customHeight="1">
      <c r="O5522" s="4" t="s">
        <v>6799</v>
      </c>
    </row>
    <row r="5523" ht="15.75" customHeight="1">
      <c r="O5523" s="4" t="s">
        <v>6800</v>
      </c>
    </row>
    <row r="5524" ht="15.75" customHeight="1">
      <c r="O5524" s="4" t="s">
        <v>6801</v>
      </c>
    </row>
    <row r="5525" ht="15.75" customHeight="1">
      <c r="O5525" s="4" t="s">
        <v>6802</v>
      </c>
    </row>
    <row r="5526" ht="15.75" customHeight="1">
      <c r="O5526" s="4" t="s">
        <v>6803</v>
      </c>
    </row>
    <row r="5527" ht="15.75" customHeight="1">
      <c r="O5527" s="4" t="s">
        <v>6804</v>
      </c>
    </row>
    <row r="5528" ht="15.75" customHeight="1">
      <c r="O5528" s="4" t="s">
        <v>6805</v>
      </c>
    </row>
    <row r="5529" ht="15.75" customHeight="1">
      <c r="O5529" s="4" t="s">
        <v>6806</v>
      </c>
    </row>
    <row r="5530" ht="15.75" customHeight="1">
      <c r="O5530" s="4" t="s">
        <v>6807</v>
      </c>
    </row>
    <row r="5531" ht="15.75" customHeight="1">
      <c r="O5531" s="4" t="s">
        <v>6808</v>
      </c>
    </row>
    <row r="5532" ht="15.75" customHeight="1">
      <c r="O5532" s="4" t="s">
        <v>6809</v>
      </c>
    </row>
    <row r="5533" ht="15.75" customHeight="1">
      <c r="O5533" s="4" t="s">
        <v>6810</v>
      </c>
    </row>
    <row r="5534" ht="15.75" customHeight="1">
      <c r="O5534" s="4" t="s">
        <v>6811</v>
      </c>
    </row>
    <row r="5535" ht="15.75" customHeight="1">
      <c r="O5535" s="4" t="s">
        <v>6812</v>
      </c>
    </row>
    <row r="5536" ht="15.75" customHeight="1">
      <c r="O5536" s="4" t="s">
        <v>6813</v>
      </c>
    </row>
    <row r="5537" ht="15.75" customHeight="1">
      <c r="O5537" s="4" t="s">
        <v>6814</v>
      </c>
    </row>
    <row r="5538" ht="15.75" customHeight="1">
      <c r="O5538" s="4" t="s">
        <v>6815</v>
      </c>
    </row>
    <row r="5539" ht="15.75" customHeight="1">
      <c r="O5539" s="4" t="s">
        <v>6816</v>
      </c>
    </row>
    <row r="5540" ht="15.75" customHeight="1">
      <c r="O5540" s="4" t="s">
        <v>6817</v>
      </c>
    </row>
    <row r="5541" ht="15.75" customHeight="1">
      <c r="O5541" s="4" t="s">
        <v>6818</v>
      </c>
    </row>
    <row r="5542" ht="15.75" customHeight="1">
      <c r="O5542" s="4" t="s">
        <v>6819</v>
      </c>
    </row>
    <row r="5543" ht="15.75" customHeight="1">
      <c r="O5543" s="4" t="s">
        <v>6820</v>
      </c>
    </row>
    <row r="5544" ht="15.75" customHeight="1">
      <c r="O5544" s="4" t="s">
        <v>6821</v>
      </c>
    </row>
    <row r="5545" ht="15.75" customHeight="1">
      <c r="O5545" s="4" t="s">
        <v>6822</v>
      </c>
    </row>
    <row r="5546" ht="15.75" customHeight="1">
      <c r="O5546" s="4" t="s">
        <v>6823</v>
      </c>
    </row>
    <row r="5547" ht="15.75" customHeight="1">
      <c r="O5547" s="4" t="s">
        <v>6824</v>
      </c>
    </row>
    <row r="5548" ht="15.75" customHeight="1">
      <c r="O5548" s="4" t="s">
        <v>6825</v>
      </c>
    </row>
    <row r="5549" ht="15.75" customHeight="1">
      <c r="O5549" s="4" t="s">
        <v>6826</v>
      </c>
    </row>
    <row r="5550" ht="15.75" customHeight="1">
      <c r="O5550" s="4" t="s">
        <v>6827</v>
      </c>
    </row>
    <row r="5551" ht="15.75" customHeight="1">
      <c r="O5551" s="4" t="s">
        <v>6828</v>
      </c>
    </row>
    <row r="5552" ht="15.75" customHeight="1">
      <c r="O5552" s="4" t="s">
        <v>6829</v>
      </c>
    </row>
    <row r="5553" ht="15.75" customHeight="1">
      <c r="O5553" s="4" t="s">
        <v>6830</v>
      </c>
    </row>
    <row r="5554" ht="15.75" customHeight="1">
      <c r="O5554" s="4" t="s">
        <v>6831</v>
      </c>
    </row>
    <row r="5555" ht="15.75" customHeight="1">
      <c r="O5555" s="4" t="s">
        <v>6832</v>
      </c>
    </row>
    <row r="5556" ht="15.75" customHeight="1">
      <c r="O5556" s="4" t="s">
        <v>6833</v>
      </c>
    </row>
    <row r="5557" ht="15.75" customHeight="1">
      <c r="O5557" s="4" t="s">
        <v>6834</v>
      </c>
    </row>
    <row r="5558" ht="15.75" customHeight="1">
      <c r="O5558" s="4" t="s">
        <v>6835</v>
      </c>
    </row>
    <row r="5559" ht="15.75" customHeight="1">
      <c r="O5559" s="4" t="s">
        <v>6836</v>
      </c>
    </row>
    <row r="5560" ht="15.75" customHeight="1">
      <c r="O5560" s="4" t="s">
        <v>6837</v>
      </c>
    </row>
    <row r="5561" ht="15.75" customHeight="1">
      <c r="O5561" s="4" t="s">
        <v>6838</v>
      </c>
    </row>
    <row r="5562" ht="15.75" customHeight="1">
      <c r="O5562" s="4" t="s">
        <v>6839</v>
      </c>
    </row>
    <row r="5563" ht="15.75" customHeight="1">
      <c r="O5563" s="4" t="s">
        <v>6840</v>
      </c>
    </row>
    <row r="5564" ht="15.75" customHeight="1">
      <c r="O5564" s="4" t="s">
        <v>6841</v>
      </c>
    </row>
    <row r="5565" ht="15.75" customHeight="1">
      <c r="O5565" s="4" t="s">
        <v>6842</v>
      </c>
    </row>
    <row r="5566" ht="15.75" customHeight="1">
      <c r="O5566" s="4" t="s">
        <v>6843</v>
      </c>
    </row>
    <row r="5567" ht="15.75" customHeight="1">
      <c r="O5567" s="4" t="s">
        <v>6844</v>
      </c>
    </row>
    <row r="5568" ht="15.75" customHeight="1">
      <c r="O5568" s="4" t="s">
        <v>6845</v>
      </c>
    </row>
    <row r="5569" ht="15.75" customHeight="1">
      <c r="O5569" s="4" t="s">
        <v>6846</v>
      </c>
    </row>
    <row r="5570" ht="15.75" customHeight="1">
      <c r="O5570" s="4" t="s">
        <v>6847</v>
      </c>
    </row>
    <row r="5571" ht="15.75" customHeight="1">
      <c r="O5571" s="4" t="s">
        <v>6848</v>
      </c>
    </row>
    <row r="5572" ht="15.75" customHeight="1">
      <c r="O5572" s="4" t="s">
        <v>6849</v>
      </c>
    </row>
    <row r="5573" ht="15.75" customHeight="1">
      <c r="O5573" s="4" t="s">
        <v>6850</v>
      </c>
    </row>
    <row r="5574" ht="15.75" customHeight="1">
      <c r="O5574" s="4" t="s">
        <v>6851</v>
      </c>
    </row>
    <row r="5575" ht="15.75" customHeight="1">
      <c r="O5575" s="4" t="s">
        <v>6852</v>
      </c>
    </row>
    <row r="5576" ht="15.75" customHeight="1">
      <c r="O5576" s="4" t="s">
        <v>6853</v>
      </c>
    </row>
    <row r="5577" ht="15.75" customHeight="1">
      <c r="O5577" s="4" t="s">
        <v>6854</v>
      </c>
    </row>
    <row r="5578" ht="15.75" customHeight="1">
      <c r="O5578" s="4" t="s">
        <v>6855</v>
      </c>
    </row>
    <row r="5579" ht="15.75" customHeight="1">
      <c r="O5579" s="4" t="s">
        <v>6856</v>
      </c>
    </row>
    <row r="5580" ht="15.75" customHeight="1">
      <c r="O5580" s="4" t="s">
        <v>6857</v>
      </c>
    </row>
    <row r="5581" ht="15.75" customHeight="1">
      <c r="O5581" s="4" t="s">
        <v>6858</v>
      </c>
    </row>
    <row r="5582" ht="15.75" customHeight="1">
      <c r="O5582" s="4" t="s">
        <v>6859</v>
      </c>
    </row>
    <row r="5583" ht="15.75" customHeight="1">
      <c r="O5583" s="4" t="s">
        <v>6860</v>
      </c>
    </row>
    <row r="5584" ht="15.75" customHeight="1">
      <c r="O5584" s="4" t="s">
        <v>6861</v>
      </c>
    </row>
    <row r="5585" ht="15.75" customHeight="1">
      <c r="O5585" s="4" t="s">
        <v>6862</v>
      </c>
    </row>
    <row r="5586" ht="15.75" customHeight="1">
      <c r="O5586" s="4" t="s">
        <v>6863</v>
      </c>
    </row>
    <row r="5587" ht="15.75" customHeight="1">
      <c r="O5587" s="4" t="s">
        <v>6864</v>
      </c>
    </row>
    <row r="5588" ht="15.75" customHeight="1">
      <c r="O5588" s="4" t="s">
        <v>6865</v>
      </c>
    </row>
    <row r="5589" ht="15.75" customHeight="1">
      <c r="O5589" s="4" t="s">
        <v>6866</v>
      </c>
    </row>
    <row r="5590" ht="15.75" customHeight="1">
      <c r="O5590" s="4" t="s">
        <v>6867</v>
      </c>
    </row>
    <row r="5591" ht="15.75" customHeight="1">
      <c r="O5591" s="4" t="s">
        <v>6868</v>
      </c>
    </row>
    <row r="5592" ht="15.75" customHeight="1">
      <c r="O5592" s="4" t="s">
        <v>6869</v>
      </c>
    </row>
    <row r="5593" ht="15.75" customHeight="1">
      <c r="O5593" s="4" t="s">
        <v>6870</v>
      </c>
    </row>
    <row r="5594" ht="15.75" customHeight="1">
      <c r="O5594" s="4" t="s">
        <v>6871</v>
      </c>
    </row>
    <row r="5595" ht="15.75" customHeight="1">
      <c r="O5595" s="4" t="s">
        <v>6872</v>
      </c>
    </row>
    <row r="5596" ht="15.75" customHeight="1">
      <c r="O5596" s="4" t="s">
        <v>6873</v>
      </c>
    </row>
    <row r="5597" ht="15.75" customHeight="1">
      <c r="O5597" s="4" t="s">
        <v>6874</v>
      </c>
    </row>
    <row r="5598" ht="15.75" customHeight="1">
      <c r="O5598" s="4" t="s">
        <v>6875</v>
      </c>
    </row>
    <row r="5599" ht="15.75" customHeight="1">
      <c r="O5599" s="4" t="s">
        <v>6876</v>
      </c>
    </row>
    <row r="5600" ht="15.75" customHeight="1">
      <c r="O5600" s="4" t="s">
        <v>6877</v>
      </c>
    </row>
    <row r="5601" ht="15.75" customHeight="1">
      <c r="O5601" s="4" t="s">
        <v>6878</v>
      </c>
    </row>
    <row r="5602" ht="15.75" customHeight="1">
      <c r="O5602" s="4" t="s">
        <v>6879</v>
      </c>
    </row>
    <row r="5603" ht="15.75" customHeight="1">
      <c r="O5603" s="4" t="s">
        <v>6880</v>
      </c>
    </row>
    <row r="5604" ht="15.75" customHeight="1">
      <c r="O5604" s="4" t="s">
        <v>6881</v>
      </c>
    </row>
    <row r="5605" ht="15.75" customHeight="1">
      <c r="O5605" s="4" t="s">
        <v>6882</v>
      </c>
    </row>
    <row r="5606" ht="15.75" customHeight="1">
      <c r="O5606" s="4" t="s">
        <v>6883</v>
      </c>
    </row>
    <row r="5607" ht="15.75" customHeight="1">
      <c r="O5607" s="4" t="s">
        <v>6884</v>
      </c>
    </row>
    <row r="5608" ht="15.75" customHeight="1">
      <c r="O5608" s="4" t="s">
        <v>6885</v>
      </c>
    </row>
    <row r="5609" ht="15.75" customHeight="1">
      <c r="O5609" s="4" t="s">
        <v>6886</v>
      </c>
    </row>
    <row r="5610" ht="15.75" customHeight="1">
      <c r="O5610" s="4" t="s">
        <v>6887</v>
      </c>
    </row>
    <row r="5611" ht="15.75" customHeight="1">
      <c r="O5611" s="4" t="s">
        <v>6888</v>
      </c>
    </row>
    <row r="5612" ht="15.75" customHeight="1">
      <c r="O5612" s="4" t="s">
        <v>6889</v>
      </c>
    </row>
    <row r="5613" ht="15.75" customHeight="1">
      <c r="O5613" s="4" t="s">
        <v>6890</v>
      </c>
    </row>
    <row r="5614" ht="15.75" customHeight="1">
      <c r="O5614" s="4" t="s">
        <v>6891</v>
      </c>
    </row>
    <row r="5615" ht="15.75" customHeight="1">
      <c r="O5615" s="4" t="s">
        <v>6892</v>
      </c>
    </row>
    <row r="5616" ht="15.75" customHeight="1">
      <c r="O5616" s="4" t="s">
        <v>6893</v>
      </c>
    </row>
    <row r="5617" ht="15.75" customHeight="1">
      <c r="O5617" s="4" t="s">
        <v>6894</v>
      </c>
    </row>
    <row r="5618" ht="15.75" customHeight="1">
      <c r="O5618" s="4" t="s">
        <v>6895</v>
      </c>
    </row>
    <row r="5619" ht="15.75" customHeight="1">
      <c r="O5619" s="4" t="s">
        <v>6896</v>
      </c>
    </row>
    <row r="5620" ht="15.75" customHeight="1">
      <c r="O5620" s="4" t="s">
        <v>6897</v>
      </c>
    </row>
    <row r="5621" ht="15.75" customHeight="1">
      <c r="O5621" s="4" t="s">
        <v>6898</v>
      </c>
    </row>
    <row r="5622" ht="15.75" customHeight="1">
      <c r="O5622" s="4" t="s">
        <v>6899</v>
      </c>
    </row>
    <row r="5623" ht="15.75" customHeight="1">
      <c r="O5623" s="4" t="s">
        <v>6900</v>
      </c>
    </row>
    <row r="5624" ht="15.75" customHeight="1">
      <c r="O5624" s="4" t="s">
        <v>6901</v>
      </c>
    </row>
    <row r="5625" ht="15.75" customHeight="1">
      <c r="O5625" s="4" t="s">
        <v>6902</v>
      </c>
    </row>
    <row r="5626" ht="15.75" customHeight="1">
      <c r="O5626" s="4" t="s">
        <v>6903</v>
      </c>
    </row>
    <row r="5627" ht="15.75" customHeight="1">
      <c r="O5627" s="4" t="s">
        <v>6904</v>
      </c>
    </row>
    <row r="5628" ht="15.75" customHeight="1">
      <c r="O5628" s="4" t="s">
        <v>6905</v>
      </c>
    </row>
    <row r="5629" ht="15.75" customHeight="1">
      <c r="O5629" s="4" t="s">
        <v>6906</v>
      </c>
    </row>
    <row r="5630" ht="15.75" customHeight="1">
      <c r="O5630" s="4" t="s">
        <v>6907</v>
      </c>
    </row>
    <row r="5631" ht="15.75" customHeight="1">
      <c r="O5631" s="4" t="s">
        <v>6908</v>
      </c>
    </row>
    <row r="5632" ht="15.75" customHeight="1">
      <c r="O5632" s="4" t="s">
        <v>6909</v>
      </c>
    </row>
    <row r="5633" ht="15.75" customHeight="1">
      <c r="O5633" s="4" t="s">
        <v>6910</v>
      </c>
    </row>
    <row r="5634" ht="15.75" customHeight="1">
      <c r="O5634" s="4" t="s">
        <v>6911</v>
      </c>
    </row>
    <row r="5635" ht="15.75" customHeight="1">
      <c r="O5635" s="4" t="s">
        <v>6912</v>
      </c>
    </row>
    <row r="5636" ht="15.75" customHeight="1">
      <c r="O5636" s="4" t="s">
        <v>6913</v>
      </c>
    </row>
    <row r="5637" ht="15.75" customHeight="1">
      <c r="O5637" s="4" t="s">
        <v>6914</v>
      </c>
    </row>
    <row r="5638" ht="15.75" customHeight="1">
      <c r="O5638" s="4" t="s">
        <v>6915</v>
      </c>
    </row>
    <row r="5639" ht="15.75" customHeight="1">
      <c r="O5639" s="4" t="s">
        <v>6916</v>
      </c>
    </row>
    <row r="5640" ht="15.75" customHeight="1">
      <c r="O5640" s="4" t="s">
        <v>6917</v>
      </c>
    </row>
    <row r="5641" ht="15.75" customHeight="1">
      <c r="O5641" s="4" t="s">
        <v>6918</v>
      </c>
    </row>
    <row r="5642" ht="15.75" customHeight="1">
      <c r="O5642" s="4" t="s">
        <v>6919</v>
      </c>
    </row>
    <row r="5643" ht="15.75" customHeight="1">
      <c r="O5643" s="4" t="s">
        <v>6920</v>
      </c>
    </row>
    <row r="5644" ht="15.75" customHeight="1">
      <c r="O5644" s="4" t="s">
        <v>6921</v>
      </c>
    </row>
    <row r="5645" ht="15.75" customHeight="1">
      <c r="O5645" s="4" t="s">
        <v>6922</v>
      </c>
    </row>
    <row r="5646" ht="15.75" customHeight="1">
      <c r="O5646" s="4" t="s">
        <v>6923</v>
      </c>
    </row>
    <row r="5647" ht="15.75" customHeight="1">
      <c r="O5647" s="4" t="s">
        <v>6924</v>
      </c>
    </row>
    <row r="5648" ht="15.75" customHeight="1">
      <c r="O5648" s="4" t="s">
        <v>6925</v>
      </c>
    </row>
    <row r="5649" ht="15.75" customHeight="1">
      <c r="O5649" s="4" t="s">
        <v>6926</v>
      </c>
    </row>
    <row r="5650" ht="15.75" customHeight="1">
      <c r="O5650" s="4" t="s">
        <v>6927</v>
      </c>
    </row>
    <row r="5651" ht="15.75" customHeight="1">
      <c r="O5651" s="4" t="s">
        <v>6928</v>
      </c>
    </row>
    <row r="5652" ht="15.75" customHeight="1">
      <c r="O5652" s="4" t="s">
        <v>6929</v>
      </c>
    </row>
    <row r="5653" ht="15.75" customHeight="1">
      <c r="O5653" s="4" t="s">
        <v>6930</v>
      </c>
    </row>
    <row r="5654" ht="15.75" customHeight="1">
      <c r="O5654" s="4" t="s">
        <v>6931</v>
      </c>
    </row>
    <row r="5655" ht="15.75" customHeight="1">
      <c r="O5655" s="4" t="s">
        <v>6932</v>
      </c>
    </row>
    <row r="5656" ht="15.75" customHeight="1">
      <c r="O5656" s="4" t="s">
        <v>6933</v>
      </c>
    </row>
    <row r="5657" ht="15.75" customHeight="1">
      <c r="O5657" s="4" t="s">
        <v>6934</v>
      </c>
    </row>
    <row r="5658" ht="15.75" customHeight="1">
      <c r="O5658" s="4" t="s">
        <v>6935</v>
      </c>
    </row>
    <row r="5659" ht="15.75" customHeight="1">
      <c r="O5659" s="4" t="s">
        <v>6936</v>
      </c>
    </row>
    <row r="5660" ht="15.75" customHeight="1">
      <c r="O5660" s="4" t="s">
        <v>6937</v>
      </c>
    </row>
    <row r="5661" ht="15.75" customHeight="1">
      <c r="O5661" s="4" t="s">
        <v>6938</v>
      </c>
    </row>
    <row r="5662" ht="15.75" customHeight="1">
      <c r="O5662" s="4" t="s">
        <v>6939</v>
      </c>
    </row>
    <row r="5663" ht="15.75" customHeight="1">
      <c r="O5663" s="4" t="s">
        <v>6940</v>
      </c>
    </row>
    <row r="5664" ht="15.75" customHeight="1">
      <c r="O5664" s="4" t="s">
        <v>6941</v>
      </c>
    </row>
    <row r="5665" ht="15.75" customHeight="1">
      <c r="O5665" s="4" t="s">
        <v>6942</v>
      </c>
    </row>
    <row r="5666" ht="15.75" customHeight="1">
      <c r="O5666" s="4" t="s">
        <v>6943</v>
      </c>
    </row>
    <row r="5667" ht="15.75" customHeight="1">
      <c r="O5667" s="4" t="s">
        <v>6944</v>
      </c>
    </row>
    <row r="5668" ht="15.75" customHeight="1">
      <c r="O5668" s="4" t="s">
        <v>6945</v>
      </c>
    </row>
    <row r="5669" ht="15.75" customHeight="1">
      <c r="O5669" s="4" t="s">
        <v>6946</v>
      </c>
    </row>
    <row r="5670" ht="15.75" customHeight="1">
      <c r="O5670" s="4" t="s">
        <v>6947</v>
      </c>
    </row>
    <row r="5671" ht="15.75" customHeight="1">
      <c r="O5671" s="4" t="s">
        <v>6948</v>
      </c>
    </row>
    <row r="5672" ht="15.75" customHeight="1">
      <c r="O5672" s="4" t="s">
        <v>6949</v>
      </c>
    </row>
    <row r="5673" ht="15.75" customHeight="1">
      <c r="O5673" s="4" t="s">
        <v>6950</v>
      </c>
    </row>
    <row r="5674" ht="15.75" customHeight="1">
      <c r="O5674" s="4" t="s">
        <v>6951</v>
      </c>
    </row>
    <row r="5675" ht="15.75" customHeight="1">
      <c r="O5675" s="4" t="s">
        <v>6952</v>
      </c>
    </row>
    <row r="5676" ht="15.75" customHeight="1">
      <c r="O5676" s="4" t="s">
        <v>6953</v>
      </c>
    </row>
    <row r="5677" ht="15.75" customHeight="1">
      <c r="O5677" s="4" t="s">
        <v>6954</v>
      </c>
    </row>
    <row r="5678" ht="15.75" customHeight="1">
      <c r="O5678" s="4" t="s">
        <v>6955</v>
      </c>
    </row>
    <row r="5679" ht="15.75" customHeight="1">
      <c r="O5679" s="4" t="s">
        <v>6956</v>
      </c>
    </row>
    <row r="5680" ht="15.75" customHeight="1">
      <c r="O5680" s="4" t="s">
        <v>6957</v>
      </c>
    </row>
    <row r="5681" ht="15.75" customHeight="1">
      <c r="O5681" s="4" t="s">
        <v>6958</v>
      </c>
    </row>
    <row r="5682" ht="15.75" customHeight="1">
      <c r="O5682" s="4" t="s">
        <v>6959</v>
      </c>
    </row>
    <row r="5683" ht="15.75" customHeight="1">
      <c r="O5683" s="4" t="s">
        <v>6960</v>
      </c>
    </row>
    <row r="5684" ht="15.75" customHeight="1">
      <c r="O5684" s="4" t="s">
        <v>6961</v>
      </c>
    </row>
    <row r="5685" ht="15.75" customHeight="1">
      <c r="O5685" s="4" t="s">
        <v>6962</v>
      </c>
    </row>
    <row r="5686" ht="15.75" customHeight="1">
      <c r="O5686" s="4" t="s">
        <v>6963</v>
      </c>
    </row>
    <row r="5687" ht="15.75" customHeight="1">
      <c r="O5687" s="4" t="s">
        <v>6964</v>
      </c>
    </row>
    <row r="5688" ht="15.75" customHeight="1">
      <c r="O5688" s="4" t="s">
        <v>6965</v>
      </c>
    </row>
    <row r="5689" ht="15.75" customHeight="1">
      <c r="O5689" s="4" t="s">
        <v>6966</v>
      </c>
    </row>
    <row r="5690" ht="15.75" customHeight="1">
      <c r="O5690" s="4" t="s">
        <v>6967</v>
      </c>
    </row>
    <row r="5691" ht="15.75" customHeight="1">
      <c r="O5691" s="4" t="s">
        <v>6968</v>
      </c>
    </row>
    <row r="5692" ht="15.75" customHeight="1">
      <c r="O5692" s="4" t="s">
        <v>6969</v>
      </c>
    </row>
    <row r="5693" ht="15.75" customHeight="1">
      <c r="O5693" s="4" t="s">
        <v>6970</v>
      </c>
    </row>
    <row r="5694" ht="15.75" customHeight="1">
      <c r="O5694" s="4" t="s">
        <v>6971</v>
      </c>
    </row>
    <row r="5695" ht="15.75" customHeight="1">
      <c r="O5695" s="4" t="s">
        <v>6972</v>
      </c>
    </row>
    <row r="5696" ht="15.75" customHeight="1">
      <c r="O5696" s="4" t="s">
        <v>6973</v>
      </c>
    </row>
    <row r="5697" ht="15.75" customHeight="1">
      <c r="O5697" s="4" t="s">
        <v>6974</v>
      </c>
    </row>
    <row r="5698" ht="15.75" customHeight="1">
      <c r="O5698" s="4" t="s">
        <v>6975</v>
      </c>
    </row>
    <row r="5699" ht="15.75" customHeight="1">
      <c r="O5699" s="4" t="s">
        <v>6976</v>
      </c>
    </row>
    <row r="5700" ht="15.75" customHeight="1">
      <c r="O5700" s="4" t="s">
        <v>6977</v>
      </c>
    </row>
    <row r="5701" ht="15.75" customHeight="1">
      <c r="O5701" s="4" t="s">
        <v>6978</v>
      </c>
    </row>
    <row r="5702" ht="15.75" customHeight="1">
      <c r="O5702" s="4" t="s">
        <v>6979</v>
      </c>
    </row>
    <row r="5703" ht="15.75" customHeight="1">
      <c r="O5703" s="4" t="s">
        <v>6980</v>
      </c>
    </row>
    <row r="5704" ht="15.75" customHeight="1">
      <c r="O5704" s="4" t="s">
        <v>6981</v>
      </c>
    </row>
    <row r="5705" ht="15.75" customHeight="1">
      <c r="O5705" s="4" t="s">
        <v>6982</v>
      </c>
    </row>
    <row r="5706" ht="15.75" customHeight="1">
      <c r="O5706" s="4" t="s">
        <v>6983</v>
      </c>
    </row>
    <row r="5707" ht="15.75" customHeight="1">
      <c r="O5707" s="4" t="s">
        <v>6984</v>
      </c>
    </row>
    <row r="5708" ht="15.75" customHeight="1">
      <c r="O5708" s="4" t="s">
        <v>6985</v>
      </c>
    </row>
    <row r="5709" ht="15.75" customHeight="1">
      <c r="O5709" s="4" t="s">
        <v>6986</v>
      </c>
    </row>
    <row r="5710" ht="15.75" customHeight="1">
      <c r="O5710" s="4" t="s">
        <v>6987</v>
      </c>
    </row>
    <row r="5711" ht="15.75" customHeight="1">
      <c r="O5711" s="4" t="s">
        <v>6988</v>
      </c>
    </row>
    <row r="5712" ht="15.75" customHeight="1">
      <c r="O5712" s="4" t="s">
        <v>6989</v>
      </c>
    </row>
    <row r="5713" ht="15.75" customHeight="1">
      <c r="O5713" s="4" t="s">
        <v>6990</v>
      </c>
    </row>
    <row r="5714" ht="15.75" customHeight="1">
      <c r="O5714" s="4" t="s">
        <v>6991</v>
      </c>
    </row>
    <row r="5715" ht="15.75" customHeight="1">
      <c r="O5715" s="4" t="s">
        <v>6992</v>
      </c>
    </row>
    <row r="5716" ht="15.75" customHeight="1">
      <c r="O5716" s="4" t="s">
        <v>6993</v>
      </c>
    </row>
    <row r="5717" ht="15.75" customHeight="1">
      <c r="O5717" s="4" t="s">
        <v>6994</v>
      </c>
    </row>
    <row r="5718" ht="15.75" customHeight="1">
      <c r="O5718" s="4" t="s">
        <v>6995</v>
      </c>
    </row>
    <row r="5719" ht="15.75" customHeight="1">
      <c r="O5719" s="4" t="s">
        <v>6996</v>
      </c>
    </row>
    <row r="5720" ht="15.75" customHeight="1">
      <c r="O5720" s="4" t="s">
        <v>6997</v>
      </c>
    </row>
    <row r="5721" ht="15.75" customHeight="1">
      <c r="O5721" s="4" t="s">
        <v>6998</v>
      </c>
    </row>
    <row r="5722" ht="15.75" customHeight="1">
      <c r="O5722" s="4" t="s">
        <v>6999</v>
      </c>
    </row>
    <row r="5723" ht="15.75" customHeight="1">
      <c r="O5723" s="4" t="s">
        <v>7000</v>
      </c>
    </row>
    <row r="5724" ht="15.75" customHeight="1">
      <c r="O5724" s="4" t="s">
        <v>7001</v>
      </c>
    </row>
    <row r="5725" ht="15.75" customHeight="1">
      <c r="O5725" s="4" t="s">
        <v>7002</v>
      </c>
    </row>
    <row r="5726" ht="15.75" customHeight="1">
      <c r="O5726" s="4" t="s">
        <v>7003</v>
      </c>
    </row>
    <row r="5727" ht="15.75" customHeight="1">
      <c r="O5727" s="4" t="s">
        <v>7004</v>
      </c>
    </row>
    <row r="5728" ht="15.75" customHeight="1">
      <c r="O5728" s="4" t="s">
        <v>7005</v>
      </c>
    </row>
    <row r="5729" ht="15.75" customHeight="1">
      <c r="O5729" s="4" t="s">
        <v>7006</v>
      </c>
    </row>
    <row r="5730" ht="15.75" customHeight="1">
      <c r="O5730" s="4" t="s">
        <v>7007</v>
      </c>
    </row>
    <row r="5731" ht="15.75" customHeight="1">
      <c r="O5731" s="4" t="s">
        <v>7008</v>
      </c>
    </row>
    <row r="5732" ht="15.75" customHeight="1">
      <c r="O5732" s="4" t="s">
        <v>7009</v>
      </c>
    </row>
    <row r="5733" ht="15.75" customHeight="1">
      <c r="O5733" s="4" t="s">
        <v>7010</v>
      </c>
    </row>
    <row r="5734" ht="15.75" customHeight="1">
      <c r="O5734" s="4" t="s">
        <v>7011</v>
      </c>
    </row>
    <row r="5735" ht="15.75" customHeight="1">
      <c r="O5735" s="4" t="s">
        <v>7012</v>
      </c>
    </row>
    <row r="5736" ht="15.75" customHeight="1">
      <c r="O5736" s="4" t="s">
        <v>7013</v>
      </c>
    </row>
    <row r="5737" ht="15.75" customHeight="1">
      <c r="O5737" s="4" t="s">
        <v>7014</v>
      </c>
    </row>
    <row r="5738" ht="15.75" customHeight="1">
      <c r="O5738" s="4" t="s">
        <v>7015</v>
      </c>
    </row>
    <row r="5739" ht="15.75" customHeight="1">
      <c r="O5739" s="4" t="s">
        <v>7016</v>
      </c>
    </row>
    <row r="5740" ht="15.75" customHeight="1">
      <c r="O5740" s="4" t="s">
        <v>7017</v>
      </c>
    </row>
    <row r="5741" ht="15.75" customHeight="1">
      <c r="O5741" s="4" t="s">
        <v>7018</v>
      </c>
    </row>
    <row r="5742" ht="15.75" customHeight="1">
      <c r="O5742" s="4" t="s">
        <v>7019</v>
      </c>
    </row>
    <row r="5743" ht="15.75" customHeight="1">
      <c r="O5743" s="4" t="s">
        <v>7020</v>
      </c>
    </row>
    <row r="5744" ht="15.75" customHeight="1">
      <c r="O5744" s="4" t="s">
        <v>7021</v>
      </c>
    </row>
    <row r="5745" ht="15.75" customHeight="1">
      <c r="O5745" s="4" t="s">
        <v>7022</v>
      </c>
    </row>
    <row r="5746" ht="15.75" customHeight="1">
      <c r="O5746" s="4" t="s">
        <v>7023</v>
      </c>
    </row>
    <row r="5747" ht="15.75" customHeight="1">
      <c r="O5747" s="4" t="s">
        <v>7024</v>
      </c>
    </row>
    <row r="5748" ht="15.75" customHeight="1">
      <c r="O5748" s="4" t="s">
        <v>7025</v>
      </c>
    </row>
    <row r="5749" ht="15.75" customHeight="1">
      <c r="O5749" s="4" t="s">
        <v>7026</v>
      </c>
    </row>
    <row r="5750" ht="15.75" customHeight="1">
      <c r="O5750" s="4" t="s">
        <v>7027</v>
      </c>
    </row>
    <row r="5751" ht="15.75" customHeight="1">
      <c r="O5751" s="4" t="s">
        <v>7028</v>
      </c>
    </row>
    <row r="5752" ht="15.75" customHeight="1">
      <c r="O5752" s="4" t="s">
        <v>7029</v>
      </c>
    </row>
    <row r="5753" ht="15.75" customHeight="1">
      <c r="O5753" s="4" t="s">
        <v>7030</v>
      </c>
    </row>
    <row r="5754" ht="15.75" customHeight="1">
      <c r="O5754" s="4" t="s">
        <v>7031</v>
      </c>
    </row>
    <row r="5755" ht="15.75" customHeight="1">
      <c r="O5755" s="4" t="s">
        <v>7032</v>
      </c>
    </row>
    <row r="5756" ht="15.75" customHeight="1">
      <c r="O5756" s="4" t="s">
        <v>7033</v>
      </c>
    </row>
    <row r="5757" ht="15.75" customHeight="1">
      <c r="O5757" s="4" t="s">
        <v>7034</v>
      </c>
    </row>
    <row r="5758" ht="15.75" customHeight="1">
      <c r="O5758" s="4" t="s">
        <v>7035</v>
      </c>
    </row>
    <row r="5759" ht="15.75" customHeight="1">
      <c r="O5759" s="4" t="s">
        <v>7036</v>
      </c>
    </row>
    <row r="5760" ht="15.75" customHeight="1">
      <c r="O5760" s="4" t="s">
        <v>7037</v>
      </c>
    </row>
    <row r="5761" ht="15.75" customHeight="1">
      <c r="O5761" s="4" t="s">
        <v>7038</v>
      </c>
    </row>
    <row r="5762" ht="15.75" customHeight="1">
      <c r="O5762" s="4" t="s">
        <v>7039</v>
      </c>
    </row>
    <row r="5763" ht="15.75" customHeight="1">
      <c r="O5763" s="4" t="s">
        <v>7040</v>
      </c>
    </row>
    <row r="5764" ht="15.75" customHeight="1">
      <c r="O5764" s="4" t="s">
        <v>7041</v>
      </c>
    </row>
    <row r="5765" ht="15.75" customHeight="1">
      <c r="O5765" s="4" t="s">
        <v>7042</v>
      </c>
    </row>
    <row r="5766" ht="15.75" customHeight="1">
      <c r="O5766" s="4" t="s">
        <v>7043</v>
      </c>
    </row>
    <row r="5767" ht="15.75" customHeight="1">
      <c r="O5767" s="4" t="s">
        <v>7044</v>
      </c>
    </row>
    <row r="5768" ht="15.75" customHeight="1">
      <c r="O5768" s="4" t="s">
        <v>7045</v>
      </c>
    </row>
    <row r="5769" ht="15.75" customHeight="1">
      <c r="O5769" s="4" t="s">
        <v>7046</v>
      </c>
    </row>
    <row r="5770" ht="15.75" customHeight="1">
      <c r="O5770" s="4" t="s">
        <v>7047</v>
      </c>
    </row>
    <row r="5771" ht="15.75" customHeight="1">
      <c r="O5771" s="4" t="s">
        <v>7048</v>
      </c>
    </row>
    <row r="5772" ht="15.75" customHeight="1">
      <c r="O5772" s="4" t="s">
        <v>7049</v>
      </c>
    </row>
    <row r="5773" ht="15.75" customHeight="1">
      <c r="O5773" s="4" t="s">
        <v>7050</v>
      </c>
    </row>
    <row r="5774" ht="15.75" customHeight="1">
      <c r="O5774" s="4" t="s">
        <v>7051</v>
      </c>
    </row>
    <row r="5775" ht="15.75" customHeight="1">
      <c r="O5775" s="4" t="s">
        <v>7052</v>
      </c>
    </row>
    <row r="5776" ht="15.75" customHeight="1">
      <c r="O5776" s="4" t="s">
        <v>7053</v>
      </c>
    </row>
    <row r="5777" ht="15.75" customHeight="1">
      <c r="O5777" s="4" t="s">
        <v>7054</v>
      </c>
    </row>
    <row r="5778" ht="15.75" customHeight="1">
      <c r="O5778" s="4" t="s">
        <v>7055</v>
      </c>
    </row>
    <row r="5779" ht="15.75" customHeight="1">
      <c r="O5779" s="4" t="s">
        <v>7056</v>
      </c>
    </row>
    <row r="5780" ht="15.75" customHeight="1">
      <c r="O5780" s="4" t="s">
        <v>7057</v>
      </c>
    </row>
    <row r="5781" ht="15.75" customHeight="1">
      <c r="O5781" s="4" t="s">
        <v>7058</v>
      </c>
    </row>
    <row r="5782" ht="15.75" customHeight="1">
      <c r="O5782" s="4" t="s">
        <v>7059</v>
      </c>
    </row>
    <row r="5783" ht="15.75" customHeight="1">
      <c r="O5783" s="4" t="s">
        <v>7060</v>
      </c>
    </row>
    <row r="5784" ht="15.75" customHeight="1">
      <c r="O5784" s="4" t="s">
        <v>7061</v>
      </c>
    </row>
    <row r="5785" ht="15.75" customHeight="1">
      <c r="O5785" s="4" t="s">
        <v>7062</v>
      </c>
    </row>
    <row r="5786" ht="15.75" customHeight="1">
      <c r="O5786" s="4" t="s">
        <v>7063</v>
      </c>
    </row>
    <row r="5787" ht="15.75" customHeight="1">
      <c r="O5787" s="4" t="s">
        <v>7064</v>
      </c>
    </row>
    <row r="5788" ht="15.75" customHeight="1">
      <c r="O5788" s="4" t="s">
        <v>7065</v>
      </c>
    </row>
    <row r="5789" ht="15.75" customHeight="1">
      <c r="O5789" s="4" t="s">
        <v>7066</v>
      </c>
    </row>
    <row r="5790" ht="15.75" customHeight="1">
      <c r="O5790" s="4" t="s">
        <v>7067</v>
      </c>
    </row>
    <row r="5791" ht="15.75" customHeight="1">
      <c r="O5791" s="4" t="s">
        <v>7068</v>
      </c>
    </row>
    <row r="5792" ht="15.75" customHeight="1">
      <c r="O5792" s="4" t="s">
        <v>7069</v>
      </c>
    </row>
    <row r="5793" ht="15.75" customHeight="1">
      <c r="O5793" s="4" t="s">
        <v>7070</v>
      </c>
    </row>
    <row r="5794" ht="15.75" customHeight="1">
      <c r="O5794" s="4" t="s">
        <v>7071</v>
      </c>
    </row>
    <row r="5795" ht="15.75" customHeight="1">
      <c r="O5795" s="4" t="s">
        <v>7072</v>
      </c>
    </row>
    <row r="5796" ht="15.75" customHeight="1">
      <c r="O5796" s="4" t="s">
        <v>7073</v>
      </c>
    </row>
    <row r="5797" ht="15.75" customHeight="1">
      <c r="O5797" s="4" t="s">
        <v>7074</v>
      </c>
    </row>
    <row r="5798" ht="15.75" customHeight="1">
      <c r="O5798" s="4" t="s">
        <v>7075</v>
      </c>
    </row>
    <row r="5799" ht="15.75" customHeight="1">
      <c r="O5799" s="4" t="s">
        <v>7076</v>
      </c>
    </row>
    <row r="5800" ht="15.75" customHeight="1">
      <c r="O5800" s="4" t="s">
        <v>7077</v>
      </c>
    </row>
    <row r="5801" ht="15.75" customHeight="1">
      <c r="O5801" s="4" t="s">
        <v>7078</v>
      </c>
    </row>
    <row r="5802" ht="15.75" customHeight="1">
      <c r="O5802" s="4" t="s">
        <v>7079</v>
      </c>
    </row>
    <row r="5803" ht="15.75" customHeight="1">
      <c r="O5803" s="4" t="s">
        <v>7080</v>
      </c>
    </row>
    <row r="5804" ht="15.75" customHeight="1">
      <c r="O5804" s="4" t="s">
        <v>7081</v>
      </c>
    </row>
    <row r="5805" ht="15.75" customHeight="1">
      <c r="O5805" s="4" t="s">
        <v>7082</v>
      </c>
    </row>
    <row r="5806" ht="15.75" customHeight="1">
      <c r="O5806" s="4" t="s">
        <v>7083</v>
      </c>
    </row>
    <row r="5807" ht="15.75" customHeight="1">
      <c r="O5807" s="4" t="s">
        <v>7084</v>
      </c>
    </row>
    <row r="5808" ht="15.75" customHeight="1">
      <c r="O5808" s="4" t="s">
        <v>7085</v>
      </c>
    </row>
    <row r="5809" ht="15.75" customHeight="1">
      <c r="O5809" s="4" t="s">
        <v>7086</v>
      </c>
    </row>
    <row r="5810" ht="15.75" customHeight="1">
      <c r="O5810" s="4" t="s">
        <v>7087</v>
      </c>
    </row>
    <row r="5811" ht="15.75" customHeight="1">
      <c r="O5811" s="4" t="s">
        <v>7088</v>
      </c>
    </row>
    <row r="5812" ht="15.75" customHeight="1">
      <c r="O5812" s="4" t="s">
        <v>7089</v>
      </c>
    </row>
    <row r="5813" ht="15.75" customHeight="1">
      <c r="O5813" s="4" t="s">
        <v>7090</v>
      </c>
    </row>
    <row r="5814" ht="15.75" customHeight="1">
      <c r="O5814" s="4" t="s">
        <v>7091</v>
      </c>
    </row>
    <row r="5815" ht="15.75" customHeight="1">
      <c r="O5815" s="4" t="s">
        <v>7092</v>
      </c>
    </row>
    <row r="5816" ht="15.75" customHeight="1">
      <c r="O5816" s="4" t="s">
        <v>7093</v>
      </c>
    </row>
    <row r="5817" ht="15.75" customHeight="1">
      <c r="O5817" s="4" t="s">
        <v>7094</v>
      </c>
    </row>
    <row r="5818" ht="15.75" customHeight="1">
      <c r="O5818" s="4" t="s">
        <v>7095</v>
      </c>
    </row>
    <row r="5819" ht="15.75" customHeight="1">
      <c r="O5819" s="4" t="s">
        <v>7096</v>
      </c>
    </row>
    <row r="5820" ht="15.75" customHeight="1">
      <c r="O5820" s="4" t="s">
        <v>7097</v>
      </c>
    </row>
    <row r="5821" ht="15.75" customHeight="1">
      <c r="O5821" s="4" t="s">
        <v>7098</v>
      </c>
    </row>
    <row r="5822" ht="15.75" customHeight="1">
      <c r="O5822" s="4" t="s">
        <v>7099</v>
      </c>
    </row>
    <row r="5823" ht="15.75" customHeight="1">
      <c r="O5823" s="4" t="s">
        <v>7100</v>
      </c>
    </row>
    <row r="5824" ht="15.75" customHeight="1">
      <c r="O5824" s="4" t="s">
        <v>7101</v>
      </c>
    </row>
    <row r="5825" ht="15.75" customHeight="1">
      <c r="O5825" s="4" t="s">
        <v>7102</v>
      </c>
    </row>
    <row r="5826" ht="15.75" customHeight="1">
      <c r="O5826" s="4" t="s">
        <v>7103</v>
      </c>
    </row>
    <row r="5827" ht="15.75" customHeight="1">
      <c r="O5827" s="4" t="s">
        <v>7104</v>
      </c>
    </row>
    <row r="5828" ht="15.75" customHeight="1">
      <c r="O5828" s="4" t="s">
        <v>7105</v>
      </c>
    </row>
    <row r="5829" ht="15.75" customHeight="1">
      <c r="O5829" s="4" t="s">
        <v>7106</v>
      </c>
    </row>
    <row r="5830" ht="15.75" customHeight="1">
      <c r="O5830" s="4" t="s">
        <v>7107</v>
      </c>
    </row>
    <row r="5831" ht="15.75" customHeight="1">
      <c r="O5831" s="4" t="s">
        <v>7108</v>
      </c>
    </row>
    <row r="5832" ht="15.75" customHeight="1">
      <c r="O5832" s="4" t="s">
        <v>7109</v>
      </c>
    </row>
    <row r="5833" ht="15.75" customHeight="1">
      <c r="O5833" s="4" t="s">
        <v>7110</v>
      </c>
    </row>
    <row r="5834" ht="15.75" customHeight="1">
      <c r="O5834" s="4" t="s">
        <v>7111</v>
      </c>
    </row>
    <row r="5835" ht="15.75" customHeight="1">
      <c r="O5835" s="4" t="s">
        <v>7112</v>
      </c>
    </row>
    <row r="5836" ht="15.75" customHeight="1">
      <c r="O5836" s="4" t="s">
        <v>7113</v>
      </c>
    </row>
    <row r="5837" ht="15.75" customHeight="1">
      <c r="O5837" s="4" t="s">
        <v>7114</v>
      </c>
    </row>
    <row r="5838" ht="15.75" customHeight="1">
      <c r="O5838" s="4" t="s">
        <v>7115</v>
      </c>
    </row>
    <row r="5839" ht="15.75" customHeight="1">
      <c r="O5839" s="4" t="s">
        <v>7116</v>
      </c>
    </row>
    <row r="5840" ht="15.75" customHeight="1">
      <c r="O5840" s="4" t="s">
        <v>7117</v>
      </c>
    </row>
    <row r="5841" ht="15.75" customHeight="1">
      <c r="O5841" s="4" t="s">
        <v>7118</v>
      </c>
    </row>
    <row r="5842" ht="15.75" customHeight="1">
      <c r="O5842" s="4" t="s">
        <v>7119</v>
      </c>
    </row>
    <row r="5843" ht="15.75" customHeight="1">
      <c r="O5843" s="4" t="s">
        <v>7120</v>
      </c>
    </row>
    <row r="5844" ht="15.75" customHeight="1">
      <c r="O5844" s="4" t="s">
        <v>7121</v>
      </c>
    </row>
    <row r="5845" ht="15.75" customHeight="1">
      <c r="O5845" s="4" t="s">
        <v>7122</v>
      </c>
    </row>
    <row r="5846" ht="15.75" customHeight="1">
      <c r="O5846" s="4" t="s">
        <v>7123</v>
      </c>
    </row>
    <row r="5847" ht="15.75" customHeight="1">
      <c r="O5847" s="4" t="s">
        <v>7124</v>
      </c>
    </row>
    <row r="5848" ht="15.75" customHeight="1">
      <c r="O5848" s="4" t="s">
        <v>7125</v>
      </c>
    </row>
    <row r="5849" ht="15.75" customHeight="1">
      <c r="O5849" s="4" t="s">
        <v>7126</v>
      </c>
    </row>
    <row r="5850" ht="15.75" customHeight="1">
      <c r="O5850" s="4" t="s">
        <v>7127</v>
      </c>
    </row>
    <row r="5851" ht="15.75" customHeight="1">
      <c r="O5851" s="4" t="s">
        <v>7128</v>
      </c>
    </row>
    <row r="5852" ht="15.75" customHeight="1">
      <c r="O5852" s="4" t="s">
        <v>7129</v>
      </c>
    </row>
    <row r="5853" ht="15.75" customHeight="1">
      <c r="O5853" s="4" t="s">
        <v>7130</v>
      </c>
    </row>
    <row r="5854" ht="15.75" customHeight="1">
      <c r="O5854" s="4" t="s">
        <v>7131</v>
      </c>
    </row>
    <row r="5855" ht="15.75" customHeight="1">
      <c r="O5855" s="4" t="s">
        <v>7132</v>
      </c>
    </row>
    <row r="5856" ht="15.75" customHeight="1">
      <c r="O5856" s="4" t="s">
        <v>7133</v>
      </c>
    </row>
    <row r="5857" ht="15.75" customHeight="1">
      <c r="O5857" s="4" t="s">
        <v>7134</v>
      </c>
    </row>
    <row r="5858" ht="15.75" customHeight="1">
      <c r="O5858" s="4" t="s">
        <v>7135</v>
      </c>
    </row>
    <row r="5859" ht="15.75" customHeight="1">
      <c r="O5859" s="4" t="s">
        <v>7136</v>
      </c>
    </row>
    <row r="5860" ht="15.75" customHeight="1">
      <c r="O5860" s="4" t="s">
        <v>7137</v>
      </c>
    </row>
    <row r="5861" ht="15.75" customHeight="1">
      <c r="O5861" s="4" t="s">
        <v>7138</v>
      </c>
    </row>
    <row r="5862" ht="15.75" customHeight="1">
      <c r="O5862" s="4" t="s">
        <v>7139</v>
      </c>
    </row>
    <row r="5863" ht="15.75" customHeight="1">
      <c r="O5863" s="4" t="s">
        <v>7140</v>
      </c>
    </row>
    <row r="5864" ht="15.75" customHeight="1">
      <c r="O5864" s="4" t="s">
        <v>7141</v>
      </c>
    </row>
    <row r="5865" ht="15.75" customHeight="1">
      <c r="O5865" s="4" t="s">
        <v>7142</v>
      </c>
    </row>
    <row r="5866" ht="15.75" customHeight="1">
      <c r="O5866" s="4" t="s">
        <v>7143</v>
      </c>
    </row>
    <row r="5867" ht="15.75" customHeight="1">
      <c r="O5867" s="4" t="s">
        <v>7144</v>
      </c>
    </row>
    <row r="5868" ht="15.75" customHeight="1">
      <c r="O5868" s="4" t="s">
        <v>7145</v>
      </c>
    </row>
    <row r="5869" ht="15.75" customHeight="1">
      <c r="O5869" s="4" t="s">
        <v>7146</v>
      </c>
    </row>
    <row r="5870" ht="15.75" customHeight="1">
      <c r="O5870" s="4" t="s">
        <v>7147</v>
      </c>
    </row>
    <row r="5871" ht="15.75" customHeight="1">
      <c r="O5871" s="4" t="s">
        <v>7148</v>
      </c>
    </row>
    <row r="5872" ht="15.75" customHeight="1">
      <c r="O5872" s="4" t="s">
        <v>7149</v>
      </c>
    </row>
    <row r="5873" ht="15.75" customHeight="1">
      <c r="O5873" s="4" t="s">
        <v>7150</v>
      </c>
    </row>
    <row r="5874" ht="15.75" customHeight="1">
      <c r="O5874" s="4" t="s">
        <v>7151</v>
      </c>
    </row>
    <row r="5875" ht="15.75" customHeight="1">
      <c r="O5875" s="4" t="s">
        <v>7152</v>
      </c>
    </row>
    <row r="5876" ht="15.75" customHeight="1">
      <c r="O5876" s="4" t="s">
        <v>7153</v>
      </c>
    </row>
    <row r="5877" ht="15.75" customHeight="1">
      <c r="O5877" s="4" t="s">
        <v>7154</v>
      </c>
    </row>
    <row r="5878" ht="15.75" customHeight="1">
      <c r="O5878" s="4" t="s">
        <v>7155</v>
      </c>
    </row>
    <row r="5879" ht="15.75" customHeight="1">
      <c r="O5879" s="4" t="s">
        <v>7156</v>
      </c>
    </row>
    <row r="5880" ht="15.75" customHeight="1">
      <c r="O5880" s="4" t="s">
        <v>7157</v>
      </c>
    </row>
    <row r="5881" ht="15.75" customHeight="1">
      <c r="O5881" s="4" t="s">
        <v>7158</v>
      </c>
    </row>
    <row r="5882" ht="15.75" customHeight="1">
      <c r="O5882" s="4" t="s">
        <v>7159</v>
      </c>
    </row>
    <row r="5883" ht="15.75" customHeight="1">
      <c r="O5883" s="4" t="s">
        <v>7160</v>
      </c>
    </row>
    <row r="5884" ht="15.75" customHeight="1">
      <c r="O5884" s="4" t="s">
        <v>7161</v>
      </c>
    </row>
    <row r="5885" ht="15.75" customHeight="1">
      <c r="O5885" s="4" t="s">
        <v>7162</v>
      </c>
    </row>
    <row r="5886" ht="15.75" customHeight="1">
      <c r="O5886" s="4" t="s">
        <v>7163</v>
      </c>
    </row>
    <row r="5887" ht="15.75" customHeight="1">
      <c r="O5887" s="4" t="s">
        <v>7164</v>
      </c>
    </row>
    <row r="5888" ht="15.75" customHeight="1">
      <c r="O5888" s="4" t="s">
        <v>7165</v>
      </c>
    </row>
    <row r="5889" ht="15.75" customHeight="1">
      <c r="O5889" s="4" t="s">
        <v>7166</v>
      </c>
    </row>
    <row r="5890" ht="15.75" customHeight="1">
      <c r="O5890" s="4" t="s">
        <v>7167</v>
      </c>
    </row>
    <row r="5891" ht="15.75" customHeight="1">
      <c r="O5891" s="4" t="s">
        <v>7168</v>
      </c>
    </row>
    <row r="5892" ht="15.75" customHeight="1">
      <c r="O5892" s="4" t="s">
        <v>7169</v>
      </c>
    </row>
    <row r="5893" ht="15.75" customHeight="1">
      <c r="O5893" s="4" t="s">
        <v>7170</v>
      </c>
    </row>
    <row r="5894" ht="15.75" customHeight="1">
      <c r="O5894" s="4" t="s">
        <v>7171</v>
      </c>
    </row>
    <row r="5895" ht="15.75" customHeight="1">
      <c r="O5895" s="4" t="s">
        <v>7172</v>
      </c>
    </row>
    <row r="5896" ht="15.75" customHeight="1">
      <c r="O5896" s="4" t="s">
        <v>7173</v>
      </c>
    </row>
    <row r="5897" ht="15.75" customHeight="1">
      <c r="O5897" s="4" t="s">
        <v>7174</v>
      </c>
    </row>
    <row r="5898" ht="15.75" customHeight="1">
      <c r="O5898" s="4" t="s">
        <v>7175</v>
      </c>
    </row>
    <row r="5899" ht="15.75" customHeight="1">
      <c r="O5899" s="4" t="s">
        <v>7176</v>
      </c>
    </row>
    <row r="5900" ht="15.75" customHeight="1">
      <c r="O5900" s="4" t="s">
        <v>7177</v>
      </c>
    </row>
    <row r="5901" ht="15.75" customHeight="1">
      <c r="O5901" s="4" t="s">
        <v>7178</v>
      </c>
    </row>
    <row r="5902" ht="15.75" customHeight="1">
      <c r="O5902" s="4" t="s">
        <v>7179</v>
      </c>
    </row>
    <row r="5903" ht="15.75" customHeight="1">
      <c r="O5903" s="4" t="s">
        <v>7180</v>
      </c>
    </row>
    <row r="5904" ht="15.75" customHeight="1">
      <c r="O5904" s="4" t="s">
        <v>7181</v>
      </c>
    </row>
    <row r="5905" ht="15.75" customHeight="1">
      <c r="O5905" s="4" t="s">
        <v>7182</v>
      </c>
    </row>
    <row r="5906" ht="15.75" customHeight="1">
      <c r="O5906" s="4" t="s">
        <v>7183</v>
      </c>
    </row>
    <row r="5907" ht="15.75" customHeight="1">
      <c r="O5907" s="4" t="s">
        <v>7184</v>
      </c>
    </row>
    <row r="5908" ht="15.75" customHeight="1">
      <c r="O5908" s="4" t="s">
        <v>7185</v>
      </c>
    </row>
    <row r="5909" ht="15.75" customHeight="1">
      <c r="O5909" s="4" t="s">
        <v>7186</v>
      </c>
    </row>
    <row r="5910" ht="15.75" customHeight="1">
      <c r="O5910" s="4" t="s">
        <v>7187</v>
      </c>
    </row>
    <row r="5911" ht="15.75" customHeight="1">
      <c r="O5911" s="4" t="s">
        <v>7188</v>
      </c>
    </row>
    <row r="5912" ht="15.75" customHeight="1">
      <c r="O5912" s="4" t="s">
        <v>7189</v>
      </c>
    </row>
    <row r="5913" ht="15.75" customHeight="1">
      <c r="O5913" s="4" t="s">
        <v>7190</v>
      </c>
    </row>
    <row r="5914" ht="15.75" customHeight="1">
      <c r="O5914" s="4" t="s">
        <v>7191</v>
      </c>
    </row>
    <row r="5915" ht="15.75" customHeight="1">
      <c r="O5915" s="4" t="s">
        <v>7192</v>
      </c>
    </row>
    <row r="5916" ht="15.75" customHeight="1">
      <c r="O5916" s="4" t="s">
        <v>7193</v>
      </c>
    </row>
    <row r="5917" ht="15.75" customHeight="1">
      <c r="O5917" s="4" t="s">
        <v>7194</v>
      </c>
    </row>
    <row r="5918" ht="15.75" customHeight="1">
      <c r="O5918" s="4" t="s">
        <v>7195</v>
      </c>
    </row>
    <row r="5919" ht="15.75" customHeight="1">
      <c r="O5919" s="4" t="s">
        <v>7196</v>
      </c>
    </row>
    <row r="5920" ht="15.75" customHeight="1">
      <c r="O5920" s="4" t="s">
        <v>7197</v>
      </c>
    </row>
    <row r="5921" ht="15.75" customHeight="1">
      <c r="O5921" s="4" t="s">
        <v>7198</v>
      </c>
    </row>
    <row r="5922" ht="15.75" customHeight="1">
      <c r="O5922" s="4" t="s">
        <v>7199</v>
      </c>
    </row>
    <row r="5923" ht="15.75" customHeight="1">
      <c r="O5923" s="4" t="s">
        <v>7200</v>
      </c>
    </row>
    <row r="5924" ht="15.75" customHeight="1">
      <c r="O5924" s="4" t="s">
        <v>7201</v>
      </c>
    </row>
    <row r="5925" ht="15.75" customHeight="1">
      <c r="O5925" s="4" t="s">
        <v>7202</v>
      </c>
    </row>
    <row r="5926" ht="15.75" customHeight="1">
      <c r="O5926" s="4" t="s">
        <v>7203</v>
      </c>
    </row>
    <row r="5927" ht="15.75" customHeight="1">
      <c r="O5927" s="4" t="s">
        <v>7204</v>
      </c>
    </row>
    <row r="5928" ht="15.75" customHeight="1">
      <c r="O5928" s="4" t="s">
        <v>7205</v>
      </c>
    </row>
    <row r="5929" ht="15.75" customHeight="1">
      <c r="O5929" s="4" t="s">
        <v>7206</v>
      </c>
    </row>
    <row r="5930" ht="15.75" customHeight="1">
      <c r="O5930" s="4" t="s">
        <v>7207</v>
      </c>
    </row>
    <row r="5931" ht="15.75" customHeight="1">
      <c r="O5931" s="4" t="s">
        <v>7208</v>
      </c>
    </row>
    <row r="5932" ht="15.75" customHeight="1">
      <c r="O5932" s="4" t="s">
        <v>7209</v>
      </c>
    </row>
    <row r="5933" ht="15.75" customHeight="1">
      <c r="O5933" s="4" t="s">
        <v>7210</v>
      </c>
    </row>
    <row r="5934" ht="15.75" customHeight="1">
      <c r="O5934" s="4" t="s">
        <v>7211</v>
      </c>
    </row>
    <row r="5935" ht="15.75" customHeight="1">
      <c r="O5935" s="4" t="s">
        <v>7212</v>
      </c>
    </row>
    <row r="5936" ht="15.75" customHeight="1">
      <c r="O5936" s="4" t="s">
        <v>7213</v>
      </c>
    </row>
    <row r="5937" ht="15.75" customHeight="1">
      <c r="O5937" s="4" t="s">
        <v>7214</v>
      </c>
    </row>
    <row r="5938" ht="15.75" customHeight="1">
      <c r="O5938" s="4" t="s">
        <v>7215</v>
      </c>
    </row>
    <row r="5939" ht="15.75" customHeight="1">
      <c r="O5939" s="4" t="s">
        <v>7216</v>
      </c>
    </row>
    <row r="5940" ht="15.75" customHeight="1">
      <c r="O5940" s="4" t="s">
        <v>7217</v>
      </c>
    </row>
    <row r="5941" ht="15.75" customHeight="1">
      <c r="O5941" s="4" t="s">
        <v>7218</v>
      </c>
    </row>
    <row r="5942" ht="15.75" customHeight="1">
      <c r="O5942" s="4" t="s">
        <v>7219</v>
      </c>
    </row>
    <row r="5943" ht="15.75" customHeight="1">
      <c r="O5943" s="4" t="s">
        <v>7220</v>
      </c>
    </row>
    <row r="5944" ht="15.75" customHeight="1">
      <c r="O5944" s="4" t="s">
        <v>7221</v>
      </c>
    </row>
    <row r="5945" ht="15.75" customHeight="1">
      <c r="O5945" s="4" t="s">
        <v>7222</v>
      </c>
    </row>
    <row r="5946" ht="15.75" customHeight="1">
      <c r="O5946" s="4" t="s">
        <v>7223</v>
      </c>
    </row>
    <row r="5947" ht="15.75" customHeight="1">
      <c r="O5947" s="4" t="s">
        <v>7224</v>
      </c>
    </row>
    <row r="5948" ht="15.75" customHeight="1">
      <c r="O5948" s="4" t="s">
        <v>7225</v>
      </c>
    </row>
    <row r="5949" ht="15.75" customHeight="1">
      <c r="O5949" s="4" t="s">
        <v>7226</v>
      </c>
    </row>
    <row r="5950" ht="15.75" customHeight="1">
      <c r="O5950" s="4" t="s">
        <v>7227</v>
      </c>
    </row>
    <row r="5951" ht="15.75" customHeight="1">
      <c r="O5951" s="4" t="s">
        <v>7228</v>
      </c>
    </row>
    <row r="5952" ht="15.75" customHeight="1">
      <c r="O5952" s="4" t="s">
        <v>7229</v>
      </c>
    </row>
    <row r="5953" ht="15.75" customHeight="1">
      <c r="O5953" s="4" t="s">
        <v>7230</v>
      </c>
    </row>
    <row r="5954" ht="15.75" customHeight="1">
      <c r="O5954" s="4" t="s">
        <v>7231</v>
      </c>
    </row>
    <row r="5955" ht="15.75" customHeight="1">
      <c r="O5955" s="4" t="s">
        <v>7232</v>
      </c>
    </row>
    <row r="5956" ht="15.75" customHeight="1">
      <c r="O5956" s="4" t="s">
        <v>7233</v>
      </c>
    </row>
    <row r="5957" ht="15.75" customHeight="1">
      <c r="O5957" s="4" t="s">
        <v>7234</v>
      </c>
    </row>
    <row r="5958" ht="15.75" customHeight="1">
      <c r="O5958" s="4" t="s">
        <v>7235</v>
      </c>
    </row>
    <row r="5959" ht="15.75" customHeight="1">
      <c r="O5959" s="4" t="s">
        <v>7236</v>
      </c>
    </row>
    <row r="5960" ht="15.75" customHeight="1">
      <c r="O5960" s="4" t="s">
        <v>7237</v>
      </c>
    </row>
    <row r="5961" ht="15.75" customHeight="1">
      <c r="O5961" s="4" t="s">
        <v>7238</v>
      </c>
    </row>
    <row r="5962" ht="15.75" customHeight="1">
      <c r="O5962" s="4" t="s">
        <v>7239</v>
      </c>
    </row>
    <row r="5963" ht="15.75" customHeight="1">
      <c r="O5963" s="4" t="s">
        <v>7240</v>
      </c>
    </row>
    <row r="5964" ht="15.75" customHeight="1">
      <c r="O5964" s="4" t="s">
        <v>7241</v>
      </c>
    </row>
    <row r="5965" ht="15.75" customHeight="1">
      <c r="O5965" s="4" t="s">
        <v>7242</v>
      </c>
    </row>
    <row r="5966" ht="15.75" customHeight="1">
      <c r="O5966" s="4" t="s">
        <v>7243</v>
      </c>
    </row>
    <row r="5967" ht="15.75" customHeight="1">
      <c r="O5967" s="4" t="s">
        <v>7244</v>
      </c>
    </row>
    <row r="5968" ht="15.75" customHeight="1">
      <c r="O5968" s="4" t="s">
        <v>7245</v>
      </c>
    </row>
    <row r="5969" ht="15.75" customHeight="1">
      <c r="O5969" s="4" t="s">
        <v>7246</v>
      </c>
    </row>
    <row r="5970" ht="15.75" customHeight="1">
      <c r="O5970" s="4" t="s">
        <v>7247</v>
      </c>
    </row>
    <row r="5971" ht="15.75" customHeight="1">
      <c r="O5971" s="4" t="s">
        <v>7248</v>
      </c>
    </row>
    <row r="5972" ht="15.75" customHeight="1">
      <c r="O5972" s="4" t="s">
        <v>7249</v>
      </c>
    </row>
    <row r="5973" ht="15.75" customHeight="1">
      <c r="O5973" s="4" t="s">
        <v>7250</v>
      </c>
    </row>
    <row r="5974" ht="15.75" customHeight="1">
      <c r="O5974" s="4" t="s">
        <v>7251</v>
      </c>
    </row>
    <row r="5975" ht="15.75" customHeight="1">
      <c r="O5975" s="4" t="s">
        <v>7252</v>
      </c>
    </row>
    <row r="5976" ht="15.75" customHeight="1">
      <c r="O5976" s="4" t="s">
        <v>7253</v>
      </c>
    </row>
    <row r="5977" ht="15.75" customHeight="1">
      <c r="O5977" s="4" t="s">
        <v>7254</v>
      </c>
    </row>
    <row r="5978" ht="15.75" customHeight="1">
      <c r="O5978" s="4" t="s">
        <v>7255</v>
      </c>
    </row>
    <row r="5979" ht="15.75" customHeight="1">
      <c r="O5979" s="4" t="s">
        <v>7256</v>
      </c>
    </row>
    <row r="5980" ht="15.75" customHeight="1">
      <c r="O5980" s="4" t="s">
        <v>7257</v>
      </c>
    </row>
    <row r="5981" ht="15.75" customHeight="1">
      <c r="O5981" s="4" t="s">
        <v>7258</v>
      </c>
    </row>
    <row r="5982" ht="15.75" customHeight="1">
      <c r="O5982" s="4" t="s">
        <v>7259</v>
      </c>
    </row>
    <row r="5983" ht="15.75" customHeight="1">
      <c r="O5983" s="4" t="s">
        <v>7260</v>
      </c>
    </row>
    <row r="5984" ht="15.75" customHeight="1">
      <c r="O5984" s="4" t="s">
        <v>7261</v>
      </c>
    </row>
    <row r="5985" ht="15.75" customHeight="1">
      <c r="O5985" s="4" t="s">
        <v>7262</v>
      </c>
    </row>
    <row r="5986" ht="15.75" customHeight="1">
      <c r="O5986" s="4" t="s">
        <v>7263</v>
      </c>
    </row>
    <row r="5987" ht="15.75" customHeight="1">
      <c r="O5987" s="4" t="s">
        <v>7264</v>
      </c>
    </row>
    <row r="5988" ht="15.75" customHeight="1">
      <c r="O5988" s="4" t="s">
        <v>7265</v>
      </c>
    </row>
    <row r="5989" ht="15.75" customHeight="1">
      <c r="O5989" s="4" t="s">
        <v>7266</v>
      </c>
    </row>
    <row r="5990" ht="15.75" customHeight="1">
      <c r="O5990" s="4" t="s">
        <v>7267</v>
      </c>
    </row>
    <row r="5991" ht="15.75" customHeight="1">
      <c r="O5991" s="4" t="s">
        <v>7268</v>
      </c>
    </row>
    <row r="5992" ht="15.75" customHeight="1">
      <c r="O5992" s="4" t="s">
        <v>7269</v>
      </c>
    </row>
    <row r="5993" ht="15.75" customHeight="1">
      <c r="O5993" s="4" t="s">
        <v>7270</v>
      </c>
    </row>
    <row r="5994" ht="15.75" customHeight="1">
      <c r="O5994" s="4" t="s">
        <v>7271</v>
      </c>
    </row>
    <row r="5995" ht="15.75" customHeight="1">
      <c r="O5995" s="4" t="s">
        <v>7272</v>
      </c>
    </row>
    <row r="5996" ht="15.75" customHeight="1">
      <c r="O5996" s="4" t="s">
        <v>7273</v>
      </c>
    </row>
    <row r="5997" ht="15.75" customHeight="1">
      <c r="O5997" s="4" t="s">
        <v>7274</v>
      </c>
    </row>
    <row r="5998" ht="15.75" customHeight="1">
      <c r="O5998" s="4" t="s">
        <v>7275</v>
      </c>
    </row>
    <row r="5999" ht="15.75" customHeight="1">
      <c r="O5999" s="4" t="s">
        <v>7276</v>
      </c>
    </row>
    <row r="6000" ht="15.75" customHeight="1">
      <c r="O6000" s="4" t="s">
        <v>7277</v>
      </c>
    </row>
    <row r="6001" ht="15.75" customHeight="1">
      <c r="O6001" s="4" t="s">
        <v>7278</v>
      </c>
    </row>
    <row r="6002" ht="15.75" customHeight="1">
      <c r="O6002" s="4" t="s">
        <v>7279</v>
      </c>
    </row>
    <row r="6003" ht="15.75" customHeight="1">
      <c r="O6003" s="4" t="s">
        <v>7280</v>
      </c>
    </row>
    <row r="6004" ht="15.75" customHeight="1">
      <c r="O6004" s="4" t="s">
        <v>7281</v>
      </c>
    </row>
    <row r="6005" ht="15.75" customHeight="1">
      <c r="O6005" s="4" t="s">
        <v>7282</v>
      </c>
    </row>
    <row r="6006" ht="15.75" customHeight="1">
      <c r="O6006" s="4" t="s">
        <v>7283</v>
      </c>
    </row>
    <row r="6007" ht="15.75" customHeight="1">
      <c r="O6007" s="4" t="s">
        <v>7284</v>
      </c>
    </row>
    <row r="6008" ht="15.75" customHeight="1">
      <c r="O6008" s="4" t="s">
        <v>7285</v>
      </c>
    </row>
    <row r="6009" ht="15.75" customHeight="1">
      <c r="O6009" s="4" t="s">
        <v>7286</v>
      </c>
    </row>
    <row r="6010" ht="15.75" customHeight="1">
      <c r="O6010" s="4" t="s">
        <v>7287</v>
      </c>
    </row>
    <row r="6011" ht="15.75" customHeight="1">
      <c r="O6011" s="4" t="s">
        <v>7288</v>
      </c>
    </row>
    <row r="6012" ht="15.75" customHeight="1">
      <c r="O6012" s="4" t="s">
        <v>7289</v>
      </c>
    </row>
    <row r="6013" ht="15.75" customHeight="1">
      <c r="O6013" s="4" t="s">
        <v>7290</v>
      </c>
    </row>
    <row r="6014" ht="15.75" customHeight="1">
      <c r="O6014" s="4" t="s">
        <v>7291</v>
      </c>
    </row>
    <row r="6015" ht="15.75" customHeight="1">
      <c r="O6015" s="4" t="s">
        <v>7292</v>
      </c>
    </row>
    <row r="6016" ht="15.75" customHeight="1">
      <c r="O6016" s="4" t="s">
        <v>7293</v>
      </c>
    </row>
    <row r="6017" ht="15.75" customHeight="1">
      <c r="O6017" s="4" t="s">
        <v>7294</v>
      </c>
    </row>
    <row r="6018" ht="15.75" customHeight="1">
      <c r="O6018" s="4" t="s">
        <v>7295</v>
      </c>
    </row>
    <row r="6019" ht="15.75" customHeight="1">
      <c r="O6019" s="4" t="s">
        <v>7296</v>
      </c>
    </row>
    <row r="6020" ht="15.75" customHeight="1">
      <c r="O6020" s="4" t="s">
        <v>7297</v>
      </c>
    </row>
    <row r="6021" ht="15.75" customHeight="1">
      <c r="O6021" s="4" t="s">
        <v>7298</v>
      </c>
    </row>
    <row r="6022" ht="15.75" customHeight="1">
      <c r="O6022" s="4" t="s">
        <v>7299</v>
      </c>
    </row>
    <row r="6023" ht="15.75" customHeight="1">
      <c r="O6023" s="4" t="s">
        <v>7300</v>
      </c>
    </row>
    <row r="6024" ht="15.75" customHeight="1">
      <c r="O6024" s="4" t="s">
        <v>7301</v>
      </c>
    </row>
    <row r="6025" ht="15.75" customHeight="1">
      <c r="O6025" s="4" t="s">
        <v>7302</v>
      </c>
    </row>
    <row r="6026" ht="15.75" customHeight="1">
      <c r="O6026" s="4" t="s">
        <v>7303</v>
      </c>
    </row>
    <row r="6027" ht="15.75" customHeight="1">
      <c r="O6027" s="4" t="s">
        <v>7304</v>
      </c>
    </row>
    <row r="6028" ht="15.75" customHeight="1">
      <c r="O6028" s="4" t="s">
        <v>7305</v>
      </c>
    </row>
    <row r="6029" ht="15.75" customHeight="1">
      <c r="O6029" s="4" t="s">
        <v>7306</v>
      </c>
    </row>
    <row r="6030" ht="15.75" customHeight="1">
      <c r="O6030" s="4" t="s">
        <v>7307</v>
      </c>
    </row>
    <row r="6031" ht="15.75" customHeight="1">
      <c r="O6031" s="4" t="s">
        <v>7308</v>
      </c>
    </row>
    <row r="6032" ht="15.75" customHeight="1">
      <c r="O6032" s="4" t="s">
        <v>7309</v>
      </c>
    </row>
    <row r="6033" ht="15.75" customHeight="1">
      <c r="O6033" s="4" t="s">
        <v>7310</v>
      </c>
    </row>
    <row r="6034" ht="15.75" customHeight="1">
      <c r="O6034" s="4" t="s">
        <v>7311</v>
      </c>
    </row>
    <row r="6035" ht="15.75" customHeight="1">
      <c r="O6035" s="4" t="s">
        <v>7312</v>
      </c>
    </row>
    <row r="6036" ht="15.75" customHeight="1">
      <c r="O6036" s="4" t="s">
        <v>7313</v>
      </c>
    </row>
    <row r="6037" ht="15.75" customHeight="1">
      <c r="O6037" s="4" t="s">
        <v>7314</v>
      </c>
    </row>
    <row r="6038" ht="15.75" customHeight="1">
      <c r="O6038" s="5" t="s">
        <v>7315</v>
      </c>
    </row>
    <row r="6039" ht="15.75" customHeight="1">
      <c r="O6039" s="4" t="s">
        <v>7316</v>
      </c>
    </row>
    <row r="6040" ht="15.75" customHeight="1">
      <c r="O6040" s="4" t="s">
        <v>7317</v>
      </c>
    </row>
    <row r="6041" ht="15.75" customHeight="1">
      <c r="O6041" s="4" t="s">
        <v>7318</v>
      </c>
    </row>
    <row r="6042" ht="15.75" customHeight="1">
      <c r="O6042" s="4" t="s">
        <v>7319</v>
      </c>
    </row>
    <row r="6043" ht="15.75" customHeight="1">
      <c r="O6043" s="4" t="s">
        <v>7320</v>
      </c>
    </row>
    <row r="6044" ht="15.75" customHeight="1">
      <c r="O6044" s="4" t="s">
        <v>7321</v>
      </c>
    </row>
    <row r="6045" ht="15.75" customHeight="1">
      <c r="O6045" s="4" t="s">
        <v>7322</v>
      </c>
    </row>
    <row r="6046" ht="15.75" customHeight="1">
      <c r="O6046" s="4" t="s">
        <v>7323</v>
      </c>
    </row>
    <row r="6047" ht="15.75" customHeight="1">
      <c r="O6047" s="4" t="s">
        <v>7324</v>
      </c>
    </row>
    <row r="6048" ht="15.75" customHeight="1">
      <c r="O6048" s="4" t="s">
        <v>7325</v>
      </c>
    </row>
    <row r="6049" ht="15.75" customHeight="1">
      <c r="O6049" s="4" t="s">
        <v>7326</v>
      </c>
    </row>
    <row r="6050" ht="15.75" customHeight="1">
      <c r="O6050" s="4" t="s">
        <v>7327</v>
      </c>
    </row>
    <row r="6051" ht="15.75" customHeight="1">
      <c r="O6051" s="4" t="s">
        <v>7328</v>
      </c>
    </row>
    <row r="6052" ht="15.75" customHeight="1">
      <c r="O6052" s="4" t="s">
        <v>7329</v>
      </c>
    </row>
    <row r="6053" ht="15.75" customHeight="1">
      <c r="O6053" s="4" t="s">
        <v>7330</v>
      </c>
    </row>
    <row r="6054" ht="15.75" customHeight="1">
      <c r="O6054" s="4" t="s">
        <v>7331</v>
      </c>
    </row>
    <row r="6055" ht="15.75" customHeight="1">
      <c r="O6055" s="4" t="s">
        <v>7332</v>
      </c>
    </row>
    <row r="6056" ht="15.75" customHeight="1">
      <c r="O6056" s="4" t="s">
        <v>7333</v>
      </c>
    </row>
    <row r="6057" ht="15.75" customHeight="1">
      <c r="O6057" s="4" t="s">
        <v>7334</v>
      </c>
    </row>
    <row r="6058" ht="15.75" customHeight="1">
      <c r="O6058" s="4" t="s">
        <v>7335</v>
      </c>
    </row>
    <row r="6059" ht="15.75" customHeight="1">
      <c r="O6059" s="4" t="s">
        <v>7336</v>
      </c>
    </row>
    <row r="6060" ht="15.75" customHeight="1">
      <c r="O6060" s="4" t="s">
        <v>7337</v>
      </c>
    </row>
    <row r="6061" ht="15.75" customHeight="1">
      <c r="O6061" s="4" t="s">
        <v>7338</v>
      </c>
    </row>
    <row r="6062" ht="15.75" customHeight="1">
      <c r="O6062" s="4" t="s">
        <v>7339</v>
      </c>
    </row>
    <row r="6063" ht="15.75" customHeight="1">
      <c r="O6063" s="4" t="s">
        <v>7340</v>
      </c>
    </row>
    <row r="6064" ht="15.75" customHeight="1">
      <c r="O6064" s="4" t="s">
        <v>7341</v>
      </c>
    </row>
    <row r="6065" ht="15.75" customHeight="1">
      <c r="O6065" s="4" t="s">
        <v>7342</v>
      </c>
    </row>
    <row r="6066" ht="15.75" customHeight="1">
      <c r="O6066" s="4" t="s">
        <v>7343</v>
      </c>
    </row>
    <row r="6067" ht="15.75" customHeight="1">
      <c r="O6067" s="4" t="s">
        <v>7344</v>
      </c>
    </row>
    <row r="6068" ht="15.75" customHeight="1">
      <c r="O6068" s="4" t="s">
        <v>7345</v>
      </c>
    </row>
    <row r="6069" ht="15.75" customHeight="1">
      <c r="O6069" s="4" t="s">
        <v>7346</v>
      </c>
    </row>
    <row r="6070" ht="15.75" customHeight="1">
      <c r="O6070" s="4" t="s">
        <v>7347</v>
      </c>
    </row>
    <row r="6071" ht="15.75" customHeight="1">
      <c r="O6071" s="4" t="s">
        <v>7348</v>
      </c>
    </row>
    <row r="6072" ht="15.75" customHeight="1">
      <c r="O6072" s="4" t="s">
        <v>7349</v>
      </c>
    </row>
    <row r="6073" ht="15.75" customHeight="1">
      <c r="O6073" s="4" t="s">
        <v>7350</v>
      </c>
    </row>
    <row r="6074" ht="15.75" customHeight="1">
      <c r="O6074" s="4" t="s">
        <v>7351</v>
      </c>
    </row>
    <row r="6075" ht="15.75" customHeight="1">
      <c r="O6075" s="4" t="s">
        <v>7352</v>
      </c>
    </row>
    <row r="6076" ht="15.75" customHeight="1">
      <c r="O6076" s="4" t="s">
        <v>7353</v>
      </c>
    </row>
    <row r="6077" ht="15.75" customHeight="1">
      <c r="O6077" s="4" t="s">
        <v>7354</v>
      </c>
    </row>
    <row r="6078" ht="15.75" customHeight="1">
      <c r="O6078" s="4" t="s">
        <v>7355</v>
      </c>
    </row>
    <row r="6079" ht="15.75" customHeight="1">
      <c r="O6079" s="4" t="s">
        <v>7356</v>
      </c>
    </row>
    <row r="6080" ht="15.75" customHeight="1">
      <c r="O6080" s="4" t="s">
        <v>7357</v>
      </c>
    </row>
    <row r="6081" ht="15.75" customHeight="1">
      <c r="O6081" s="4" t="s">
        <v>7358</v>
      </c>
    </row>
    <row r="6082" ht="15.75" customHeight="1">
      <c r="O6082" s="4" t="s">
        <v>7359</v>
      </c>
    </row>
    <row r="6083" ht="15.75" customHeight="1">
      <c r="O6083" s="4" t="s">
        <v>7360</v>
      </c>
    </row>
    <row r="6084" ht="15.75" customHeight="1">
      <c r="O6084" s="4" t="s">
        <v>7361</v>
      </c>
    </row>
    <row r="6085" ht="15.75" customHeight="1">
      <c r="O6085" s="4" t="s">
        <v>7362</v>
      </c>
    </row>
    <row r="6086" ht="15.75" customHeight="1">
      <c r="O6086" s="4" t="s">
        <v>7363</v>
      </c>
    </row>
    <row r="6087" ht="15.75" customHeight="1">
      <c r="O6087" s="4" t="s">
        <v>7364</v>
      </c>
    </row>
    <row r="6088" ht="15.75" customHeight="1">
      <c r="O6088" s="4" t="s">
        <v>7365</v>
      </c>
    </row>
    <row r="6089" ht="15.75" customHeight="1">
      <c r="O6089" s="4" t="s">
        <v>7366</v>
      </c>
    </row>
    <row r="6090" ht="15.75" customHeight="1">
      <c r="O6090" s="4" t="s">
        <v>7367</v>
      </c>
    </row>
    <row r="6091" ht="15.75" customHeight="1">
      <c r="O6091" s="4" t="s">
        <v>7368</v>
      </c>
    </row>
    <row r="6092" ht="15.75" customHeight="1">
      <c r="O6092" s="4" t="s">
        <v>7369</v>
      </c>
    </row>
    <row r="6093" ht="15.75" customHeight="1">
      <c r="O6093" s="4" t="s">
        <v>7370</v>
      </c>
    </row>
    <row r="6094" ht="15.75" customHeight="1">
      <c r="O6094" s="4" t="s">
        <v>7371</v>
      </c>
    </row>
    <row r="6095" ht="15.75" customHeight="1">
      <c r="O6095" s="4" t="s">
        <v>7372</v>
      </c>
    </row>
    <row r="6096" ht="15.75" customHeight="1">
      <c r="O6096" s="4" t="s">
        <v>7373</v>
      </c>
    </row>
    <row r="6097" ht="15.75" customHeight="1">
      <c r="O6097" s="4" t="s">
        <v>7374</v>
      </c>
    </row>
    <row r="6098" ht="15.75" customHeight="1">
      <c r="O6098" s="4" t="s">
        <v>7375</v>
      </c>
    </row>
    <row r="6099" ht="15.75" customHeight="1">
      <c r="O6099" s="4" t="s">
        <v>7376</v>
      </c>
    </row>
    <row r="6100" ht="15.75" customHeight="1">
      <c r="O6100" s="4" t="s">
        <v>7377</v>
      </c>
    </row>
    <row r="6101" ht="15.75" customHeight="1">
      <c r="O6101" s="4" t="s">
        <v>7378</v>
      </c>
    </row>
    <row r="6102" ht="15.75" customHeight="1">
      <c r="O6102" s="4" t="s">
        <v>7379</v>
      </c>
    </row>
    <row r="6103" ht="15.75" customHeight="1">
      <c r="O6103" s="4" t="s">
        <v>7380</v>
      </c>
    </row>
    <row r="6104" ht="15.75" customHeight="1">
      <c r="O6104" s="4" t="s">
        <v>7381</v>
      </c>
    </row>
    <row r="6105" ht="15.75" customHeight="1">
      <c r="O6105" s="4" t="s">
        <v>7382</v>
      </c>
    </row>
    <row r="6106" ht="15.75" customHeight="1">
      <c r="O6106" s="4" t="s">
        <v>7383</v>
      </c>
    </row>
    <row r="6107" ht="15.75" customHeight="1">
      <c r="O6107" s="4" t="s">
        <v>7384</v>
      </c>
    </row>
    <row r="6108" ht="15.75" customHeight="1">
      <c r="O6108" s="4" t="s">
        <v>7385</v>
      </c>
    </row>
    <row r="6109" ht="15.75" customHeight="1">
      <c r="O6109" s="4" t="s">
        <v>7386</v>
      </c>
    </row>
    <row r="6110" ht="15.75" customHeight="1">
      <c r="O6110" s="4" t="s">
        <v>7387</v>
      </c>
    </row>
    <row r="6111" ht="15.75" customHeight="1">
      <c r="O6111" s="4" t="s">
        <v>7388</v>
      </c>
    </row>
    <row r="6112" ht="15.75" customHeight="1">
      <c r="O6112" s="4" t="s">
        <v>7389</v>
      </c>
    </row>
    <row r="6113" ht="15.75" customHeight="1">
      <c r="O6113" s="4" t="s">
        <v>7390</v>
      </c>
    </row>
    <row r="6114" ht="15.75" customHeight="1">
      <c r="O6114" s="4" t="s">
        <v>7391</v>
      </c>
    </row>
    <row r="6115" ht="15.75" customHeight="1">
      <c r="O6115" s="4" t="s">
        <v>7392</v>
      </c>
    </row>
    <row r="6116" ht="15.75" customHeight="1">
      <c r="O6116" s="4" t="s">
        <v>7393</v>
      </c>
    </row>
    <row r="6117" ht="15.75" customHeight="1">
      <c r="O6117" s="4" t="s">
        <v>7394</v>
      </c>
    </row>
    <row r="6118" ht="15.75" customHeight="1">
      <c r="O6118" s="4" t="s">
        <v>7395</v>
      </c>
    </row>
    <row r="6119" ht="15.75" customHeight="1">
      <c r="O6119" s="4" t="s">
        <v>7396</v>
      </c>
    </row>
    <row r="6120" ht="15.75" customHeight="1">
      <c r="O6120" s="4" t="s">
        <v>7397</v>
      </c>
    </row>
    <row r="6121" ht="15.75" customHeight="1">
      <c r="O6121" s="4" t="s">
        <v>7398</v>
      </c>
    </row>
    <row r="6122" ht="15.75" customHeight="1">
      <c r="O6122" s="4" t="s">
        <v>7399</v>
      </c>
    </row>
    <row r="6123" ht="15.75" customHeight="1">
      <c r="O6123" s="4" t="s">
        <v>7400</v>
      </c>
    </row>
    <row r="6124" ht="15.75" customHeight="1">
      <c r="O6124" s="4" t="s">
        <v>7401</v>
      </c>
    </row>
    <row r="6125" ht="15.75" customHeight="1">
      <c r="O6125" s="4" t="s">
        <v>7402</v>
      </c>
    </row>
    <row r="6126" ht="15.75" customHeight="1">
      <c r="O6126" s="4" t="s">
        <v>7403</v>
      </c>
    </row>
    <row r="6127" ht="15.75" customHeight="1">
      <c r="O6127" s="4" t="s">
        <v>7404</v>
      </c>
    </row>
    <row r="6128" ht="15.75" customHeight="1">
      <c r="O6128" s="4" t="s">
        <v>7405</v>
      </c>
    </row>
    <row r="6129" ht="15.75" customHeight="1">
      <c r="O6129" s="4" t="s">
        <v>7406</v>
      </c>
    </row>
    <row r="6130" ht="15.75" customHeight="1">
      <c r="O6130" s="4" t="s">
        <v>7407</v>
      </c>
    </row>
    <row r="6131" ht="15.75" customHeight="1">
      <c r="O6131" s="4" t="s">
        <v>7408</v>
      </c>
    </row>
    <row r="6132" ht="15.75" customHeight="1">
      <c r="O6132" s="4" t="s">
        <v>7409</v>
      </c>
    </row>
    <row r="6133" ht="15.75" customHeight="1">
      <c r="O6133" s="4" t="s">
        <v>7410</v>
      </c>
    </row>
    <row r="6134" ht="15.75" customHeight="1">
      <c r="O6134" s="4" t="s">
        <v>7411</v>
      </c>
    </row>
    <row r="6135" ht="15.75" customHeight="1">
      <c r="O6135" s="4" t="s">
        <v>7412</v>
      </c>
    </row>
    <row r="6136" ht="15.75" customHeight="1">
      <c r="O6136" s="4" t="s">
        <v>7413</v>
      </c>
    </row>
    <row r="6137" ht="15.75" customHeight="1">
      <c r="O6137" s="4" t="s">
        <v>7414</v>
      </c>
    </row>
    <row r="6138" ht="15.75" customHeight="1">
      <c r="O6138" s="4" t="s">
        <v>7415</v>
      </c>
    </row>
    <row r="6139" ht="15.75" customHeight="1">
      <c r="O6139" s="4" t="s">
        <v>7416</v>
      </c>
    </row>
    <row r="6140" ht="15.75" customHeight="1">
      <c r="O6140" s="4" t="s">
        <v>7417</v>
      </c>
    </row>
    <row r="6141" ht="15.75" customHeight="1">
      <c r="O6141" s="4" t="s">
        <v>7418</v>
      </c>
    </row>
    <row r="6142" ht="15.75" customHeight="1">
      <c r="O6142" s="4" t="s">
        <v>7419</v>
      </c>
    </row>
    <row r="6143" ht="15.75" customHeight="1">
      <c r="O6143" s="4" t="s">
        <v>7420</v>
      </c>
    </row>
    <row r="6144" ht="15.75" customHeight="1">
      <c r="O6144" s="4" t="s">
        <v>7421</v>
      </c>
    </row>
    <row r="6145" ht="15.75" customHeight="1">
      <c r="O6145" s="4" t="s">
        <v>7422</v>
      </c>
    </row>
    <row r="6146" ht="15.75" customHeight="1">
      <c r="O6146" s="4" t="s">
        <v>7423</v>
      </c>
    </row>
    <row r="6147" ht="15.75" customHeight="1">
      <c r="O6147" s="4" t="s">
        <v>7424</v>
      </c>
    </row>
    <row r="6148" ht="15.75" customHeight="1">
      <c r="O6148" s="4" t="s">
        <v>7425</v>
      </c>
    </row>
    <row r="6149" ht="15.75" customHeight="1">
      <c r="O6149" s="4" t="s">
        <v>7426</v>
      </c>
    </row>
    <row r="6150" ht="15.75" customHeight="1">
      <c r="O6150" s="4" t="s">
        <v>7427</v>
      </c>
    </row>
    <row r="6151" ht="15.75" customHeight="1">
      <c r="O6151" s="4" t="s">
        <v>7428</v>
      </c>
    </row>
    <row r="6152" ht="15.75" customHeight="1">
      <c r="O6152" s="4" t="s">
        <v>7429</v>
      </c>
    </row>
    <row r="6153" ht="15.75" customHeight="1">
      <c r="O6153" s="4" t="s">
        <v>7430</v>
      </c>
    </row>
    <row r="6154" ht="15.75" customHeight="1">
      <c r="O6154" s="4" t="s">
        <v>7431</v>
      </c>
    </row>
    <row r="6155" ht="15.75" customHeight="1">
      <c r="O6155" s="4" t="s">
        <v>7432</v>
      </c>
    </row>
    <row r="6156" ht="15.75" customHeight="1">
      <c r="O6156" s="4" t="s">
        <v>7433</v>
      </c>
    </row>
    <row r="6157" ht="15.75" customHeight="1">
      <c r="O6157" s="4" t="s">
        <v>7434</v>
      </c>
    </row>
    <row r="6158" ht="15.75" customHeight="1">
      <c r="O6158" s="4" t="s">
        <v>7435</v>
      </c>
    </row>
    <row r="6159" ht="15.75" customHeight="1">
      <c r="O6159" s="4" t="s">
        <v>7436</v>
      </c>
    </row>
    <row r="6160" ht="15.75" customHeight="1">
      <c r="O6160" s="4" t="s">
        <v>7437</v>
      </c>
    </row>
    <row r="6161" ht="15.75" customHeight="1">
      <c r="O6161" s="4" t="s">
        <v>7438</v>
      </c>
    </row>
    <row r="6162" ht="15.75" customHeight="1">
      <c r="O6162" s="4" t="s">
        <v>7439</v>
      </c>
    </row>
    <row r="6163" ht="15.75" customHeight="1">
      <c r="O6163" s="4" t="s">
        <v>7440</v>
      </c>
    </row>
    <row r="6164" ht="15.75" customHeight="1">
      <c r="O6164" s="4" t="s">
        <v>7441</v>
      </c>
    </row>
    <row r="6165" ht="15.75" customHeight="1">
      <c r="O6165" s="4" t="s">
        <v>7442</v>
      </c>
    </row>
    <row r="6166" ht="15.75" customHeight="1">
      <c r="O6166" s="4" t="s">
        <v>7443</v>
      </c>
    </row>
    <row r="6167" ht="15.75" customHeight="1">
      <c r="O6167" s="4" t="s">
        <v>7444</v>
      </c>
    </row>
    <row r="6168" ht="15.75" customHeight="1">
      <c r="O6168" s="4" t="s">
        <v>7445</v>
      </c>
    </row>
    <row r="6169" ht="15.75" customHeight="1">
      <c r="O6169" s="4" t="s">
        <v>7446</v>
      </c>
    </row>
    <row r="6170" ht="15.75" customHeight="1">
      <c r="O6170" s="4" t="s">
        <v>7447</v>
      </c>
    </row>
    <row r="6171" ht="15.75" customHeight="1">
      <c r="O6171" s="4" t="s">
        <v>7448</v>
      </c>
    </row>
    <row r="6172" ht="15.75" customHeight="1">
      <c r="O6172" s="4" t="s">
        <v>7449</v>
      </c>
    </row>
    <row r="6173" ht="15.75" customHeight="1">
      <c r="O6173" s="4" t="s">
        <v>7450</v>
      </c>
    </row>
    <row r="6174" ht="15.75" customHeight="1">
      <c r="O6174" s="4" t="s">
        <v>7451</v>
      </c>
    </row>
    <row r="6175" ht="15.75" customHeight="1">
      <c r="O6175" s="4" t="s">
        <v>7452</v>
      </c>
    </row>
    <row r="6176" ht="15.75" customHeight="1">
      <c r="O6176" s="4" t="s">
        <v>7453</v>
      </c>
    </row>
    <row r="6177" ht="15.75" customHeight="1">
      <c r="O6177" s="4" t="s">
        <v>7454</v>
      </c>
    </row>
    <row r="6178" ht="15.75" customHeight="1">
      <c r="O6178" s="4" t="s">
        <v>7455</v>
      </c>
    </row>
    <row r="6179" ht="15.75" customHeight="1">
      <c r="O6179" s="4" t="s">
        <v>7456</v>
      </c>
    </row>
    <row r="6180" ht="15.75" customHeight="1">
      <c r="O6180" s="4" t="s">
        <v>7457</v>
      </c>
    </row>
    <row r="6181" ht="15.75" customHeight="1">
      <c r="O6181" s="4" t="s">
        <v>7458</v>
      </c>
    </row>
    <row r="6182" ht="15.75" customHeight="1">
      <c r="O6182" s="4" t="s">
        <v>7459</v>
      </c>
    </row>
    <row r="6183" ht="15.75" customHeight="1">
      <c r="O6183" s="4" t="s">
        <v>7460</v>
      </c>
    </row>
    <row r="6184" ht="15.75" customHeight="1">
      <c r="O6184" s="4" t="s">
        <v>7461</v>
      </c>
    </row>
    <row r="6185" ht="15.75" customHeight="1">
      <c r="O6185" s="4" t="s">
        <v>7462</v>
      </c>
    </row>
    <row r="6186" ht="15.75" customHeight="1">
      <c r="O6186" s="4" t="s">
        <v>7463</v>
      </c>
    </row>
    <row r="6187" ht="15.75" customHeight="1">
      <c r="O6187" s="4" t="s">
        <v>7464</v>
      </c>
    </row>
    <row r="6188" ht="15.75" customHeight="1">
      <c r="O6188" s="4" t="s">
        <v>7465</v>
      </c>
    </row>
    <row r="6189" ht="15.75" customHeight="1">
      <c r="O6189" s="4" t="s">
        <v>7466</v>
      </c>
    </row>
    <row r="6190" ht="15.75" customHeight="1">
      <c r="O6190" s="4" t="s">
        <v>7467</v>
      </c>
    </row>
    <row r="6191" ht="15.75" customHeight="1">
      <c r="O6191" s="4" t="s">
        <v>7468</v>
      </c>
    </row>
    <row r="6192" ht="15.75" customHeight="1">
      <c r="O6192" s="4" t="s">
        <v>7469</v>
      </c>
    </row>
    <row r="6193" ht="15.75" customHeight="1">
      <c r="O6193" s="4" t="s">
        <v>7470</v>
      </c>
    </row>
    <row r="6194" ht="15.75" customHeight="1">
      <c r="O6194" s="4" t="s">
        <v>7471</v>
      </c>
    </row>
    <row r="6195" ht="15.75" customHeight="1">
      <c r="O6195" s="4" t="s">
        <v>7472</v>
      </c>
    </row>
    <row r="6196" ht="15.75" customHeight="1">
      <c r="O6196" s="4" t="s">
        <v>7473</v>
      </c>
    </row>
    <row r="6197" ht="15.75" customHeight="1">
      <c r="O6197" s="4" t="s">
        <v>7474</v>
      </c>
    </row>
    <row r="6198" ht="15.75" customHeight="1">
      <c r="O6198" s="4" t="s">
        <v>7475</v>
      </c>
    </row>
    <row r="6199" ht="15.75" customHeight="1">
      <c r="O6199" s="4" t="s">
        <v>7476</v>
      </c>
    </row>
    <row r="6200" ht="15.75" customHeight="1">
      <c r="O6200" s="4" t="s">
        <v>7477</v>
      </c>
    </row>
    <row r="6201" ht="15.75" customHeight="1">
      <c r="O6201" s="4" t="s">
        <v>7478</v>
      </c>
    </row>
    <row r="6202" ht="15.75" customHeight="1">
      <c r="O6202" s="4" t="s">
        <v>7479</v>
      </c>
    </row>
    <row r="6203" ht="15.75" customHeight="1">
      <c r="O6203" s="4" t="s">
        <v>7480</v>
      </c>
    </row>
    <row r="6204" ht="15.75" customHeight="1">
      <c r="O6204" s="4" t="s">
        <v>7481</v>
      </c>
    </row>
    <row r="6205" ht="15.75" customHeight="1">
      <c r="O6205" s="4" t="s">
        <v>7482</v>
      </c>
    </row>
    <row r="6206" ht="15.75" customHeight="1">
      <c r="O6206" s="4" t="s">
        <v>7483</v>
      </c>
    </row>
    <row r="6207" ht="15.75" customHeight="1">
      <c r="O6207" s="4" t="s">
        <v>7484</v>
      </c>
    </row>
    <row r="6208" ht="15.75" customHeight="1">
      <c r="O6208" s="4" t="s">
        <v>7485</v>
      </c>
    </row>
    <row r="6209" ht="15.75" customHeight="1">
      <c r="O6209" s="4" t="s">
        <v>7486</v>
      </c>
    </row>
    <row r="6210" ht="15.75" customHeight="1">
      <c r="O6210" s="4" t="s">
        <v>7487</v>
      </c>
    </row>
    <row r="6211" ht="15.75" customHeight="1">
      <c r="O6211" s="4" t="s">
        <v>7488</v>
      </c>
    </row>
    <row r="6212" ht="15.75" customHeight="1">
      <c r="O6212" s="4" t="s">
        <v>7489</v>
      </c>
    </row>
    <row r="6213" ht="15.75" customHeight="1">
      <c r="O6213" s="4" t="s">
        <v>7490</v>
      </c>
    </row>
    <row r="6214" ht="15.75" customHeight="1">
      <c r="O6214" s="4" t="s">
        <v>7491</v>
      </c>
    </row>
    <row r="6215" ht="15.75" customHeight="1">
      <c r="O6215" s="4" t="s">
        <v>7492</v>
      </c>
    </row>
    <row r="6216" ht="15.75" customHeight="1">
      <c r="O6216" s="4" t="s">
        <v>7493</v>
      </c>
    </row>
    <row r="6217" ht="15.75" customHeight="1">
      <c r="O6217" s="4" t="s">
        <v>7494</v>
      </c>
    </row>
    <row r="6218" ht="15.75" customHeight="1">
      <c r="O6218" s="4" t="s">
        <v>7495</v>
      </c>
    </row>
    <row r="6219" ht="15.75" customHeight="1">
      <c r="O6219" s="4" t="s">
        <v>7496</v>
      </c>
    </row>
    <row r="6220" ht="15.75" customHeight="1">
      <c r="O6220" s="4" t="s">
        <v>7497</v>
      </c>
    </row>
    <row r="6221" ht="15.75" customHeight="1">
      <c r="O6221" s="4" t="s">
        <v>7498</v>
      </c>
    </row>
    <row r="6222" ht="15.75" customHeight="1">
      <c r="O6222" s="4" t="s">
        <v>7499</v>
      </c>
    </row>
    <row r="6223" ht="15.75" customHeight="1">
      <c r="O6223" s="4" t="s">
        <v>7500</v>
      </c>
    </row>
    <row r="6224" ht="15.75" customHeight="1">
      <c r="O6224" s="4" t="s">
        <v>7501</v>
      </c>
    </row>
    <row r="6225" ht="15.75" customHeight="1">
      <c r="O6225" s="4" t="s">
        <v>7502</v>
      </c>
    </row>
    <row r="6226" ht="15.75" customHeight="1">
      <c r="O6226" s="4" t="s">
        <v>7503</v>
      </c>
    </row>
    <row r="6227" ht="15.75" customHeight="1">
      <c r="O6227" s="4" t="s">
        <v>7504</v>
      </c>
    </row>
    <row r="6228" ht="15.75" customHeight="1">
      <c r="O6228" s="4" t="s">
        <v>7505</v>
      </c>
    </row>
    <row r="6229" ht="15.75" customHeight="1">
      <c r="O6229" s="4" t="s">
        <v>7506</v>
      </c>
    </row>
    <row r="6230" ht="15.75" customHeight="1">
      <c r="O6230" s="4" t="s">
        <v>7507</v>
      </c>
    </row>
    <row r="6231" ht="15.75" customHeight="1">
      <c r="O6231" s="4" t="s">
        <v>7508</v>
      </c>
    </row>
    <row r="6232" ht="15.75" customHeight="1">
      <c r="O6232" s="4" t="s">
        <v>7509</v>
      </c>
    </row>
    <row r="6233" ht="15.75" customHeight="1">
      <c r="O6233" s="4" t="s">
        <v>7510</v>
      </c>
    </row>
    <row r="6234" ht="15.75" customHeight="1">
      <c r="O6234" s="4" t="s">
        <v>7511</v>
      </c>
    </row>
    <row r="6235" ht="15.75" customHeight="1">
      <c r="O6235" s="4" t="s">
        <v>7512</v>
      </c>
    </row>
    <row r="6236" ht="15.75" customHeight="1">
      <c r="O6236" s="4" t="s">
        <v>7513</v>
      </c>
    </row>
    <row r="6237" ht="15.75" customHeight="1">
      <c r="O6237" s="4" t="s">
        <v>7514</v>
      </c>
    </row>
    <row r="6238" ht="15.75" customHeight="1">
      <c r="O6238" s="4" t="s">
        <v>7515</v>
      </c>
    </row>
    <row r="6239" ht="15.75" customHeight="1">
      <c r="O6239" s="4" t="s">
        <v>7516</v>
      </c>
    </row>
    <row r="6240" ht="15.75" customHeight="1">
      <c r="O6240" s="4" t="s">
        <v>7517</v>
      </c>
    </row>
    <row r="6241" ht="15.75" customHeight="1">
      <c r="O6241" s="4" t="s">
        <v>7518</v>
      </c>
    </row>
    <row r="6242" ht="15.75" customHeight="1">
      <c r="O6242" s="4" t="s">
        <v>7519</v>
      </c>
    </row>
    <row r="6243" ht="15.75" customHeight="1">
      <c r="O6243" s="4" t="s">
        <v>7520</v>
      </c>
    </row>
    <row r="6244" ht="15.75" customHeight="1">
      <c r="O6244" s="4" t="s">
        <v>7521</v>
      </c>
    </row>
    <row r="6245" ht="15.75" customHeight="1">
      <c r="O6245" s="4" t="s">
        <v>7522</v>
      </c>
    </row>
    <row r="6246" ht="15.75" customHeight="1">
      <c r="O6246" s="4" t="s">
        <v>7523</v>
      </c>
    </row>
    <row r="6247" ht="15.75" customHeight="1">
      <c r="O6247" s="4" t="s">
        <v>7524</v>
      </c>
    </row>
    <row r="6248" ht="15.75" customHeight="1">
      <c r="O6248" s="4" t="s">
        <v>7525</v>
      </c>
    </row>
    <row r="6249" ht="15.75" customHeight="1">
      <c r="O6249" s="4" t="s">
        <v>7526</v>
      </c>
    </row>
    <row r="6250" ht="15.75" customHeight="1">
      <c r="O6250" s="4" t="s">
        <v>7527</v>
      </c>
    </row>
    <row r="6251" ht="15.75" customHeight="1">
      <c r="O6251" s="4" t="s">
        <v>7528</v>
      </c>
    </row>
    <row r="6252" ht="15.75" customHeight="1">
      <c r="O6252" s="4" t="s">
        <v>7529</v>
      </c>
    </row>
    <row r="6253" ht="15.75" customHeight="1">
      <c r="O6253" s="4" t="s">
        <v>7530</v>
      </c>
    </row>
    <row r="6254" ht="15.75" customHeight="1">
      <c r="O6254" s="4" t="s">
        <v>7531</v>
      </c>
    </row>
    <row r="6255" ht="15.75" customHeight="1">
      <c r="O6255" s="4" t="s">
        <v>7532</v>
      </c>
    </row>
    <row r="6256" ht="15.75" customHeight="1">
      <c r="O6256" s="4" t="s">
        <v>7533</v>
      </c>
    </row>
    <row r="6257" ht="15.75" customHeight="1">
      <c r="O6257" s="4" t="s">
        <v>7534</v>
      </c>
    </row>
    <row r="6258" ht="15.75" customHeight="1">
      <c r="O6258" s="4" t="s">
        <v>7535</v>
      </c>
    </row>
    <row r="6259" ht="15.75" customHeight="1">
      <c r="O6259" s="4" t="s">
        <v>7536</v>
      </c>
    </row>
    <row r="6260" ht="15.75" customHeight="1">
      <c r="O6260" s="4" t="s">
        <v>7537</v>
      </c>
    </row>
    <row r="6261" ht="15.75" customHeight="1">
      <c r="O6261" s="4" t="s">
        <v>7538</v>
      </c>
    </row>
    <row r="6262" ht="15.75" customHeight="1">
      <c r="O6262" s="4" t="s">
        <v>7539</v>
      </c>
    </row>
    <row r="6263" ht="15.75" customHeight="1">
      <c r="O6263" s="4" t="s">
        <v>7540</v>
      </c>
    </row>
    <row r="6264" ht="15.75" customHeight="1">
      <c r="O6264" s="4" t="s">
        <v>7541</v>
      </c>
    </row>
    <row r="6265" ht="15.75" customHeight="1">
      <c r="O6265" s="4" t="s">
        <v>7542</v>
      </c>
    </row>
    <row r="6266" ht="15.75" customHeight="1">
      <c r="O6266" s="4" t="s">
        <v>7543</v>
      </c>
    </row>
    <row r="6267" ht="15.75" customHeight="1">
      <c r="O6267" s="4" t="s">
        <v>7544</v>
      </c>
    </row>
    <row r="6268" ht="15.75" customHeight="1">
      <c r="O6268" s="4" t="s">
        <v>7545</v>
      </c>
    </row>
    <row r="6269" ht="15.75" customHeight="1">
      <c r="O6269" s="4" t="s">
        <v>7546</v>
      </c>
    </row>
    <row r="6270" ht="15.75" customHeight="1">
      <c r="O6270" s="4" t="s">
        <v>7547</v>
      </c>
    </row>
    <row r="6271" ht="15.75" customHeight="1">
      <c r="O6271" s="4" t="s">
        <v>7548</v>
      </c>
    </row>
    <row r="6272" ht="15.75" customHeight="1">
      <c r="O6272" s="4" t="s">
        <v>7549</v>
      </c>
    </row>
    <row r="6273" ht="15.75" customHeight="1">
      <c r="O6273" s="4" t="s">
        <v>7550</v>
      </c>
    </row>
    <row r="6274" ht="15.75" customHeight="1">
      <c r="O6274" s="4" t="s">
        <v>7551</v>
      </c>
    </row>
    <row r="6275" ht="15.75" customHeight="1">
      <c r="O6275" s="4" t="s">
        <v>7552</v>
      </c>
    </row>
    <row r="6276" ht="15.75" customHeight="1">
      <c r="O6276" s="4" t="s">
        <v>7553</v>
      </c>
    </row>
    <row r="6277" ht="15.75" customHeight="1">
      <c r="O6277" s="4" t="s">
        <v>7554</v>
      </c>
    </row>
    <row r="6278" ht="15.75" customHeight="1">
      <c r="O6278" s="4" t="s">
        <v>7555</v>
      </c>
    </row>
    <row r="6279" ht="15.75" customHeight="1">
      <c r="O6279" s="4" t="s">
        <v>7556</v>
      </c>
    </row>
    <row r="6280" ht="15.75" customHeight="1">
      <c r="O6280" s="4" t="s">
        <v>7557</v>
      </c>
    </row>
    <row r="6281" ht="15.75" customHeight="1">
      <c r="O6281" s="4" t="s">
        <v>7558</v>
      </c>
    </row>
    <row r="6282" ht="15.75" customHeight="1">
      <c r="O6282" s="4" t="s">
        <v>7559</v>
      </c>
    </row>
    <row r="6283" ht="15.75" customHeight="1">
      <c r="O6283" s="4" t="s">
        <v>7560</v>
      </c>
    </row>
    <row r="6284" ht="15.75" customHeight="1">
      <c r="O6284" s="4" t="s">
        <v>7561</v>
      </c>
    </row>
    <row r="6285" ht="15.75" customHeight="1">
      <c r="O6285" s="4" t="s">
        <v>7562</v>
      </c>
    </row>
    <row r="6286" ht="15.75" customHeight="1">
      <c r="O6286" s="4" t="s">
        <v>7563</v>
      </c>
    </row>
    <row r="6287" ht="15.75" customHeight="1">
      <c r="O6287" s="4" t="s">
        <v>7564</v>
      </c>
    </row>
    <row r="6288" ht="15.75" customHeight="1">
      <c r="O6288" s="4" t="s">
        <v>7565</v>
      </c>
    </row>
    <row r="6289" ht="15.75" customHeight="1">
      <c r="O6289" s="4" t="s">
        <v>7566</v>
      </c>
    </row>
    <row r="6290" ht="15.75" customHeight="1">
      <c r="O6290" s="4" t="s">
        <v>7567</v>
      </c>
    </row>
    <row r="6291" ht="15.75" customHeight="1">
      <c r="O6291" s="4" t="s">
        <v>7568</v>
      </c>
    </row>
    <row r="6292" ht="15.75" customHeight="1">
      <c r="O6292" s="4" t="s">
        <v>7569</v>
      </c>
    </row>
    <row r="6293" ht="15.75" customHeight="1">
      <c r="O6293" s="4" t="s">
        <v>7570</v>
      </c>
    </row>
    <row r="6294" ht="15.75" customHeight="1">
      <c r="O6294" s="4" t="s">
        <v>7571</v>
      </c>
    </row>
    <row r="6295" ht="15.75" customHeight="1">
      <c r="O6295" s="4" t="s">
        <v>7572</v>
      </c>
    </row>
    <row r="6296" ht="15.75" customHeight="1">
      <c r="O6296" s="4" t="s">
        <v>7573</v>
      </c>
    </row>
    <row r="6297" ht="15.75" customHeight="1">
      <c r="O6297" s="4" t="s">
        <v>7574</v>
      </c>
    </row>
    <row r="6298" ht="15.75" customHeight="1">
      <c r="O6298" s="4" t="s">
        <v>7575</v>
      </c>
    </row>
    <row r="6299" ht="15.75" customHeight="1">
      <c r="O6299" s="4" t="s">
        <v>7576</v>
      </c>
    </row>
    <row r="6300" ht="15.75" customHeight="1">
      <c r="O6300" s="4" t="s">
        <v>7577</v>
      </c>
    </row>
    <row r="6301" ht="15.75" customHeight="1">
      <c r="O6301" s="4" t="s">
        <v>7578</v>
      </c>
    </row>
    <row r="6302" ht="15.75" customHeight="1">
      <c r="O6302" s="4" t="s">
        <v>7579</v>
      </c>
    </row>
    <row r="6303" ht="15.75" customHeight="1">
      <c r="O6303" s="4" t="s">
        <v>7580</v>
      </c>
    </row>
    <row r="6304" ht="15.75" customHeight="1">
      <c r="O6304" s="4" t="s">
        <v>7581</v>
      </c>
    </row>
    <row r="6305" ht="15.75" customHeight="1">
      <c r="O6305" s="4" t="s">
        <v>7582</v>
      </c>
    </row>
    <row r="6306" ht="15.75" customHeight="1">
      <c r="O6306" s="4" t="s">
        <v>7583</v>
      </c>
    </row>
    <row r="6307" ht="15.75" customHeight="1">
      <c r="O6307" s="4" t="s">
        <v>7584</v>
      </c>
    </row>
    <row r="6308" ht="15.75" customHeight="1">
      <c r="O6308" s="4" t="s">
        <v>7585</v>
      </c>
    </row>
    <row r="6309" ht="15.75" customHeight="1">
      <c r="O6309" s="4" t="s">
        <v>7586</v>
      </c>
    </row>
    <row r="6310" ht="15.75" customHeight="1">
      <c r="O6310" s="4" t="s">
        <v>7587</v>
      </c>
    </row>
    <row r="6311" ht="15.75" customHeight="1">
      <c r="O6311" s="4" t="s">
        <v>7588</v>
      </c>
    </row>
    <row r="6312" ht="15.75" customHeight="1">
      <c r="O6312" s="4" t="s">
        <v>7589</v>
      </c>
    </row>
    <row r="6313" ht="15.75" customHeight="1">
      <c r="O6313" s="4" t="s">
        <v>7590</v>
      </c>
    </row>
    <row r="6314" ht="15.75" customHeight="1">
      <c r="O6314" s="4" t="s">
        <v>7591</v>
      </c>
    </row>
    <row r="6315" ht="15.75" customHeight="1">
      <c r="O6315" s="4" t="s">
        <v>7592</v>
      </c>
    </row>
    <row r="6316" ht="15.75" customHeight="1">
      <c r="O6316" s="4" t="s">
        <v>7593</v>
      </c>
    </row>
    <row r="6317" ht="15.75" customHeight="1">
      <c r="O6317" s="4" t="s">
        <v>7594</v>
      </c>
    </row>
    <row r="6318" ht="15.75" customHeight="1">
      <c r="O6318" s="4" t="s">
        <v>7595</v>
      </c>
    </row>
    <row r="6319" ht="15.75" customHeight="1">
      <c r="O6319" s="4" t="s">
        <v>7596</v>
      </c>
    </row>
    <row r="6320" ht="15.75" customHeight="1">
      <c r="O6320" s="4" t="s">
        <v>7597</v>
      </c>
    </row>
    <row r="6321" ht="15.75" customHeight="1">
      <c r="O6321" s="4" t="s">
        <v>7598</v>
      </c>
    </row>
    <row r="6322" ht="15.75" customHeight="1">
      <c r="O6322" s="4" t="s">
        <v>7599</v>
      </c>
    </row>
    <row r="6323" ht="15.75" customHeight="1">
      <c r="O6323" s="4" t="s">
        <v>7600</v>
      </c>
    </row>
    <row r="6324" ht="15.75" customHeight="1">
      <c r="O6324" s="4" t="s">
        <v>7601</v>
      </c>
    </row>
    <row r="6325" ht="15.75" customHeight="1">
      <c r="O6325" s="4" t="s">
        <v>7602</v>
      </c>
    </row>
    <row r="6326" ht="15.75" customHeight="1">
      <c r="O6326" s="4" t="s">
        <v>7603</v>
      </c>
    </row>
    <row r="6327" ht="15.75" customHeight="1">
      <c r="O6327" s="4" t="s">
        <v>7604</v>
      </c>
    </row>
    <row r="6328" ht="15.75" customHeight="1">
      <c r="O6328" s="4" t="s">
        <v>7605</v>
      </c>
    </row>
    <row r="6329" ht="15.75" customHeight="1">
      <c r="O6329" s="4" t="s">
        <v>7606</v>
      </c>
    </row>
    <row r="6330" ht="15.75" customHeight="1">
      <c r="O6330" s="4" t="s">
        <v>7607</v>
      </c>
    </row>
    <row r="6331" ht="15.75" customHeight="1">
      <c r="O6331" s="4" t="s">
        <v>7608</v>
      </c>
    </row>
    <row r="6332" ht="15.75" customHeight="1">
      <c r="O6332" s="4" t="s">
        <v>7609</v>
      </c>
    </row>
    <row r="6333" ht="15.75" customHeight="1">
      <c r="O6333" s="4" t="s">
        <v>7610</v>
      </c>
    </row>
    <row r="6334" ht="15.75" customHeight="1">
      <c r="O6334" s="4" t="s">
        <v>7611</v>
      </c>
    </row>
    <row r="6335" ht="15.75" customHeight="1">
      <c r="O6335" s="4" t="s">
        <v>7612</v>
      </c>
    </row>
    <row r="6336" ht="15.75" customHeight="1">
      <c r="O6336" s="4" t="s">
        <v>7613</v>
      </c>
    </row>
    <row r="6337" ht="15.75" customHeight="1">
      <c r="O6337" s="4" t="s">
        <v>7614</v>
      </c>
    </row>
    <row r="6338" ht="15.75" customHeight="1">
      <c r="O6338" s="4" t="s">
        <v>7615</v>
      </c>
    </row>
    <row r="6339" ht="15.75" customHeight="1">
      <c r="O6339" s="4" t="s">
        <v>7616</v>
      </c>
    </row>
    <row r="6340" ht="15.75" customHeight="1">
      <c r="O6340" s="4" t="s">
        <v>7617</v>
      </c>
    </row>
    <row r="6341" ht="15.75" customHeight="1">
      <c r="O6341" s="4" t="s">
        <v>7618</v>
      </c>
    </row>
    <row r="6342" ht="15.75" customHeight="1">
      <c r="O6342" s="4" t="s">
        <v>7619</v>
      </c>
    </row>
    <row r="6343" ht="15.75" customHeight="1">
      <c r="O6343" s="4" t="s">
        <v>7620</v>
      </c>
    </row>
    <row r="6344" ht="15.75" customHeight="1">
      <c r="O6344" s="4" t="s">
        <v>7621</v>
      </c>
    </row>
    <row r="6345" ht="15.75" customHeight="1">
      <c r="O6345" s="4" t="s">
        <v>7622</v>
      </c>
    </row>
    <row r="6346" ht="15.75" customHeight="1">
      <c r="O6346" s="4" t="s">
        <v>7623</v>
      </c>
    </row>
    <row r="6347" ht="15.75" customHeight="1">
      <c r="O6347" s="4" t="s">
        <v>7624</v>
      </c>
    </row>
    <row r="6348" ht="15.75" customHeight="1">
      <c r="O6348" s="4" t="s">
        <v>7625</v>
      </c>
    </row>
    <row r="6349" ht="15.75" customHeight="1">
      <c r="O6349" s="4" t="s">
        <v>7626</v>
      </c>
    </row>
    <row r="6350" ht="15.75" customHeight="1">
      <c r="O6350" s="4" t="s">
        <v>7627</v>
      </c>
    </row>
    <row r="6351" ht="15.75" customHeight="1">
      <c r="O6351" s="4" t="s">
        <v>7628</v>
      </c>
    </row>
    <row r="6352" ht="15.75" customHeight="1">
      <c r="O6352" s="4" t="s">
        <v>7629</v>
      </c>
    </row>
    <row r="6353" ht="15.75" customHeight="1">
      <c r="O6353" s="4" t="s">
        <v>7630</v>
      </c>
    </row>
    <row r="6354" ht="15.75" customHeight="1">
      <c r="O6354" s="4" t="s">
        <v>7631</v>
      </c>
    </row>
    <row r="6355" ht="15.75" customHeight="1">
      <c r="O6355" s="4" t="s">
        <v>7632</v>
      </c>
    </row>
    <row r="6356" ht="15.75" customHeight="1">
      <c r="O6356" s="4" t="s">
        <v>7633</v>
      </c>
    </row>
    <row r="6357" ht="15.75" customHeight="1">
      <c r="O6357" s="4" t="s">
        <v>7634</v>
      </c>
    </row>
    <row r="6358" ht="15.75" customHeight="1">
      <c r="O6358" s="4" t="s">
        <v>7635</v>
      </c>
    </row>
    <row r="6359" ht="15.75" customHeight="1">
      <c r="O6359" s="4" t="s">
        <v>7636</v>
      </c>
    </row>
    <row r="6360" ht="15.75" customHeight="1">
      <c r="O6360" s="4" t="s">
        <v>7637</v>
      </c>
    </row>
    <row r="6361" ht="15.75" customHeight="1">
      <c r="O6361" s="4" t="s">
        <v>7638</v>
      </c>
    </row>
    <row r="6362" ht="15.75" customHeight="1">
      <c r="O6362" s="4" t="s">
        <v>7639</v>
      </c>
    </row>
    <row r="6363" ht="15.75" customHeight="1">
      <c r="O6363" s="4" t="s">
        <v>7640</v>
      </c>
    </row>
    <row r="6364" ht="15.75" customHeight="1">
      <c r="O6364" s="4" t="s">
        <v>7641</v>
      </c>
    </row>
    <row r="6365" ht="15.75" customHeight="1">
      <c r="O6365" s="4" t="s">
        <v>7642</v>
      </c>
    </row>
    <row r="6366" ht="15.75" customHeight="1">
      <c r="O6366" s="4" t="s">
        <v>7643</v>
      </c>
    </row>
    <row r="6367" ht="15.75" customHeight="1">
      <c r="O6367" s="4" t="s">
        <v>7644</v>
      </c>
    </row>
    <row r="6368" ht="15.75" customHeight="1">
      <c r="O6368" s="4" t="s">
        <v>7645</v>
      </c>
    </row>
    <row r="6369" ht="15.75" customHeight="1">
      <c r="O6369" s="4" t="s">
        <v>7646</v>
      </c>
    </row>
    <row r="6370" ht="15.75" customHeight="1">
      <c r="O6370" s="4" t="s">
        <v>7647</v>
      </c>
    </row>
    <row r="6371" ht="15.75" customHeight="1">
      <c r="O6371" s="4" t="s">
        <v>7648</v>
      </c>
    </row>
    <row r="6372" ht="15.75" customHeight="1">
      <c r="O6372" s="4" t="s">
        <v>7649</v>
      </c>
    </row>
    <row r="6373" ht="15.75" customHeight="1">
      <c r="O6373" s="4" t="s">
        <v>7650</v>
      </c>
    </row>
    <row r="6374" ht="15.75" customHeight="1">
      <c r="O6374" s="4" t="s">
        <v>7651</v>
      </c>
    </row>
    <row r="6375" ht="15.75" customHeight="1">
      <c r="O6375" s="4" t="s">
        <v>7652</v>
      </c>
    </row>
    <row r="6376" ht="15.75" customHeight="1">
      <c r="O6376" s="4" t="s">
        <v>7653</v>
      </c>
    </row>
    <row r="6377" ht="15.75" customHeight="1">
      <c r="O6377" s="4" t="s">
        <v>7654</v>
      </c>
    </row>
    <row r="6378" ht="15.75" customHeight="1">
      <c r="O6378" s="4" t="s">
        <v>7655</v>
      </c>
    </row>
    <row r="6379" ht="15.75" customHeight="1">
      <c r="O6379" s="4" t="s">
        <v>7656</v>
      </c>
    </row>
    <row r="6380" ht="15.75" customHeight="1">
      <c r="O6380" s="4" t="s">
        <v>7657</v>
      </c>
    </row>
    <row r="6381" ht="15.75" customHeight="1">
      <c r="O6381" s="4" t="s">
        <v>7658</v>
      </c>
    </row>
    <row r="6382" ht="15.75" customHeight="1">
      <c r="O6382" s="4" t="s">
        <v>7659</v>
      </c>
    </row>
    <row r="6383" ht="15.75" customHeight="1">
      <c r="O6383" s="4" t="s">
        <v>7660</v>
      </c>
    </row>
    <row r="6384" ht="15.75" customHeight="1">
      <c r="O6384" s="4" t="s">
        <v>7661</v>
      </c>
    </row>
    <row r="6385" ht="15.75" customHeight="1">
      <c r="O6385" s="4" t="s">
        <v>7662</v>
      </c>
    </row>
    <row r="6386" ht="15.75" customHeight="1">
      <c r="O6386" s="4" t="s">
        <v>7663</v>
      </c>
    </row>
    <row r="6387" ht="15.75" customHeight="1">
      <c r="O6387" s="4" t="s">
        <v>7664</v>
      </c>
    </row>
    <row r="6388" ht="15.75" customHeight="1">
      <c r="O6388" s="4" t="s">
        <v>7665</v>
      </c>
    </row>
    <row r="6389" ht="15.75" customHeight="1">
      <c r="O6389" s="4" t="s">
        <v>7666</v>
      </c>
    </row>
    <row r="6390" ht="15.75" customHeight="1">
      <c r="O6390" s="4" t="s">
        <v>7667</v>
      </c>
    </row>
    <row r="6391" ht="15.75" customHeight="1">
      <c r="O6391" s="4" t="s">
        <v>7668</v>
      </c>
    </row>
    <row r="6392" ht="15.75" customHeight="1">
      <c r="O6392" s="4" t="s">
        <v>7669</v>
      </c>
    </row>
    <row r="6393" ht="15.75" customHeight="1">
      <c r="O6393" s="4" t="s">
        <v>7670</v>
      </c>
    </row>
    <row r="6394" ht="15.75" customHeight="1">
      <c r="O6394" s="4" t="s">
        <v>7671</v>
      </c>
    </row>
    <row r="6395" ht="15.75" customHeight="1">
      <c r="O6395" s="4" t="s">
        <v>7672</v>
      </c>
    </row>
    <row r="6396" ht="15.75" customHeight="1">
      <c r="O6396" s="4" t="s">
        <v>7673</v>
      </c>
    </row>
    <row r="6397" ht="15.75" customHeight="1">
      <c r="O6397" s="4" t="s">
        <v>7674</v>
      </c>
    </row>
    <row r="6398" ht="15.75" customHeight="1">
      <c r="O6398" s="4" t="s">
        <v>7675</v>
      </c>
    </row>
    <row r="6399" ht="15.75" customHeight="1">
      <c r="O6399" s="4" t="s">
        <v>7676</v>
      </c>
    </row>
    <row r="6400" ht="15.75" customHeight="1">
      <c r="O6400" s="4" t="s">
        <v>7677</v>
      </c>
    </row>
    <row r="6401" ht="15.75" customHeight="1">
      <c r="O6401" s="4" t="s">
        <v>7678</v>
      </c>
    </row>
    <row r="6402" ht="15.75" customHeight="1">
      <c r="O6402" s="4" t="s">
        <v>7679</v>
      </c>
    </row>
    <row r="6403" ht="15.75" customHeight="1">
      <c r="O6403" s="4" t="s">
        <v>7680</v>
      </c>
    </row>
    <row r="6404" ht="15.75" customHeight="1">
      <c r="O6404" s="4" t="s">
        <v>7681</v>
      </c>
    </row>
    <row r="6405" ht="15.75" customHeight="1">
      <c r="O6405" s="4" t="s">
        <v>7682</v>
      </c>
    </row>
    <row r="6406" ht="15.75" customHeight="1">
      <c r="O6406" s="4" t="s">
        <v>7683</v>
      </c>
    </row>
    <row r="6407" ht="15.75" customHeight="1">
      <c r="O6407" s="4" t="s">
        <v>7684</v>
      </c>
    </row>
    <row r="6408" ht="15.75" customHeight="1">
      <c r="O6408" s="4" t="s">
        <v>7685</v>
      </c>
    </row>
    <row r="6409" ht="15.75" customHeight="1">
      <c r="O6409" s="4" t="s">
        <v>7686</v>
      </c>
    </row>
    <row r="6410" ht="15.75" customHeight="1">
      <c r="O6410" s="4" t="s">
        <v>7687</v>
      </c>
    </row>
    <row r="6411" ht="15.75" customHeight="1">
      <c r="O6411" s="4" t="s">
        <v>7688</v>
      </c>
    </row>
    <row r="6412" ht="15.75" customHeight="1">
      <c r="O6412" s="4" t="s">
        <v>7689</v>
      </c>
    </row>
    <row r="6413" ht="15.75" customHeight="1">
      <c r="O6413" s="4" t="s">
        <v>7690</v>
      </c>
    </row>
    <row r="6414" ht="15.75" customHeight="1">
      <c r="O6414" s="4" t="s">
        <v>7691</v>
      </c>
    </row>
    <row r="6415" ht="15.75" customHeight="1">
      <c r="O6415" s="4" t="s">
        <v>7692</v>
      </c>
    </row>
    <row r="6416" ht="15.75" customHeight="1">
      <c r="O6416" s="4" t="s">
        <v>7693</v>
      </c>
    </row>
    <row r="6417" ht="15.75" customHeight="1">
      <c r="O6417" s="4" t="s">
        <v>7694</v>
      </c>
    </row>
    <row r="6418" ht="15.75" customHeight="1">
      <c r="O6418" s="4" t="s">
        <v>7695</v>
      </c>
    </row>
    <row r="6419" ht="15.75" customHeight="1">
      <c r="O6419" s="4" t="s">
        <v>7696</v>
      </c>
    </row>
    <row r="6420" ht="15.75" customHeight="1">
      <c r="O6420" s="4" t="s">
        <v>7697</v>
      </c>
    </row>
    <row r="6421" ht="15.75" customHeight="1">
      <c r="O6421" s="4" t="s">
        <v>7698</v>
      </c>
    </row>
    <row r="6422" ht="15.75" customHeight="1">
      <c r="O6422" s="4" t="s">
        <v>7699</v>
      </c>
    </row>
    <row r="6423" ht="15.75" customHeight="1">
      <c r="O6423" s="4" t="s">
        <v>7700</v>
      </c>
    </row>
    <row r="6424" ht="15.75" customHeight="1">
      <c r="O6424" s="4" t="s">
        <v>7701</v>
      </c>
    </row>
    <row r="6425" ht="15.75" customHeight="1">
      <c r="O6425" s="4" t="s">
        <v>7702</v>
      </c>
    </row>
    <row r="6426" ht="15.75" customHeight="1">
      <c r="O6426" s="4" t="s">
        <v>7703</v>
      </c>
    </row>
    <row r="6427" ht="15.75" customHeight="1">
      <c r="O6427" s="4" t="s">
        <v>7704</v>
      </c>
    </row>
    <row r="6428" ht="15.75" customHeight="1">
      <c r="O6428" s="4" t="s">
        <v>7705</v>
      </c>
    </row>
    <row r="6429" ht="15.75" customHeight="1">
      <c r="O6429" s="4" t="s">
        <v>7706</v>
      </c>
    </row>
    <row r="6430" ht="15.75" customHeight="1">
      <c r="O6430" s="4" t="s">
        <v>7707</v>
      </c>
    </row>
    <row r="6431" ht="15.75" customHeight="1">
      <c r="O6431" s="4" t="s">
        <v>7708</v>
      </c>
    </row>
    <row r="6432" ht="15.75" customHeight="1">
      <c r="O6432" s="4" t="s">
        <v>7709</v>
      </c>
    </row>
    <row r="6433" ht="15.75" customHeight="1">
      <c r="O6433" s="4" t="s">
        <v>7710</v>
      </c>
    </row>
    <row r="6434" ht="15.75" customHeight="1">
      <c r="O6434" s="4" t="s">
        <v>7711</v>
      </c>
    </row>
    <row r="6435" ht="15.75" customHeight="1">
      <c r="O6435" s="4" t="s">
        <v>7712</v>
      </c>
    </row>
    <row r="6436" ht="15.75" customHeight="1">
      <c r="O6436" s="4" t="s">
        <v>7713</v>
      </c>
    </row>
    <row r="6437" ht="15.75" customHeight="1">
      <c r="O6437" s="4" t="s">
        <v>7714</v>
      </c>
    </row>
    <row r="6438" ht="15.75" customHeight="1">
      <c r="O6438" s="4" t="s">
        <v>7715</v>
      </c>
    </row>
    <row r="6439" ht="15.75" customHeight="1">
      <c r="O6439" s="4" t="s">
        <v>7716</v>
      </c>
    </row>
    <row r="6440" ht="15.75" customHeight="1">
      <c r="O6440" s="4" t="s">
        <v>7717</v>
      </c>
    </row>
    <row r="6441" ht="15.75" customHeight="1">
      <c r="O6441" s="4" t="s">
        <v>7718</v>
      </c>
    </row>
    <row r="6442" ht="15.75" customHeight="1">
      <c r="O6442" s="4" t="s">
        <v>7719</v>
      </c>
    </row>
    <row r="6443" ht="15.75" customHeight="1">
      <c r="O6443" s="4" t="s">
        <v>7720</v>
      </c>
    </row>
    <row r="6444" ht="15.75" customHeight="1">
      <c r="O6444" s="4" t="s">
        <v>7721</v>
      </c>
    </row>
    <row r="6445" ht="15.75" customHeight="1">
      <c r="O6445" s="4" t="s">
        <v>7722</v>
      </c>
    </row>
    <row r="6446" ht="15.75" customHeight="1">
      <c r="O6446" s="4" t="s">
        <v>7723</v>
      </c>
    </row>
    <row r="6447" ht="15.75" customHeight="1">
      <c r="O6447" s="4" t="s">
        <v>7724</v>
      </c>
    </row>
    <row r="6448" ht="15.75" customHeight="1">
      <c r="O6448" s="4" t="s">
        <v>7725</v>
      </c>
    </row>
    <row r="6449" ht="15.75" customHeight="1">
      <c r="O6449" s="4" t="s">
        <v>7726</v>
      </c>
    </row>
    <row r="6450" ht="15.75" customHeight="1">
      <c r="O6450" s="4" t="s">
        <v>7727</v>
      </c>
    </row>
    <row r="6451" ht="15.75" customHeight="1">
      <c r="O6451" s="4" t="s">
        <v>7728</v>
      </c>
    </row>
    <row r="6452" ht="15.75" customHeight="1">
      <c r="O6452" s="4" t="s">
        <v>7729</v>
      </c>
    </row>
    <row r="6453" ht="15.75" customHeight="1">
      <c r="O6453" s="4" t="s">
        <v>7730</v>
      </c>
    </row>
    <row r="6454" ht="15.75" customHeight="1">
      <c r="O6454" s="4" t="s">
        <v>7731</v>
      </c>
    </row>
    <row r="6455" ht="15.75" customHeight="1">
      <c r="O6455" s="4" t="s">
        <v>7732</v>
      </c>
    </row>
    <row r="6456" ht="15.75" customHeight="1">
      <c r="O6456" s="4" t="s">
        <v>7733</v>
      </c>
    </row>
    <row r="6457" ht="15.75" customHeight="1">
      <c r="O6457" s="4" t="s">
        <v>7734</v>
      </c>
    </row>
    <row r="6458" ht="15.75" customHeight="1">
      <c r="O6458" s="4" t="s">
        <v>7735</v>
      </c>
    </row>
    <row r="6459" ht="15.75" customHeight="1">
      <c r="O6459" s="4" t="s">
        <v>7736</v>
      </c>
    </row>
    <row r="6460" ht="15.75" customHeight="1">
      <c r="O6460" s="4" t="s">
        <v>7737</v>
      </c>
    </row>
    <row r="6461" ht="15.75" customHeight="1">
      <c r="O6461" s="4" t="s">
        <v>7738</v>
      </c>
    </row>
    <row r="6462" ht="15.75" customHeight="1">
      <c r="O6462" s="4" t="s">
        <v>7739</v>
      </c>
    </row>
    <row r="6463" ht="15.75" customHeight="1">
      <c r="O6463" s="4" t="s">
        <v>7740</v>
      </c>
    </row>
    <row r="6464" ht="15.75" customHeight="1">
      <c r="O6464" s="4" t="s">
        <v>7741</v>
      </c>
    </row>
    <row r="6465" ht="15.75" customHeight="1">
      <c r="O6465" s="4" t="s">
        <v>7742</v>
      </c>
    </row>
    <row r="6466" ht="15.75" customHeight="1">
      <c r="O6466" s="4" t="s">
        <v>7743</v>
      </c>
    </row>
    <row r="6467" ht="15.75" customHeight="1">
      <c r="O6467" s="4" t="s">
        <v>7744</v>
      </c>
    </row>
    <row r="6468" ht="15.75" customHeight="1">
      <c r="O6468" s="4" t="s">
        <v>7745</v>
      </c>
    </row>
    <row r="6469" ht="15.75" customHeight="1">
      <c r="O6469" s="4" t="s">
        <v>7746</v>
      </c>
    </row>
    <row r="6470" ht="15.75" customHeight="1">
      <c r="O6470" s="4" t="s">
        <v>7747</v>
      </c>
    </row>
    <row r="6471" ht="15.75" customHeight="1">
      <c r="O6471" s="4" t="s">
        <v>7748</v>
      </c>
    </row>
    <row r="6472" ht="15.75" customHeight="1">
      <c r="O6472" s="4" t="s">
        <v>7749</v>
      </c>
    </row>
    <row r="6473" ht="15.75" customHeight="1">
      <c r="O6473" s="4" t="s">
        <v>7750</v>
      </c>
    </row>
    <row r="6474" ht="15.75" customHeight="1">
      <c r="O6474" s="4" t="s">
        <v>7751</v>
      </c>
    </row>
    <row r="6475" ht="15.75" customHeight="1">
      <c r="O6475" s="4" t="s">
        <v>7752</v>
      </c>
    </row>
    <row r="6476" ht="15.75" customHeight="1">
      <c r="O6476" s="4" t="s">
        <v>7753</v>
      </c>
    </row>
    <row r="6477" ht="15.75" customHeight="1">
      <c r="O6477" s="4" t="s">
        <v>7754</v>
      </c>
    </row>
    <row r="6478" ht="15.75" customHeight="1">
      <c r="O6478" s="4" t="s">
        <v>7755</v>
      </c>
    </row>
    <row r="6479" ht="15.75" customHeight="1">
      <c r="O6479" s="4" t="s">
        <v>7756</v>
      </c>
    </row>
    <row r="6480" ht="15.75" customHeight="1">
      <c r="O6480" s="4" t="s">
        <v>7757</v>
      </c>
    </row>
    <row r="6481" ht="15.75" customHeight="1">
      <c r="O6481" s="4" t="s">
        <v>7758</v>
      </c>
    </row>
    <row r="6482" ht="15.75" customHeight="1">
      <c r="O6482" s="4" t="s">
        <v>7759</v>
      </c>
    </row>
    <row r="6483" ht="15.75" customHeight="1">
      <c r="O6483" s="4" t="s">
        <v>7760</v>
      </c>
    </row>
    <row r="6484" ht="15.75" customHeight="1">
      <c r="O6484" s="4" t="s">
        <v>7761</v>
      </c>
    </row>
    <row r="6485" ht="15.75" customHeight="1">
      <c r="O6485" s="4" t="s">
        <v>7762</v>
      </c>
    </row>
    <row r="6486" ht="15.75" customHeight="1">
      <c r="O6486" s="4" t="s">
        <v>7763</v>
      </c>
    </row>
    <row r="6487" ht="15.75" customHeight="1">
      <c r="O6487" s="4" t="s">
        <v>7764</v>
      </c>
    </row>
    <row r="6488" ht="15.75" customHeight="1">
      <c r="O6488" s="4" t="s">
        <v>7765</v>
      </c>
    </row>
    <row r="6489" ht="15.75" customHeight="1">
      <c r="O6489" s="4" t="s">
        <v>7766</v>
      </c>
    </row>
    <row r="6490" ht="15.75" customHeight="1">
      <c r="O6490" s="4" t="s">
        <v>7767</v>
      </c>
    </row>
    <row r="6491" ht="15.75" customHeight="1">
      <c r="O6491" s="4" t="s">
        <v>7768</v>
      </c>
    </row>
    <row r="6492" ht="15.75" customHeight="1">
      <c r="O6492" s="4" t="s">
        <v>7769</v>
      </c>
    </row>
    <row r="6493" ht="15.75" customHeight="1">
      <c r="O6493" s="4" t="s">
        <v>7770</v>
      </c>
    </row>
    <row r="6494" ht="15.75" customHeight="1">
      <c r="O6494" s="4" t="s">
        <v>7771</v>
      </c>
    </row>
    <row r="6495" ht="15.75" customHeight="1">
      <c r="O6495" s="4" t="s">
        <v>7772</v>
      </c>
    </row>
    <row r="6496" ht="15.75" customHeight="1">
      <c r="O6496" s="4" t="s">
        <v>7773</v>
      </c>
    </row>
    <row r="6497" ht="15.75" customHeight="1">
      <c r="O6497" s="4" t="s">
        <v>7774</v>
      </c>
    </row>
    <row r="6498" ht="15.75" customHeight="1">
      <c r="O6498" s="4" t="s">
        <v>7775</v>
      </c>
    </row>
    <row r="6499" ht="15.75" customHeight="1">
      <c r="O6499" s="4" t="s">
        <v>7776</v>
      </c>
    </row>
    <row r="6500" ht="15.75" customHeight="1">
      <c r="O6500" s="4" t="s">
        <v>7777</v>
      </c>
    </row>
    <row r="6501" ht="15.75" customHeight="1">
      <c r="O6501" s="4" t="s">
        <v>7778</v>
      </c>
    </row>
    <row r="6502" ht="15.75" customHeight="1">
      <c r="O6502" s="4" t="s">
        <v>7779</v>
      </c>
    </row>
    <row r="6503" ht="15.75" customHeight="1">
      <c r="O6503" s="4" t="s">
        <v>7780</v>
      </c>
    </row>
    <row r="6504" ht="15.75" customHeight="1">
      <c r="O6504" s="4" t="s">
        <v>7781</v>
      </c>
    </row>
    <row r="6505" ht="15.75" customHeight="1">
      <c r="O6505" s="4" t="s">
        <v>7782</v>
      </c>
    </row>
    <row r="6506" ht="15.75" customHeight="1">
      <c r="O6506" s="4" t="s">
        <v>7783</v>
      </c>
    </row>
    <row r="6507" ht="15.75" customHeight="1">
      <c r="O6507" s="4" t="s">
        <v>7784</v>
      </c>
    </row>
    <row r="6508" ht="15.75" customHeight="1">
      <c r="O6508" s="4" t="s">
        <v>7785</v>
      </c>
    </row>
    <row r="6509" ht="15.75" customHeight="1">
      <c r="O6509" s="4" t="s">
        <v>7786</v>
      </c>
    </row>
    <row r="6510" ht="15.75" customHeight="1">
      <c r="O6510" s="4" t="s">
        <v>7787</v>
      </c>
    </row>
    <row r="6511" ht="15.75" customHeight="1">
      <c r="O6511" s="4" t="s">
        <v>7788</v>
      </c>
    </row>
    <row r="6512" ht="15.75" customHeight="1">
      <c r="O6512" s="4" t="s">
        <v>7789</v>
      </c>
    </row>
    <row r="6513" ht="15.75" customHeight="1">
      <c r="O6513" s="4" t="s">
        <v>7790</v>
      </c>
    </row>
    <row r="6514" ht="15.75" customHeight="1">
      <c r="O6514" s="4" t="s">
        <v>7791</v>
      </c>
    </row>
    <row r="6515" ht="15.75" customHeight="1">
      <c r="O6515" s="4" t="s">
        <v>7792</v>
      </c>
    </row>
    <row r="6516" ht="15.75" customHeight="1">
      <c r="O6516" s="4" t="s">
        <v>7793</v>
      </c>
    </row>
    <row r="6517" ht="15.75" customHeight="1">
      <c r="O6517" s="4" t="s">
        <v>7794</v>
      </c>
    </row>
    <row r="6518" ht="15.75" customHeight="1">
      <c r="O6518" s="4" t="s">
        <v>7795</v>
      </c>
    </row>
    <row r="6519" ht="15.75" customHeight="1">
      <c r="O6519" s="4" t="s">
        <v>7796</v>
      </c>
    </row>
    <row r="6520" ht="15.75" customHeight="1">
      <c r="O6520" s="4" t="s">
        <v>7797</v>
      </c>
    </row>
    <row r="6521" ht="15.75" customHeight="1">
      <c r="O6521" s="4" t="s">
        <v>7798</v>
      </c>
    </row>
    <row r="6522" ht="15.75" customHeight="1">
      <c r="O6522" s="4" t="s">
        <v>7799</v>
      </c>
    </row>
    <row r="6523" ht="15.75" customHeight="1">
      <c r="O6523" s="4" t="s">
        <v>7800</v>
      </c>
    </row>
    <row r="6524" ht="15.75" customHeight="1">
      <c r="O6524" s="4" t="s">
        <v>7801</v>
      </c>
    </row>
    <row r="6525" ht="15.75" customHeight="1">
      <c r="O6525" s="4" t="s">
        <v>7802</v>
      </c>
    </row>
    <row r="6526" ht="15.75" customHeight="1">
      <c r="O6526" s="4" t="s">
        <v>7803</v>
      </c>
    </row>
    <row r="6527" ht="15.75" customHeight="1">
      <c r="O6527" s="4" t="s">
        <v>7804</v>
      </c>
    </row>
    <row r="6528" ht="15.75" customHeight="1">
      <c r="O6528" s="4" t="s">
        <v>7805</v>
      </c>
    </row>
    <row r="6529" ht="15.75" customHeight="1">
      <c r="O6529" s="4" t="s">
        <v>7806</v>
      </c>
    </row>
    <row r="6530" ht="15.75" customHeight="1">
      <c r="O6530" s="4" t="s">
        <v>7807</v>
      </c>
    </row>
    <row r="6531" ht="15.75" customHeight="1">
      <c r="O6531" s="4" t="s">
        <v>7808</v>
      </c>
    </row>
    <row r="6532" ht="15.75" customHeight="1">
      <c r="O6532" s="4" t="s">
        <v>7809</v>
      </c>
    </row>
    <row r="6533" ht="15.75" customHeight="1">
      <c r="O6533" s="4" t="s">
        <v>7810</v>
      </c>
    </row>
    <row r="6534" ht="15.75" customHeight="1">
      <c r="O6534" s="4" t="s">
        <v>7811</v>
      </c>
    </row>
    <row r="6535" ht="15.75" customHeight="1">
      <c r="O6535" s="4" t="s">
        <v>7812</v>
      </c>
    </row>
    <row r="6536" ht="15.75" customHeight="1">
      <c r="O6536" s="4" t="s">
        <v>7813</v>
      </c>
    </row>
    <row r="6537" ht="15.75" customHeight="1">
      <c r="O6537" s="4" t="s">
        <v>7814</v>
      </c>
    </row>
    <row r="6538" ht="15.75" customHeight="1">
      <c r="O6538" s="4" t="s">
        <v>7815</v>
      </c>
    </row>
    <row r="6539" ht="15.75" customHeight="1">
      <c r="O6539" s="4" t="s">
        <v>7816</v>
      </c>
    </row>
    <row r="6540" ht="15.75" customHeight="1">
      <c r="O6540" s="4" t="s">
        <v>7817</v>
      </c>
    </row>
    <row r="6541" ht="15.75" customHeight="1">
      <c r="O6541" s="4" t="s">
        <v>7818</v>
      </c>
    </row>
    <row r="6542" ht="15.75" customHeight="1">
      <c r="O6542" s="4" t="s">
        <v>7819</v>
      </c>
    </row>
    <row r="6543" ht="15.75" customHeight="1">
      <c r="O6543" s="4" t="s">
        <v>7820</v>
      </c>
    </row>
    <row r="6544" ht="15.75" customHeight="1">
      <c r="O6544" s="4" t="s">
        <v>7821</v>
      </c>
    </row>
    <row r="6545" ht="15.75" customHeight="1">
      <c r="O6545" s="4" t="s">
        <v>7822</v>
      </c>
    </row>
    <row r="6546" ht="15.75" customHeight="1">
      <c r="O6546" s="4" t="s">
        <v>7823</v>
      </c>
    </row>
    <row r="6547" ht="15.75" customHeight="1">
      <c r="O6547" s="4" t="s">
        <v>7824</v>
      </c>
    </row>
    <row r="6548" ht="15.75" customHeight="1">
      <c r="O6548" s="4" t="s">
        <v>7825</v>
      </c>
    </row>
    <row r="6549" ht="15.75" customHeight="1">
      <c r="O6549" s="4" t="s">
        <v>7826</v>
      </c>
    </row>
    <row r="6550" ht="15.75" customHeight="1">
      <c r="O6550" s="4" t="s">
        <v>7827</v>
      </c>
    </row>
    <row r="6551" ht="15.75" customHeight="1">
      <c r="O6551" s="4" t="s">
        <v>7828</v>
      </c>
    </row>
    <row r="6552" ht="15.75" customHeight="1">
      <c r="O6552" s="4" t="s">
        <v>7829</v>
      </c>
    </row>
    <row r="6553" ht="15.75" customHeight="1">
      <c r="O6553" s="4" t="s">
        <v>7830</v>
      </c>
    </row>
    <row r="6554" ht="15.75" customHeight="1">
      <c r="O6554" s="4" t="s">
        <v>7831</v>
      </c>
    </row>
    <row r="6555" ht="15.75" customHeight="1">
      <c r="O6555" s="4" t="s">
        <v>7832</v>
      </c>
    </row>
    <row r="6556" ht="15.75" customHeight="1">
      <c r="O6556" s="4" t="s">
        <v>7833</v>
      </c>
    </row>
    <row r="6557" ht="15.75" customHeight="1">
      <c r="O6557" s="4" t="s">
        <v>7834</v>
      </c>
    </row>
    <row r="6558" ht="15.75" customHeight="1">
      <c r="O6558" s="4" t="s">
        <v>7835</v>
      </c>
    </row>
    <row r="6559" ht="15.75" customHeight="1">
      <c r="O6559" s="4" t="s">
        <v>7836</v>
      </c>
    </row>
    <row r="6560" ht="15.75" customHeight="1">
      <c r="O6560" s="4" t="s">
        <v>7837</v>
      </c>
    </row>
    <row r="6561" ht="15.75" customHeight="1">
      <c r="O6561" s="4" t="s">
        <v>7838</v>
      </c>
    </row>
    <row r="6562" ht="15.75" customHeight="1">
      <c r="O6562" s="4" t="s">
        <v>7839</v>
      </c>
    </row>
    <row r="6563" ht="15.75" customHeight="1">
      <c r="O6563" s="4" t="s">
        <v>7840</v>
      </c>
    </row>
    <row r="6564" ht="15.75" customHeight="1">
      <c r="O6564" s="4" t="s">
        <v>7841</v>
      </c>
    </row>
    <row r="6565" ht="15.75" customHeight="1">
      <c r="O6565" s="4" t="s">
        <v>7842</v>
      </c>
    </row>
    <row r="6566" ht="15.75" customHeight="1">
      <c r="O6566" s="4" t="s">
        <v>7843</v>
      </c>
    </row>
    <row r="6567" ht="15.75" customHeight="1">
      <c r="O6567" s="4" t="s">
        <v>7844</v>
      </c>
    </row>
    <row r="6568" ht="15.75" customHeight="1">
      <c r="O6568" s="4" t="s">
        <v>7845</v>
      </c>
    </row>
    <row r="6569" ht="15.75" customHeight="1">
      <c r="O6569" s="4" t="s">
        <v>7846</v>
      </c>
    </row>
    <row r="6570" ht="15.75" customHeight="1">
      <c r="O6570" s="4" t="s">
        <v>7847</v>
      </c>
    </row>
    <row r="6571" ht="15.75" customHeight="1">
      <c r="O6571" s="4" t="s">
        <v>7848</v>
      </c>
    </row>
    <row r="6572" ht="15.75" customHeight="1">
      <c r="O6572" s="4" t="s">
        <v>7849</v>
      </c>
    </row>
    <row r="6573" ht="15.75" customHeight="1">
      <c r="O6573" s="4" t="s">
        <v>7850</v>
      </c>
    </row>
    <row r="6574" ht="15.75" customHeight="1">
      <c r="O6574" s="4" t="s">
        <v>7851</v>
      </c>
    </row>
    <row r="6575" ht="15.75" customHeight="1">
      <c r="O6575" s="4" t="s">
        <v>7852</v>
      </c>
    </row>
    <row r="6576" ht="15.75" customHeight="1">
      <c r="O6576" s="4" t="s">
        <v>7853</v>
      </c>
    </row>
    <row r="6577" ht="15.75" customHeight="1">
      <c r="O6577" s="4" t="s">
        <v>7854</v>
      </c>
    </row>
    <row r="6578" ht="15.75" customHeight="1">
      <c r="O6578" s="4" t="s">
        <v>7855</v>
      </c>
    </row>
    <row r="6579" ht="15.75" customHeight="1">
      <c r="O6579" s="4" t="s">
        <v>7856</v>
      </c>
    </row>
    <row r="6580" ht="15.75" customHeight="1">
      <c r="O6580" s="4" t="s">
        <v>7857</v>
      </c>
    </row>
    <row r="6581" ht="15.75" customHeight="1">
      <c r="O6581" s="4" t="s">
        <v>7858</v>
      </c>
    </row>
    <row r="6582" ht="15.75" customHeight="1">
      <c r="O6582" s="4" t="s">
        <v>7859</v>
      </c>
    </row>
    <row r="6583" ht="15.75" customHeight="1">
      <c r="O6583" s="4" t="s">
        <v>7860</v>
      </c>
    </row>
    <row r="6584" ht="15.75" customHeight="1">
      <c r="O6584" s="4" t="s">
        <v>7861</v>
      </c>
    </row>
    <row r="6585" ht="15.75" customHeight="1">
      <c r="O6585" s="4" t="s">
        <v>7862</v>
      </c>
    </row>
    <row r="6586" ht="15.75" customHeight="1">
      <c r="O6586" s="4" t="s">
        <v>7863</v>
      </c>
    </row>
    <row r="6587" ht="15.75" customHeight="1">
      <c r="O6587" s="4" t="s">
        <v>7864</v>
      </c>
    </row>
    <row r="6588" ht="15.75" customHeight="1">
      <c r="O6588" s="4" t="s">
        <v>7865</v>
      </c>
    </row>
    <row r="6589" ht="15.75" customHeight="1">
      <c r="O6589" s="4" t="s">
        <v>7866</v>
      </c>
    </row>
    <row r="6590" ht="15.75" customHeight="1">
      <c r="O6590" s="4" t="s">
        <v>7867</v>
      </c>
    </row>
    <row r="6591" ht="15.75" customHeight="1">
      <c r="O6591" s="4" t="s">
        <v>7868</v>
      </c>
    </row>
    <row r="6592" ht="15.75" customHeight="1">
      <c r="O6592" s="4" t="s">
        <v>7869</v>
      </c>
    </row>
    <row r="6593" ht="15.75" customHeight="1">
      <c r="O6593" s="4" t="s">
        <v>7870</v>
      </c>
    </row>
    <row r="6594" ht="15.75" customHeight="1">
      <c r="O6594" s="4" t="s">
        <v>7871</v>
      </c>
    </row>
    <row r="6595" ht="15.75" customHeight="1">
      <c r="O6595" s="4" t="s">
        <v>7872</v>
      </c>
    </row>
    <row r="6596" ht="15.75" customHeight="1">
      <c r="O6596" s="4" t="s">
        <v>7873</v>
      </c>
    </row>
    <row r="6597" ht="15.75" customHeight="1">
      <c r="O6597" s="4" t="s">
        <v>7874</v>
      </c>
    </row>
    <row r="6598" ht="15.75" customHeight="1">
      <c r="O6598" s="4" t="s">
        <v>7875</v>
      </c>
    </row>
    <row r="6599" ht="15.75" customHeight="1">
      <c r="O6599" s="4" t="s">
        <v>7876</v>
      </c>
    </row>
    <row r="6600" ht="15.75" customHeight="1">
      <c r="O6600" s="4" t="s">
        <v>7877</v>
      </c>
    </row>
    <row r="6601" ht="15.75" customHeight="1">
      <c r="O6601" s="4" t="s">
        <v>7878</v>
      </c>
    </row>
    <row r="6602" ht="15.75" customHeight="1">
      <c r="O6602" s="4" t="s">
        <v>7879</v>
      </c>
    </row>
    <row r="6603" ht="15.75" customHeight="1">
      <c r="O6603" s="4" t="s">
        <v>7880</v>
      </c>
    </row>
    <row r="6604" ht="15.75" customHeight="1">
      <c r="O6604" s="4" t="s">
        <v>7881</v>
      </c>
    </row>
    <row r="6605" ht="15.75" customHeight="1">
      <c r="O6605" s="4" t="s">
        <v>7882</v>
      </c>
    </row>
    <row r="6606" ht="15.75" customHeight="1">
      <c r="O6606" s="4" t="s">
        <v>7883</v>
      </c>
    </row>
    <row r="6607" ht="15.75" customHeight="1">
      <c r="O6607" s="4" t="s">
        <v>7884</v>
      </c>
    </row>
    <row r="6608" ht="15.75" customHeight="1">
      <c r="O6608" s="4" t="s">
        <v>7885</v>
      </c>
    </row>
    <row r="6609" ht="15.75" customHeight="1">
      <c r="O6609" s="4" t="s">
        <v>7886</v>
      </c>
    </row>
    <row r="6610" ht="15.75" customHeight="1">
      <c r="O6610" s="4" t="s">
        <v>7887</v>
      </c>
    </row>
    <row r="6611" ht="15.75" customHeight="1">
      <c r="O6611" s="4" t="s">
        <v>7888</v>
      </c>
    </row>
    <row r="6612" ht="15.75" customHeight="1">
      <c r="O6612" s="4" t="s">
        <v>7889</v>
      </c>
    </row>
    <row r="6613" ht="15.75" customHeight="1">
      <c r="O6613" s="4" t="s">
        <v>7890</v>
      </c>
    </row>
    <row r="6614" ht="15.75" customHeight="1">
      <c r="O6614" s="4" t="s">
        <v>7891</v>
      </c>
    </row>
    <row r="6615" ht="15.75" customHeight="1">
      <c r="O6615" s="4" t="s">
        <v>7892</v>
      </c>
    </row>
    <row r="6616" ht="15.75" customHeight="1">
      <c r="O6616" s="4" t="s">
        <v>7893</v>
      </c>
    </row>
    <row r="6617" ht="15.75" customHeight="1">
      <c r="O6617" s="4" t="s">
        <v>7894</v>
      </c>
    </row>
    <row r="6618" ht="15.75" customHeight="1">
      <c r="O6618" s="4" t="s">
        <v>7895</v>
      </c>
    </row>
    <row r="6619" ht="15.75" customHeight="1">
      <c r="O6619" s="4" t="s">
        <v>7896</v>
      </c>
    </row>
    <row r="6620" ht="15.75" customHeight="1">
      <c r="O6620" s="4" t="s">
        <v>7897</v>
      </c>
    </row>
    <row r="6621" ht="15.75" customHeight="1">
      <c r="O6621" s="4" t="s">
        <v>7898</v>
      </c>
    </row>
    <row r="6622" ht="15.75" customHeight="1">
      <c r="O6622" s="4" t="s">
        <v>7899</v>
      </c>
    </row>
    <row r="6623" ht="15.75" customHeight="1">
      <c r="O6623" s="4" t="s">
        <v>7900</v>
      </c>
    </row>
    <row r="6624" ht="15.75" customHeight="1">
      <c r="O6624" s="4" t="s">
        <v>7901</v>
      </c>
    </row>
    <row r="6625" ht="15.75" customHeight="1">
      <c r="O6625" s="4" t="s">
        <v>7902</v>
      </c>
    </row>
    <row r="6626" ht="15.75" customHeight="1">
      <c r="O6626" s="4" t="s">
        <v>7903</v>
      </c>
    </row>
    <row r="6627" ht="15.75" customHeight="1">
      <c r="O6627" s="4" t="s">
        <v>7904</v>
      </c>
    </row>
    <row r="6628" ht="15.75" customHeight="1">
      <c r="O6628" s="4" t="s">
        <v>7905</v>
      </c>
    </row>
    <row r="6629" ht="15.75" customHeight="1">
      <c r="O6629" s="4" t="s">
        <v>7906</v>
      </c>
    </row>
    <row r="6630" ht="15.75" customHeight="1">
      <c r="O6630" s="4" t="s">
        <v>7907</v>
      </c>
    </row>
    <row r="6631" ht="15.75" customHeight="1">
      <c r="O6631" s="4" t="s">
        <v>7908</v>
      </c>
    </row>
    <row r="6632" ht="15.75" customHeight="1">
      <c r="O6632" s="4" t="s">
        <v>7909</v>
      </c>
    </row>
    <row r="6633" ht="15.75" customHeight="1">
      <c r="O6633" s="4" t="s">
        <v>7910</v>
      </c>
    </row>
    <row r="6634" ht="15.75" customHeight="1">
      <c r="O6634" s="4" t="s">
        <v>7911</v>
      </c>
    </row>
    <row r="6635" ht="15.75" customHeight="1">
      <c r="O6635" s="4" t="s">
        <v>7912</v>
      </c>
    </row>
    <row r="6636" ht="15.75" customHeight="1">
      <c r="O6636" s="4" t="s">
        <v>7913</v>
      </c>
    </row>
    <row r="6637" ht="15.75" customHeight="1">
      <c r="O6637" s="4" t="s">
        <v>7914</v>
      </c>
    </row>
    <row r="6638" ht="15.75" customHeight="1">
      <c r="O6638" s="4" t="s">
        <v>7915</v>
      </c>
    </row>
    <row r="6639" ht="15.75" customHeight="1">
      <c r="O6639" s="4" t="s">
        <v>7916</v>
      </c>
    </row>
    <row r="6640" ht="15.75" customHeight="1">
      <c r="O6640" s="4" t="s">
        <v>7917</v>
      </c>
    </row>
    <row r="6641" ht="15.75" customHeight="1">
      <c r="O6641" s="4" t="s">
        <v>7918</v>
      </c>
    </row>
    <row r="6642" ht="15.75" customHeight="1">
      <c r="O6642" s="4" t="s">
        <v>7919</v>
      </c>
    </row>
    <row r="6643" ht="15.75" customHeight="1">
      <c r="O6643" s="4" t="s">
        <v>7920</v>
      </c>
    </row>
    <row r="6644" ht="15.75" customHeight="1">
      <c r="O6644" s="4" t="s">
        <v>7921</v>
      </c>
    </row>
    <row r="6645" ht="15.75" customHeight="1">
      <c r="O6645" s="4" t="s">
        <v>7922</v>
      </c>
    </row>
    <row r="6646" ht="15.75" customHeight="1">
      <c r="O6646" s="4" t="s">
        <v>7923</v>
      </c>
    </row>
    <row r="6647" ht="15.75" customHeight="1">
      <c r="O6647" s="4" t="s">
        <v>7924</v>
      </c>
    </row>
    <row r="6648" ht="15.75" customHeight="1">
      <c r="O6648" s="4" t="s">
        <v>7925</v>
      </c>
    </row>
    <row r="6649" ht="15.75" customHeight="1">
      <c r="O6649" s="4" t="s">
        <v>7926</v>
      </c>
    </row>
    <row r="6650" ht="15.75" customHeight="1">
      <c r="O6650" s="4" t="s">
        <v>7927</v>
      </c>
    </row>
    <row r="6651" ht="15.75" customHeight="1">
      <c r="O6651" s="4" t="s">
        <v>7928</v>
      </c>
    </row>
    <row r="6652" ht="15.75" customHeight="1">
      <c r="O6652" s="4" t="s">
        <v>7929</v>
      </c>
    </row>
    <row r="6653" ht="15.75" customHeight="1">
      <c r="O6653" s="4" t="s">
        <v>7930</v>
      </c>
    </row>
    <row r="6654" ht="15.75" customHeight="1">
      <c r="O6654" s="4" t="s">
        <v>7931</v>
      </c>
    </row>
    <row r="6655" ht="15.75" customHeight="1">
      <c r="O6655" s="4" t="s">
        <v>7932</v>
      </c>
    </row>
    <row r="6656" ht="15.75" customHeight="1">
      <c r="O6656" s="4" t="s">
        <v>7933</v>
      </c>
    </row>
    <row r="6657" ht="15.75" customHeight="1">
      <c r="O6657" s="4" t="s">
        <v>7934</v>
      </c>
    </row>
    <row r="6658" ht="15.75" customHeight="1">
      <c r="O6658" s="4" t="s">
        <v>7935</v>
      </c>
    </row>
    <row r="6659" ht="15.75" customHeight="1">
      <c r="O6659" s="4" t="s">
        <v>7936</v>
      </c>
    </row>
    <row r="6660" ht="15.75" customHeight="1">
      <c r="O6660" s="4" t="s">
        <v>7937</v>
      </c>
    </row>
    <row r="6661" ht="15.75" customHeight="1">
      <c r="O6661" s="4" t="s">
        <v>7938</v>
      </c>
    </row>
    <row r="6662" ht="15.75" customHeight="1">
      <c r="O6662" s="4" t="s">
        <v>7939</v>
      </c>
    </row>
    <row r="6663" ht="15.75" customHeight="1">
      <c r="O6663" s="4" t="s">
        <v>7940</v>
      </c>
    </row>
    <row r="6664" ht="15.75" customHeight="1">
      <c r="O6664" s="4" t="s">
        <v>7941</v>
      </c>
    </row>
    <row r="6665" ht="15.75" customHeight="1">
      <c r="O6665" s="4" t="s">
        <v>7942</v>
      </c>
    </row>
    <row r="6666" ht="15.75" customHeight="1">
      <c r="O6666" s="4" t="s">
        <v>7943</v>
      </c>
    </row>
    <row r="6667" ht="15.75" customHeight="1">
      <c r="O6667" s="4" t="s">
        <v>7944</v>
      </c>
    </row>
    <row r="6668" ht="15.75" customHeight="1">
      <c r="O6668" s="4" t="s">
        <v>7945</v>
      </c>
    </row>
    <row r="6669" ht="15.75" customHeight="1">
      <c r="O6669" s="4" t="s">
        <v>7946</v>
      </c>
    </row>
    <row r="6670" ht="15.75" customHeight="1">
      <c r="O6670" s="4" t="s">
        <v>7947</v>
      </c>
    </row>
    <row r="6671" ht="15.75" customHeight="1">
      <c r="O6671" s="4" t="s">
        <v>7948</v>
      </c>
    </row>
    <row r="6672" ht="15.75" customHeight="1">
      <c r="O6672" s="4" t="s">
        <v>7949</v>
      </c>
    </row>
    <row r="6673" ht="15.75" customHeight="1">
      <c r="O6673" s="4" t="s">
        <v>7950</v>
      </c>
    </row>
    <row r="6674" ht="15.75" customHeight="1">
      <c r="O6674" s="4" t="s">
        <v>7951</v>
      </c>
    </row>
    <row r="6675" ht="15.75" customHeight="1">
      <c r="O6675" s="4" t="s">
        <v>7952</v>
      </c>
    </row>
    <row r="6676" ht="15.75" customHeight="1">
      <c r="O6676" s="4" t="s">
        <v>7953</v>
      </c>
    </row>
    <row r="6677" ht="15.75" customHeight="1">
      <c r="O6677" s="4" t="s">
        <v>7954</v>
      </c>
    </row>
    <row r="6678" ht="15.75" customHeight="1">
      <c r="O6678" s="4" t="s">
        <v>7955</v>
      </c>
    </row>
    <row r="6679" ht="15.75" customHeight="1">
      <c r="O6679" s="4" t="s">
        <v>7956</v>
      </c>
    </row>
    <row r="6680" ht="15.75" customHeight="1">
      <c r="O6680" s="4" t="s">
        <v>7957</v>
      </c>
    </row>
    <row r="6681" ht="15.75" customHeight="1">
      <c r="O6681" s="4" t="s">
        <v>7958</v>
      </c>
    </row>
    <row r="6682" ht="15.75" customHeight="1">
      <c r="O6682" s="4" t="s">
        <v>7959</v>
      </c>
    </row>
    <row r="6683" ht="15.75" customHeight="1">
      <c r="O6683" s="4" t="s">
        <v>7960</v>
      </c>
    </row>
    <row r="6684" ht="15.75" customHeight="1">
      <c r="O6684" s="4" t="s">
        <v>7961</v>
      </c>
    </row>
    <row r="6685" ht="15.75" customHeight="1">
      <c r="O6685" s="4" t="s">
        <v>7962</v>
      </c>
    </row>
    <row r="6686" ht="15.75" customHeight="1">
      <c r="O6686" s="4" t="s">
        <v>7963</v>
      </c>
    </row>
    <row r="6687" ht="15.75" customHeight="1">
      <c r="O6687" s="4" t="s">
        <v>7964</v>
      </c>
    </row>
    <row r="6688" ht="15.75" customHeight="1">
      <c r="O6688" s="4" t="s">
        <v>7965</v>
      </c>
    </row>
    <row r="6689" ht="15.75" customHeight="1">
      <c r="O6689" s="4" t="s">
        <v>7966</v>
      </c>
    </row>
    <row r="6690" ht="15.75" customHeight="1">
      <c r="O6690" s="4" t="s">
        <v>7967</v>
      </c>
    </row>
    <row r="6691" ht="15.75" customHeight="1">
      <c r="O6691" s="4" t="s">
        <v>7968</v>
      </c>
    </row>
    <row r="6692" ht="15.75" customHeight="1">
      <c r="O6692" s="4" t="s">
        <v>7969</v>
      </c>
    </row>
    <row r="6693" ht="15.75" customHeight="1">
      <c r="O6693" s="4" t="s">
        <v>7970</v>
      </c>
    </row>
    <row r="6694" ht="15.75" customHeight="1">
      <c r="O6694" s="4" t="s">
        <v>7971</v>
      </c>
    </row>
    <row r="6695" ht="15.75" customHeight="1">
      <c r="O6695" s="4" t="s">
        <v>7972</v>
      </c>
    </row>
    <row r="6696" ht="15.75" customHeight="1">
      <c r="O6696" s="4" t="s">
        <v>7973</v>
      </c>
    </row>
    <row r="6697" ht="15.75" customHeight="1">
      <c r="O6697" s="4" t="s">
        <v>7974</v>
      </c>
    </row>
    <row r="6698" ht="15.75" customHeight="1">
      <c r="O6698" s="4" t="s">
        <v>7975</v>
      </c>
    </row>
    <row r="6699" ht="15.75" customHeight="1">
      <c r="O6699" s="4" t="s">
        <v>7976</v>
      </c>
    </row>
    <row r="6700" ht="15.75" customHeight="1">
      <c r="O6700" s="4" t="s">
        <v>7977</v>
      </c>
    </row>
    <row r="6701" ht="15.75" customHeight="1">
      <c r="O6701" s="4" t="s">
        <v>7978</v>
      </c>
    </row>
    <row r="6702" ht="15.75" customHeight="1">
      <c r="O6702" s="4" t="s">
        <v>7979</v>
      </c>
    </row>
    <row r="6703" ht="15.75" customHeight="1">
      <c r="O6703" s="4" t="s">
        <v>7980</v>
      </c>
    </row>
    <row r="6704" ht="15.75" customHeight="1">
      <c r="O6704" s="4" t="s">
        <v>7981</v>
      </c>
    </row>
    <row r="6705" ht="15.75" customHeight="1">
      <c r="O6705" s="4" t="s">
        <v>7982</v>
      </c>
    </row>
    <row r="6706" ht="15.75" customHeight="1">
      <c r="O6706" s="4" t="s">
        <v>7983</v>
      </c>
    </row>
    <row r="6707" ht="15.75" customHeight="1">
      <c r="O6707" s="4" t="s">
        <v>7984</v>
      </c>
    </row>
    <row r="6708" ht="15.75" customHeight="1">
      <c r="O6708" s="4" t="s">
        <v>7985</v>
      </c>
    </row>
    <row r="6709" ht="15.75" customHeight="1">
      <c r="O6709" s="4" t="s">
        <v>7986</v>
      </c>
    </row>
    <row r="6710" ht="15.75" customHeight="1">
      <c r="O6710" s="4" t="s">
        <v>7987</v>
      </c>
    </row>
    <row r="6711" ht="15.75" customHeight="1">
      <c r="O6711" s="4" t="s">
        <v>7988</v>
      </c>
    </row>
    <row r="6712" ht="15.75" customHeight="1">
      <c r="O6712" s="4" t="s">
        <v>7989</v>
      </c>
    </row>
    <row r="6713" ht="15.75" customHeight="1">
      <c r="O6713" s="4" t="s">
        <v>7990</v>
      </c>
    </row>
    <row r="6714" ht="15.75" customHeight="1">
      <c r="O6714" s="4" t="s">
        <v>7991</v>
      </c>
    </row>
    <row r="6715" ht="15.75" customHeight="1">
      <c r="O6715" s="4" t="s">
        <v>7992</v>
      </c>
    </row>
    <row r="6716" ht="15.75" customHeight="1">
      <c r="O6716" s="4" t="s">
        <v>7993</v>
      </c>
    </row>
    <row r="6717" ht="15.75" customHeight="1">
      <c r="O6717" s="4" t="s">
        <v>7994</v>
      </c>
    </row>
    <row r="6718" ht="15.75" customHeight="1">
      <c r="O6718" s="4" t="s">
        <v>7995</v>
      </c>
    </row>
    <row r="6719" ht="15.75" customHeight="1">
      <c r="O6719" s="4" t="s">
        <v>7996</v>
      </c>
    </row>
    <row r="6720" ht="15.75" customHeight="1">
      <c r="O6720" s="4" t="s">
        <v>7997</v>
      </c>
    </row>
    <row r="6721" ht="15.75" customHeight="1">
      <c r="O6721" s="4" t="s">
        <v>7998</v>
      </c>
    </row>
    <row r="6722" ht="15.75" customHeight="1">
      <c r="O6722" s="4" t="s">
        <v>7999</v>
      </c>
    </row>
    <row r="6723" ht="15.75" customHeight="1">
      <c r="O6723" s="4" t="s">
        <v>8000</v>
      </c>
    </row>
    <row r="6724" ht="15.75" customHeight="1">
      <c r="O6724" s="4" t="s">
        <v>8001</v>
      </c>
    </row>
    <row r="6725" ht="15.75" customHeight="1">
      <c r="O6725" s="4" t="s">
        <v>8002</v>
      </c>
    </row>
    <row r="6726" ht="15.75" customHeight="1">
      <c r="O6726" s="4" t="s">
        <v>8003</v>
      </c>
    </row>
    <row r="6727" ht="15.75" customHeight="1">
      <c r="O6727" s="4" t="s">
        <v>8004</v>
      </c>
    </row>
    <row r="6728" ht="15.75" customHeight="1">
      <c r="O6728" s="4" t="s">
        <v>8005</v>
      </c>
    </row>
    <row r="6729" ht="15.75" customHeight="1">
      <c r="O6729" s="4" t="s">
        <v>8006</v>
      </c>
    </row>
    <row r="6730" ht="15.75" customHeight="1">
      <c r="O6730" s="4" t="s">
        <v>8007</v>
      </c>
    </row>
    <row r="6731" ht="15.75" customHeight="1">
      <c r="O6731" s="4" t="s">
        <v>8008</v>
      </c>
    </row>
    <row r="6732" ht="15.75" customHeight="1">
      <c r="O6732" s="4" t="s">
        <v>8009</v>
      </c>
    </row>
    <row r="6733" ht="15.75" customHeight="1">
      <c r="O6733" s="4" t="s">
        <v>8010</v>
      </c>
    </row>
    <row r="6734" ht="15.75" customHeight="1">
      <c r="O6734" s="4" t="s">
        <v>8011</v>
      </c>
    </row>
    <row r="6735" ht="15.75" customHeight="1">
      <c r="O6735" s="4" t="s">
        <v>8012</v>
      </c>
    </row>
    <row r="6736" ht="15.75" customHeight="1">
      <c r="O6736" s="4" t="s">
        <v>8013</v>
      </c>
    </row>
    <row r="6737" ht="15.75" customHeight="1">
      <c r="O6737" s="4" t="s">
        <v>8014</v>
      </c>
    </row>
    <row r="6738" ht="15.75" customHeight="1">
      <c r="O6738" s="4" t="s">
        <v>8015</v>
      </c>
    </row>
    <row r="6739" ht="15.75" customHeight="1">
      <c r="O6739" s="4" t="s">
        <v>8016</v>
      </c>
    </row>
    <row r="6740" ht="15.75" customHeight="1">
      <c r="O6740" s="4" t="s">
        <v>8017</v>
      </c>
    </row>
    <row r="6741" ht="15.75" customHeight="1">
      <c r="O6741" s="4" t="s">
        <v>8018</v>
      </c>
    </row>
    <row r="6742" ht="15.75" customHeight="1">
      <c r="O6742" s="4" t="s">
        <v>8019</v>
      </c>
    </row>
    <row r="6743" ht="15.75" customHeight="1">
      <c r="O6743" s="4" t="s">
        <v>8020</v>
      </c>
    </row>
    <row r="6744" ht="15.75" customHeight="1">
      <c r="O6744" s="4" t="s">
        <v>8021</v>
      </c>
    </row>
    <row r="6745" ht="15.75" customHeight="1">
      <c r="O6745" s="4" t="s">
        <v>8022</v>
      </c>
    </row>
    <row r="6746" ht="15.75" customHeight="1">
      <c r="O6746" s="4" t="s">
        <v>8023</v>
      </c>
    </row>
    <row r="6747" ht="15.75" customHeight="1">
      <c r="O6747" s="4" t="s">
        <v>8024</v>
      </c>
    </row>
    <row r="6748" ht="15.75" customHeight="1">
      <c r="O6748" s="4" t="s">
        <v>8025</v>
      </c>
    </row>
    <row r="6749" ht="15.75" customHeight="1">
      <c r="O6749" s="4" t="s">
        <v>8026</v>
      </c>
    </row>
    <row r="6750" ht="15.75" customHeight="1">
      <c r="O6750" s="4" t="s">
        <v>8027</v>
      </c>
    </row>
    <row r="6751" ht="15.75" customHeight="1">
      <c r="O6751" s="4" t="s">
        <v>8028</v>
      </c>
    </row>
    <row r="6752" ht="15.75" customHeight="1">
      <c r="O6752" s="4" t="s">
        <v>8029</v>
      </c>
    </row>
    <row r="6753" ht="15.75" customHeight="1">
      <c r="O6753" s="4" t="s">
        <v>8030</v>
      </c>
    </row>
    <row r="6754" ht="15.75" customHeight="1">
      <c r="O6754" s="4" t="s">
        <v>8031</v>
      </c>
    </row>
    <row r="6755" ht="15.75" customHeight="1">
      <c r="O6755" s="4" t="s">
        <v>8032</v>
      </c>
    </row>
    <row r="6756" ht="15.75" customHeight="1">
      <c r="O6756" s="4" t="s">
        <v>8033</v>
      </c>
    </row>
    <row r="6757" ht="15.75" customHeight="1">
      <c r="O6757" s="4" t="s">
        <v>8034</v>
      </c>
    </row>
    <row r="6758" ht="15.75" customHeight="1">
      <c r="O6758" s="4" t="s">
        <v>8035</v>
      </c>
    </row>
    <row r="6759" ht="15.75" customHeight="1">
      <c r="O6759" s="4" t="s">
        <v>8036</v>
      </c>
    </row>
    <row r="6760" ht="15.75" customHeight="1">
      <c r="O6760" s="4" t="s">
        <v>8037</v>
      </c>
    </row>
    <row r="6761" ht="15.75" customHeight="1">
      <c r="O6761" s="4" t="s">
        <v>8038</v>
      </c>
    </row>
    <row r="6762" ht="15.75" customHeight="1">
      <c r="O6762" s="4" t="s">
        <v>8039</v>
      </c>
    </row>
    <row r="6763" ht="15.75" customHeight="1">
      <c r="O6763" s="4" t="s">
        <v>8040</v>
      </c>
    </row>
    <row r="6764" ht="15.75" customHeight="1">
      <c r="O6764" s="4" t="s">
        <v>8041</v>
      </c>
    </row>
    <row r="6765" ht="15.75" customHeight="1">
      <c r="O6765" s="4" t="s">
        <v>8042</v>
      </c>
    </row>
    <row r="6766" ht="15.75" customHeight="1">
      <c r="O6766" s="4" t="s">
        <v>8043</v>
      </c>
    </row>
    <row r="6767" ht="15.75" customHeight="1">
      <c r="O6767" s="4" t="s">
        <v>8044</v>
      </c>
    </row>
    <row r="6768" ht="15.75" customHeight="1">
      <c r="O6768" s="4" t="s">
        <v>8045</v>
      </c>
    </row>
    <row r="6769" ht="15.75" customHeight="1">
      <c r="O6769" s="4" t="s">
        <v>8046</v>
      </c>
    </row>
    <row r="6770" ht="15.75" customHeight="1">
      <c r="O6770" s="4" t="s">
        <v>8047</v>
      </c>
    </row>
    <row r="6771" ht="15.75" customHeight="1">
      <c r="O6771" s="4" t="s">
        <v>8048</v>
      </c>
    </row>
    <row r="6772" ht="15.75" customHeight="1">
      <c r="O6772" s="4" t="s">
        <v>8049</v>
      </c>
    </row>
    <row r="6773" ht="15.75" customHeight="1">
      <c r="O6773" s="4" t="s">
        <v>8050</v>
      </c>
    </row>
    <row r="6774" ht="15.75" customHeight="1">
      <c r="O6774" s="4" t="s">
        <v>8051</v>
      </c>
    </row>
    <row r="6775" ht="15.75" customHeight="1">
      <c r="O6775" s="4" t="s">
        <v>8052</v>
      </c>
    </row>
    <row r="6776" ht="15.75" customHeight="1">
      <c r="O6776" s="4" t="s">
        <v>8053</v>
      </c>
    </row>
    <row r="6777" ht="15.75" customHeight="1">
      <c r="O6777" s="4" t="s">
        <v>8054</v>
      </c>
    </row>
    <row r="6778" ht="15.75" customHeight="1">
      <c r="O6778" s="4" t="s">
        <v>8055</v>
      </c>
    </row>
    <row r="6779" ht="15.75" customHeight="1">
      <c r="O6779" s="4" t="s">
        <v>8056</v>
      </c>
    </row>
    <row r="6780" ht="15.75" customHeight="1">
      <c r="O6780" s="4" t="s">
        <v>8057</v>
      </c>
    </row>
    <row r="6781" ht="15.75" customHeight="1">
      <c r="O6781" s="4" t="s">
        <v>8058</v>
      </c>
    </row>
    <row r="6782" ht="15.75" customHeight="1">
      <c r="O6782" s="4" t="s">
        <v>8059</v>
      </c>
    </row>
    <row r="6783" ht="15.75" customHeight="1">
      <c r="O6783" s="4" t="s">
        <v>8060</v>
      </c>
    </row>
    <row r="6784" ht="15.75" customHeight="1">
      <c r="O6784" s="4" t="s">
        <v>8061</v>
      </c>
    </row>
    <row r="6785" ht="15.75" customHeight="1">
      <c r="O6785" s="4" t="s">
        <v>8062</v>
      </c>
    </row>
    <row r="6786" ht="15.75" customHeight="1">
      <c r="O6786" s="4" t="s">
        <v>8063</v>
      </c>
    </row>
    <row r="6787" ht="15.75" customHeight="1">
      <c r="O6787" s="4" t="s">
        <v>8064</v>
      </c>
    </row>
    <row r="6788" ht="15.75" customHeight="1">
      <c r="O6788" s="4" t="s">
        <v>8065</v>
      </c>
    </row>
    <row r="6789" ht="15.75" customHeight="1">
      <c r="O6789" s="4" t="s">
        <v>8066</v>
      </c>
    </row>
    <row r="6790" ht="15.75" customHeight="1">
      <c r="O6790" s="4" t="s">
        <v>8067</v>
      </c>
    </row>
    <row r="6791" ht="15.75" customHeight="1">
      <c r="O6791" s="4" t="s">
        <v>8068</v>
      </c>
    </row>
    <row r="6792" ht="15.75" customHeight="1">
      <c r="O6792" s="4" t="s">
        <v>8069</v>
      </c>
    </row>
    <row r="6793" ht="15.75" customHeight="1">
      <c r="O6793" s="4" t="s">
        <v>8070</v>
      </c>
    </row>
    <row r="6794" ht="15.75" customHeight="1">
      <c r="O6794" s="4" t="s">
        <v>8071</v>
      </c>
    </row>
    <row r="6795" ht="15.75" customHeight="1">
      <c r="O6795" s="4" t="s">
        <v>8072</v>
      </c>
    </row>
    <row r="6796" ht="15.75" customHeight="1">
      <c r="O6796" s="4" t="s">
        <v>8073</v>
      </c>
    </row>
    <row r="6797" ht="15.75" customHeight="1">
      <c r="O6797" s="4" t="s">
        <v>8074</v>
      </c>
    </row>
    <row r="6798" ht="15.75" customHeight="1">
      <c r="O6798" s="4" t="s">
        <v>8075</v>
      </c>
    </row>
    <row r="6799" ht="15.75" customHeight="1">
      <c r="O6799" s="4" t="s">
        <v>8076</v>
      </c>
    </row>
    <row r="6800" ht="15.75" customHeight="1">
      <c r="O6800" s="4" t="s">
        <v>8077</v>
      </c>
    </row>
    <row r="6801" ht="15.75" customHeight="1">
      <c r="O6801" s="4" t="s">
        <v>8078</v>
      </c>
    </row>
    <row r="6802" ht="15.75" customHeight="1">
      <c r="O6802" s="4" t="s">
        <v>8079</v>
      </c>
    </row>
    <row r="6803" ht="15.75" customHeight="1">
      <c r="O6803" s="4" t="s">
        <v>8080</v>
      </c>
    </row>
    <row r="6804" ht="15.75" customHeight="1">
      <c r="O6804" s="4" t="s">
        <v>8081</v>
      </c>
    </row>
    <row r="6805" ht="15.75" customHeight="1">
      <c r="O6805" s="4" t="s">
        <v>8082</v>
      </c>
    </row>
    <row r="6806" ht="15.75" customHeight="1">
      <c r="O6806" s="4" t="s">
        <v>8083</v>
      </c>
    </row>
    <row r="6807" ht="15.75" customHeight="1">
      <c r="O6807" s="4" t="s">
        <v>8084</v>
      </c>
    </row>
    <row r="6808" ht="15.75" customHeight="1">
      <c r="O6808" s="4" t="s">
        <v>8085</v>
      </c>
    </row>
    <row r="6809" ht="15.75" customHeight="1">
      <c r="O6809" s="4" t="s">
        <v>8086</v>
      </c>
    </row>
    <row r="6810" ht="15.75" customHeight="1">
      <c r="O6810" s="4" t="s">
        <v>8087</v>
      </c>
    </row>
    <row r="6811" ht="15.75" customHeight="1">
      <c r="O6811" s="4" t="s">
        <v>8088</v>
      </c>
    </row>
    <row r="6812" ht="15.75" customHeight="1">
      <c r="O6812" s="4" t="s">
        <v>8089</v>
      </c>
    </row>
    <row r="6813" ht="15.75" customHeight="1">
      <c r="O6813" s="4" t="s">
        <v>8090</v>
      </c>
    </row>
    <row r="6814" ht="15.75" customHeight="1">
      <c r="O6814" s="4" t="s">
        <v>8091</v>
      </c>
    </row>
    <row r="6815" ht="15.75" customHeight="1">
      <c r="O6815" s="4" t="s">
        <v>8092</v>
      </c>
    </row>
    <row r="6816" ht="15.75" customHeight="1">
      <c r="O6816" s="4" t="s">
        <v>8093</v>
      </c>
    </row>
    <row r="6817" ht="15.75" customHeight="1">
      <c r="O6817" s="4" t="s">
        <v>8094</v>
      </c>
    </row>
    <row r="6818" ht="15.75" customHeight="1">
      <c r="O6818" s="4" t="s">
        <v>8095</v>
      </c>
    </row>
    <row r="6819" ht="15.75" customHeight="1">
      <c r="O6819" s="4" t="s">
        <v>8096</v>
      </c>
    </row>
    <row r="6820" ht="15.75" customHeight="1">
      <c r="O6820" s="4" t="s">
        <v>8097</v>
      </c>
    </row>
    <row r="6821" ht="15.75" customHeight="1">
      <c r="O6821" s="5" t="s">
        <v>8098</v>
      </c>
    </row>
    <row r="6822" ht="15.75" customHeight="1">
      <c r="O6822" s="4" t="s">
        <v>8099</v>
      </c>
    </row>
    <row r="6823" ht="15.75" customHeight="1">
      <c r="O6823" s="5" t="s">
        <v>8100</v>
      </c>
    </row>
    <row r="6824" ht="15.75" customHeight="1">
      <c r="O6824" s="4" t="s">
        <v>8101</v>
      </c>
    </row>
    <row r="6825" ht="15.75" customHeight="1">
      <c r="O6825" s="4" t="s">
        <v>8102</v>
      </c>
    </row>
    <row r="6826" ht="15.75" customHeight="1">
      <c r="O6826" s="4" t="s">
        <v>8103</v>
      </c>
    </row>
    <row r="6827" ht="15.75" customHeight="1">
      <c r="O6827" s="4" t="s">
        <v>8104</v>
      </c>
    </row>
    <row r="6828" ht="15.75" customHeight="1">
      <c r="O6828" s="4" t="s">
        <v>8105</v>
      </c>
    </row>
    <row r="6829" ht="15.75" customHeight="1">
      <c r="O6829" s="4" t="s">
        <v>8106</v>
      </c>
    </row>
    <row r="6830" ht="15.75" customHeight="1">
      <c r="O6830" s="4" t="s">
        <v>8107</v>
      </c>
    </row>
    <row r="6831" ht="15.75" customHeight="1">
      <c r="O6831" s="4" t="s">
        <v>8108</v>
      </c>
    </row>
    <row r="6832" ht="15.75" customHeight="1">
      <c r="O6832" s="4" t="s">
        <v>8109</v>
      </c>
    </row>
    <row r="6833" ht="15.75" customHeight="1">
      <c r="O6833" s="4" t="s">
        <v>8110</v>
      </c>
    </row>
    <row r="6834" ht="15.75" customHeight="1">
      <c r="O6834" s="4" t="s">
        <v>8111</v>
      </c>
    </row>
    <row r="6835" ht="15.75" customHeight="1">
      <c r="O6835" s="4" t="s">
        <v>8112</v>
      </c>
    </row>
    <row r="6836" ht="15.75" customHeight="1">
      <c r="O6836" s="4" t="s">
        <v>8113</v>
      </c>
    </row>
    <row r="6837" ht="15.75" customHeight="1">
      <c r="O6837" s="4" t="s">
        <v>8114</v>
      </c>
    </row>
    <row r="6838" ht="15.75" customHeight="1">
      <c r="O6838" s="4" t="s">
        <v>8115</v>
      </c>
    </row>
    <row r="6839" ht="15.75" customHeight="1">
      <c r="O6839" s="4" t="s">
        <v>8116</v>
      </c>
    </row>
    <row r="6840" ht="15.75" customHeight="1">
      <c r="O6840" s="4" t="s">
        <v>8117</v>
      </c>
    </row>
    <row r="6841" ht="15.75" customHeight="1">
      <c r="O6841" s="4" t="s">
        <v>8118</v>
      </c>
    </row>
    <row r="6842" ht="15.75" customHeight="1">
      <c r="O6842" s="4" t="s">
        <v>8119</v>
      </c>
    </row>
    <row r="6843" ht="15.75" customHeight="1">
      <c r="O6843" s="4" t="s">
        <v>8120</v>
      </c>
    </row>
    <row r="6844" ht="15.75" customHeight="1">
      <c r="O6844" s="4" t="s">
        <v>8121</v>
      </c>
    </row>
    <row r="6845" ht="15.75" customHeight="1">
      <c r="O6845" s="4" t="s">
        <v>8122</v>
      </c>
    </row>
    <row r="6846" ht="15.75" customHeight="1">
      <c r="O6846" s="4" t="s">
        <v>8123</v>
      </c>
    </row>
    <row r="6847" ht="15.75" customHeight="1">
      <c r="O6847" s="4" t="s">
        <v>8124</v>
      </c>
    </row>
    <row r="6848" ht="15.75" customHeight="1">
      <c r="O6848" s="4" t="s">
        <v>8125</v>
      </c>
    </row>
    <row r="6849" ht="15.75" customHeight="1">
      <c r="O6849" s="4" t="s">
        <v>8126</v>
      </c>
    </row>
    <row r="6850" ht="15.75" customHeight="1">
      <c r="O6850" s="4" t="s">
        <v>8127</v>
      </c>
    </row>
    <row r="6851" ht="15.75" customHeight="1">
      <c r="O6851" s="4" t="s">
        <v>8128</v>
      </c>
    </row>
    <row r="6852" ht="15.75" customHeight="1">
      <c r="O6852" s="4" t="s">
        <v>8129</v>
      </c>
    </row>
    <row r="6853" ht="15.75" customHeight="1">
      <c r="O6853" s="4" t="s">
        <v>8130</v>
      </c>
    </row>
    <row r="6854" ht="15.75" customHeight="1">
      <c r="O6854" s="4" t="s">
        <v>8131</v>
      </c>
    </row>
    <row r="6855" ht="15.75" customHeight="1">
      <c r="O6855" s="4" t="s">
        <v>8132</v>
      </c>
    </row>
    <row r="6856" ht="15.75" customHeight="1">
      <c r="O6856" s="4" t="s">
        <v>8133</v>
      </c>
    </row>
    <row r="6857" ht="15.75" customHeight="1">
      <c r="O6857" s="4" t="s">
        <v>8134</v>
      </c>
    </row>
    <row r="6858" ht="15.75" customHeight="1">
      <c r="O6858" s="4" t="s">
        <v>8135</v>
      </c>
    </row>
    <row r="6859" ht="15.75" customHeight="1">
      <c r="O6859" s="4" t="s">
        <v>8136</v>
      </c>
    </row>
    <row r="6860" ht="15.75" customHeight="1">
      <c r="O6860" s="4" t="s">
        <v>8137</v>
      </c>
    </row>
    <row r="6861" ht="15.75" customHeight="1">
      <c r="O6861" s="4" t="s">
        <v>8138</v>
      </c>
    </row>
    <row r="6862" ht="15.75" customHeight="1">
      <c r="O6862" s="4" t="s">
        <v>8139</v>
      </c>
    </row>
    <row r="6863" ht="15.75" customHeight="1">
      <c r="O6863" s="4" t="s">
        <v>8140</v>
      </c>
    </row>
    <row r="6864" ht="15.75" customHeight="1">
      <c r="O6864" s="4" t="s">
        <v>8141</v>
      </c>
    </row>
    <row r="6865" ht="15.75" customHeight="1">
      <c r="O6865" s="4" t="s">
        <v>8142</v>
      </c>
    </row>
    <row r="6866" ht="15.75" customHeight="1">
      <c r="O6866" s="4" t="s">
        <v>8143</v>
      </c>
    </row>
    <row r="6867" ht="15.75" customHeight="1">
      <c r="O6867" s="4" t="s">
        <v>8144</v>
      </c>
    </row>
    <row r="6868" ht="15.75" customHeight="1">
      <c r="O6868" s="4" t="s">
        <v>8145</v>
      </c>
    </row>
    <row r="6869" ht="15.75" customHeight="1">
      <c r="O6869" s="4" t="s">
        <v>8146</v>
      </c>
    </row>
    <row r="6870" ht="15.75" customHeight="1">
      <c r="O6870" s="4" t="s">
        <v>8147</v>
      </c>
    </row>
    <row r="6871" ht="15.75" customHeight="1">
      <c r="O6871" s="4" t="s">
        <v>8148</v>
      </c>
    </row>
    <row r="6872" ht="15.75" customHeight="1">
      <c r="O6872" s="4" t="s">
        <v>8149</v>
      </c>
    </row>
    <row r="6873" ht="15.75" customHeight="1">
      <c r="O6873" s="4" t="s">
        <v>8150</v>
      </c>
    </row>
    <row r="6874" ht="15.75" customHeight="1">
      <c r="O6874" s="4" t="s">
        <v>8151</v>
      </c>
    </row>
    <row r="6875" ht="15.75" customHeight="1">
      <c r="O6875" s="4" t="s">
        <v>8152</v>
      </c>
    </row>
    <row r="6876" ht="15.75" customHeight="1">
      <c r="O6876" s="4" t="s">
        <v>8153</v>
      </c>
    </row>
    <row r="6877" ht="15.75" customHeight="1">
      <c r="O6877" s="4" t="s">
        <v>8154</v>
      </c>
    </row>
    <row r="6878" ht="15.75" customHeight="1">
      <c r="O6878" s="4" t="s">
        <v>8155</v>
      </c>
    </row>
    <row r="6879" ht="15.75" customHeight="1">
      <c r="O6879" s="4" t="s">
        <v>8156</v>
      </c>
    </row>
    <row r="6880" ht="15.75" customHeight="1">
      <c r="O6880" s="4" t="s">
        <v>8157</v>
      </c>
    </row>
    <row r="6881" ht="15.75" customHeight="1">
      <c r="O6881" s="4" t="s">
        <v>8158</v>
      </c>
    </row>
    <row r="6882" ht="15.75" customHeight="1">
      <c r="O6882" s="4" t="s">
        <v>8159</v>
      </c>
    </row>
    <row r="6883" ht="15.75" customHeight="1">
      <c r="O6883" s="4" t="s">
        <v>8160</v>
      </c>
    </row>
    <row r="6884" ht="15.75" customHeight="1">
      <c r="O6884" s="4" t="s">
        <v>8161</v>
      </c>
    </row>
    <row r="6885" ht="15.75" customHeight="1">
      <c r="O6885" s="4" t="s">
        <v>8162</v>
      </c>
    </row>
    <row r="6886" ht="15.75" customHeight="1">
      <c r="O6886" s="4" t="s">
        <v>8163</v>
      </c>
    </row>
    <row r="6887" ht="15.75" customHeight="1">
      <c r="O6887" s="4" t="s">
        <v>8164</v>
      </c>
    </row>
    <row r="6888" ht="15.75" customHeight="1">
      <c r="O6888" s="4" t="s">
        <v>8165</v>
      </c>
    </row>
    <row r="6889" ht="15.75" customHeight="1">
      <c r="O6889" s="4" t="s">
        <v>8166</v>
      </c>
    </row>
    <row r="6890" ht="15.75" customHeight="1">
      <c r="O6890" s="4" t="s">
        <v>8167</v>
      </c>
    </row>
    <row r="6891" ht="15.75" customHeight="1">
      <c r="O6891" s="4" t="s">
        <v>8168</v>
      </c>
    </row>
    <row r="6892" ht="15.75" customHeight="1">
      <c r="O6892" s="4" t="s">
        <v>8169</v>
      </c>
    </row>
    <row r="6893" ht="15.75" customHeight="1">
      <c r="O6893" s="4" t="s">
        <v>8170</v>
      </c>
    </row>
    <row r="6894" ht="15.75" customHeight="1">
      <c r="O6894" s="4" t="s">
        <v>8171</v>
      </c>
    </row>
    <row r="6895" ht="15.75" customHeight="1">
      <c r="O6895" s="4" t="s">
        <v>8172</v>
      </c>
    </row>
    <row r="6896" ht="15.75" customHeight="1">
      <c r="O6896" s="4" t="s">
        <v>8173</v>
      </c>
    </row>
    <row r="6897" ht="15.75" customHeight="1">
      <c r="O6897" s="4" t="s">
        <v>8174</v>
      </c>
    </row>
    <row r="6898" ht="15.75" customHeight="1">
      <c r="O6898" s="4" t="s">
        <v>8175</v>
      </c>
    </row>
    <row r="6899" ht="15.75" customHeight="1">
      <c r="O6899" s="4" t="s">
        <v>8176</v>
      </c>
    </row>
    <row r="6900" ht="15.75" customHeight="1">
      <c r="O6900" s="4" t="s">
        <v>8177</v>
      </c>
    </row>
    <row r="6901" ht="15.75" customHeight="1">
      <c r="O6901" s="4" t="s">
        <v>8178</v>
      </c>
    </row>
    <row r="6902" ht="15.75" customHeight="1">
      <c r="O6902" s="4" t="s">
        <v>8179</v>
      </c>
    </row>
    <row r="6903" ht="15.75" customHeight="1">
      <c r="O6903" s="4" t="s">
        <v>8180</v>
      </c>
    </row>
    <row r="6904" ht="15.75" customHeight="1">
      <c r="O6904" s="4" t="s">
        <v>8181</v>
      </c>
    </row>
    <row r="6905" ht="15.75" customHeight="1">
      <c r="O6905" s="4" t="s">
        <v>8182</v>
      </c>
    </row>
    <row r="6906" ht="15.75" customHeight="1">
      <c r="O6906" s="4" t="s">
        <v>8183</v>
      </c>
    </row>
    <row r="6907" ht="15.75" customHeight="1">
      <c r="O6907" s="4" t="s">
        <v>8184</v>
      </c>
    </row>
    <row r="6908" ht="15.75" customHeight="1">
      <c r="O6908" s="4" t="s">
        <v>8185</v>
      </c>
    </row>
    <row r="6909" ht="15.75" customHeight="1">
      <c r="O6909" s="4" t="s">
        <v>8186</v>
      </c>
    </row>
    <row r="6910" ht="15.75" customHeight="1">
      <c r="O6910" s="4" t="s">
        <v>8187</v>
      </c>
    </row>
    <row r="6911" ht="15.75" customHeight="1">
      <c r="O6911" s="4" t="s">
        <v>8188</v>
      </c>
    </row>
    <row r="6912" ht="15.75" customHeight="1">
      <c r="O6912" s="4" t="s">
        <v>8189</v>
      </c>
    </row>
    <row r="6913" ht="15.75" customHeight="1">
      <c r="O6913" s="4" t="s">
        <v>8190</v>
      </c>
    </row>
    <row r="6914" ht="15.75" customHeight="1">
      <c r="O6914" s="4" t="s">
        <v>8191</v>
      </c>
    </row>
  </sheetData>
  <autoFilter ref="$A$1:$AN$199">
    <sortState ref="A1:AN199">
      <sortCondition descending="1" ref="AD1:AD199"/>
    </sortState>
  </autoFilter>
  <hyperlinks>
    <hyperlink r:id="rId1" ref="O2165"/>
    <hyperlink r:id="rId2" ref="O2459"/>
    <hyperlink r:id="rId3" ref="O2465"/>
    <hyperlink r:id="rId4" ref="O3977"/>
    <hyperlink r:id="rId5" ref="O4313"/>
    <hyperlink r:id="rId6" ref="O4523"/>
    <hyperlink r:id="rId7" ref="O6038"/>
    <hyperlink r:id="rId8" ref="O6821"/>
    <hyperlink r:id="rId9" ref="O6823"/>
  </hyperlinks>
  <printOptions/>
  <pageMargins bottom="0.75" footer="0.0" header="0.0" left="0.7" right="0.7" top="0.75"/>
  <pageSetup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4.0"/>
    <col customWidth="1" min="2" max="4" width="39.67"/>
    <col customWidth="1" min="5" max="5" width="12.11"/>
    <col customWidth="1" min="6" max="6" width="10.11"/>
    <col customWidth="1" min="7" max="7" width="12.11"/>
    <col customWidth="1" min="8" max="8" width="21.67"/>
    <col customWidth="1" min="9" max="9" width="16.33"/>
    <col customWidth="1" min="10" max="10" width="16.67"/>
    <col customWidth="1" min="11" max="11" width="58.67"/>
    <col customWidth="1" min="12" max="13" width="80.67"/>
    <col customWidth="1" min="14" max="14" width="18.33"/>
    <col customWidth="1" min="15" max="15" width="15.78"/>
    <col customWidth="1" min="16" max="16" width="28.33"/>
    <col customWidth="1" min="17" max="17" width="32.11"/>
    <col customWidth="1" min="18" max="18" width="27.11"/>
    <col customWidth="1" min="19" max="19" width="30.0"/>
    <col customWidth="1" min="20" max="20" width="29.44"/>
    <col customWidth="1" min="21" max="21" width="27.11"/>
    <col customWidth="1" min="22" max="22" width="23.44"/>
    <col customWidth="1" min="23" max="23" width="21.78"/>
    <col customWidth="1" min="24" max="24" width="19.0"/>
    <col customWidth="1" min="25" max="25" width="17.0"/>
    <col customWidth="1" min="26" max="28" width="15.11"/>
    <col customWidth="1" min="29" max="29" width="24.67"/>
    <col customWidth="1" min="30" max="30" width="23.44"/>
    <col customWidth="1" min="31" max="31" width="80.67"/>
    <col customWidth="1" min="32" max="34" width="24.78"/>
    <col customWidth="1" min="35" max="37" width="39.0"/>
    <col customWidth="1" min="38" max="38" width="40.78"/>
    <col customWidth="1" min="39" max="39" width="45.44"/>
    <col customWidth="1" min="40" max="40" width="17.0"/>
    <col customWidth="1" min="41" max="41" width="26.0"/>
    <col customWidth="1" min="42" max="42" width="16.33"/>
  </cols>
  <sheetData>
    <row r="1" ht="15.75" customHeight="1">
      <c r="A1" s="1" t="s">
        <v>0</v>
      </c>
      <c r="B1" s="6" t="s">
        <v>8192</v>
      </c>
      <c r="C1" s="6" t="s">
        <v>8193</v>
      </c>
      <c r="D1" s="1" t="s">
        <v>1</v>
      </c>
      <c r="E1" s="1" t="s">
        <v>2</v>
      </c>
      <c r="F1" s="1" t="s">
        <v>3</v>
      </c>
      <c r="G1" s="1" t="s">
        <v>4</v>
      </c>
      <c r="H1" s="1" t="s">
        <v>5</v>
      </c>
      <c r="I1" s="1" t="s">
        <v>6</v>
      </c>
      <c r="J1" s="1" t="s">
        <v>7</v>
      </c>
      <c r="K1" s="1" t="s">
        <v>8</v>
      </c>
      <c r="L1" s="1" t="s">
        <v>9</v>
      </c>
      <c r="M1" s="1" t="s">
        <v>10</v>
      </c>
      <c r="N1" s="1" t="s">
        <v>11</v>
      </c>
      <c r="O1" s="1" t="s">
        <v>12</v>
      </c>
      <c r="P1" s="1" t="s">
        <v>13</v>
      </c>
      <c r="Q1" s="2"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row>
    <row r="2" ht="15.75" customHeight="1">
      <c r="A2" s="1" t="s">
        <v>700</v>
      </c>
      <c r="B2" s="1" t="str">
        <f>IFERROR(__xludf.DUMMYFUNCTION("AI(Prompt!$B$21,A2)"),"НПО Альянс")</f>
        <v>НПО Альянс</v>
      </c>
      <c r="C2" s="1" t="str">
        <f>IFERROR(__xludf.DUMMYFUNCTION("AI(Prompt!$B$26,A2:B2)"),"OK")</f>
        <v>OK</v>
      </c>
      <c r="D2" s="1" t="s">
        <v>41</v>
      </c>
      <c r="E2" s="1">
        <v>5.003130984E9</v>
      </c>
      <c r="F2" s="1">
        <v>7.72701001E8</v>
      </c>
      <c r="G2" s="1">
        <v>1.185027024555E12</v>
      </c>
      <c r="H2" s="1" t="s">
        <v>42</v>
      </c>
      <c r="I2" s="3">
        <v>43416.0</v>
      </c>
      <c r="J2" s="1">
        <v>7.0</v>
      </c>
      <c r="K2" s="1" t="s">
        <v>43</v>
      </c>
      <c r="L2" s="1" t="s">
        <v>701</v>
      </c>
      <c r="M2" s="1" t="s">
        <v>702</v>
      </c>
      <c r="N2" s="1" t="s">
        <v>121</v>
      </c>
      <c r="O2" s="1">
        <v>117042.0</v>
      </c>
      <c r="P2" s="1" t="s">
        <v>121</v>
      </c>
      <c r="Q2" s="1" t="s">
        <v>703</v>
      </c>
      <c r="R2" s="1" t="s">
        <v>704</v>
      </c>
      <c r="Y2" s="1" t="s">
        <v>705</v>
      </c>
      <c r="Z2" s="1" t="s">
        <v>706</v>
      </c>
      <c r="AE2" s="1" t="s">
        <v>707</v>
      </c>
      <c r="AF2" s="1">
        <v>912.0</v>
      </c>
      <c r="AG2" s="1">
        <v>960.0</v>
      </c>
      <c r="AH2" s="1">
        <v>960.0</v>
      </c>
      <c r="AI2" s="1">
        <v>1653.0</v>
      </c>
      <c r="AJ2" s="1">
        <v>-1107.0</v>
      </c>
      <c r="AK2" s="1">
        <v>-691.0</v>
      </c>
      <c r="AL2" s="1" t="s">
        <v>708</v>
      </c>
      <c r="AM2" s="1" t="s">
        <v>61</v>
      </c>
      <c r="AN2" s="1">
        <v>7.7301309223E11</v>
      </c>
      <c r="AO2" s="3">
        <v>45622.0</v>
      </c>
      <c r="AP2" s="1">
        <v>1.0</v>
      </c>
    </row>
    <row r="3" ht="15.75" customHeight="1">
      <c r="A3" s="1" t="s">
        <v>455</v>
      </c>
      <c r="B3" s="1" t="str">
        <f>IFERROR(__xludf.DUMMYFUNCTION("AI(Prompt!$B$21,A3)"),"Вуфа Пет Продактс")</f>
        <v>Вуфа Пет Продактс</v>
      </c>
      <c r="C3" s="1" t="str">
        <f>IFERROR(__xludf.DUMMYFUNCTION("AI(Prompt!$B$26,A3:B3)"),"OK")</f>
        <v>OK</v>
      </c>
      <c r="D3" s="1" t="s">
        <v>41</v>
      </c>
      <c r="E3" s="1">
        <v>5.01713583E9</v>
      </c>
      <c r="F3" s="1">
        <v>5.01701001E8</v>
      </c>
      <c r="G3" s="1">
        <v>1.245000030197E12</v>
      </c>
      <c r="H3" s="1" t="s">
        <v>42</v>
      </c>
      <c r="I3" s="3">
        <v>45355.0</v>
      </c>
      <c r="J3" s="1">
        <v>1.0</v>
      </c>
      <c r="K3" s="1" t="s">
        <v>43</v>
      </c>
      <c r="L3" s="1" t="s">
        <v>456</v>
      </c>
      <c r="M3" s="1" t="s">
        <v>457</v>
      </c>
      <c r="N3" s="1" t="s">
        <v>46</v>
      </c>
      <c r="O3" s="1">
        <v>143532.0</v>
      </c>
      <c r="P3" s="1" t="s">
        <v>458</v>
      </c>
      <c r="Q3" s="1" t="s">
        <v>459</v>
      </c>
      <c r="R3" s="1" t="s">
        <v>460</v>
      </c>
      <c r="S3" s="1" t="s">
        <v>461</v>
      </c>
      <c r="U3" s="7" t="s">
        <v>462</v>
      </c>
      <c r="Y3" s="1" t="s">
        <v>463</v>
      </c>
      <c r="Z3" s="1" t="s">
        <v>464</v>
      </c>
      <c r="AA3" s="1" t="s">
        <v>465</v>
      </c>
      <c r="AB3" s="1" t="s">
        <v>466</v>
      </c>
      <c r="AE3" s="1" t="s">
        <v>467</v>
      </c>
      <c r="AF3" s="1">
        <v>10553.0</v>
      </c>
      <c r="AG3" s="1">
        <v>0.0</v>
      </c>
      <c r="AI3" s="1">
        <v>1222.0</v>
      </c>
      <c r="AJ3" s="1">
        <v>0.0</v>
      </c>
      <c r="AL3" s="1" t="s">
        <v>468</v>
      </c>
      <c r="AM3" s="1" t="s">
        <v>61</v>
      </c>
      <c r="AN3" s="1">
        <v>2.1288506499E11</v>
      </c>
      <c r="AO3" s="3">
        <v>45355.0</v>
      </c>
      <c r="AP3" s="1">
        <v>2.0</v>
      </c>
    </row>
    <row r="4" ht="15.75" customHeight="1">
      <c r="A4" s="1" t="s">
        <v>1341</v>
      </c>
      <c r="B4" s="1" t="str">
        <f>IFERROR(__xludf.DUMMYFUNCTION("AI(Prompt!$B$21,A4)"),"Юта")</f>
        <v>Юта</v>
      </c>
      <c r="C4" s="1" t="str">
        <f>IFERROR(__xludf.DUMMYFUNCTION("AI(Prompt!$B$26,A4:B4)"),"OK")</f>
        <v>OK</v>
      </c>
      <c r="D4" s="1" t="s">
        <v>41</v>
      </c>
      <c r="E4" s="1">
        <v>9.729282504E9</v>
      </c>
      <c r="F4" s="1">
        <v>7.72901001E8</v>
      </c>
      <c r="G4" s="1">
        <v>1.197746206822E12</v>
      </c>
      <c r="H4" s="1" t="s">
        <v>42</v>
      </c>
      <c r="I4" s="3">
        <v>43546.0</v>
      </c>
      <c r="J4" s="1">
        <v>6.0</v>
      </c>
      <c r="K4" s="1" t="s">
        <v>43</v>
      </c>
      <c r="L4" s="1" t="s">
        <v>1342</v>
      </c>
      <c r="M4" s="1" t="s">
        <v>1343</v>
      </c>
      <c r="N4" s="1" t="s">
        <v>121</v>
      </c>
      <c r="O4" s="1">
        <v>119602.0</v>
      </c>
      <c r="P4" s="1" t="s">
        <v>121</v>
      </c>
      <c r="Q4" s="1" t="s">
        <v>1344</v>
      </c>
      <c r="R4" s="1" t="s">
        <v>1345</v>
      </c>
      <c r="S4" s="1" t="s">
        <v>1346</v>
      </c>
      <c r="Y4" s="1" t="s">
        <v>1347</v>
      </c>
      <c r="Z4" s="1" t="s">
        <v>1348</v>
      </c>
      <c r="AE4" s="1" t="s">
        <v>1349</v>
      </c>
      <c r="AG4" s="1">
        <v>193892.0</v>
      </c>
      <c r="AH4" s="1">
        <v>190224.0</v>
      </c>
      <c r="AJ4" s="1">
        <v>17119.0</v>
      </c>
      <c r="AK4" s="1">
        <v>16421.0</v>
      </c>
      <c r="AL4" s="1" t="s">
        <v>1350</v>
      </c>
      <c r="AM4" s="1" t="s">
        <v>61</v>
      </c>
      <c r="AN4" s="1">
        <v>7.72970148593E11</v>
      </c>
      <c r="AO4" s="3">
        <v>45215.0</v>
      </c>
      <c r="AP4" s="1">
        <v>1.0</v>
      </c>
    </row>
    <row r="5" ht="15.75" customHeight="1">
      <c r="A5" s="1" t="s">
        <v>1330</v>
      </c>
      <c r="B5" s="1" t="str">
        <f>IFERROR(__xludf.DUMMYFUNCTION("AI(Prompt!$B$21,A5)"),"Дриссен Глобал Сервис")</f>
        <v>Дриссен Глобал Сервис</v>
      </c>
      <c r="C5" s="1" t="str">
        <f>IFERROR(__xludf.DUMMYFUNCTION("AI(Prompt!$B$26,A5:B5)"),"OK")</f>
        <v>OK</v>
      </c>
      <c r="D5" s="1" t="s">
        <v>41</v>
      </c>
      <c r="E5" s="1">
        <v>7.72944772E9</v>
      </c>
      <c r="F5" s="1">
        <v>7.72901001E8</v>
      </c>
      <c r="G5" s="1">
        <v>1.157746140089E12</v>
      </c>
      <c r="H5" s="1" t="s">
        <v>42</v>
      </c>
      <c r="I5" s="3">
        <v>42063.0</v>
      </c>
      <c r="J5" s="1">
        <v>10.0</v>
      </c>
      <c r="K5" s="1" t="s">
        <v>43</v>
      </c>
      <c r="L5" s="1" t="s">
        <v>1331</v>
      </c>
      <c r="M5" s="1" t="s">
        <v>1332</v>
      </c>
      <c r="N5" s="1" t="s">
        <v>121</v>
      </c>
      <c r="O5" s="1">
        <v>119619.0</v>
      </c>
      <c r="P5" s="1" t="s">
        <v>121</v>
      </c>
      <c r="Q5" s="1" t="s">
        <v>1333</v>
      </c>
      <c r="R5" s="1" t="s">
        <v>1334</v>
      </c>
      <c r="S5" s="1" t="s">
        <v>1335</v>
      </c>
      <c r="U5" s="1" t="s">
        <v>1336</v>
      </c>
      <c r="Y5" s="1" t="s">
        <v>1337</v>
      </c>
      <c r="Z5" s="1" t="s">
        <v>1338</v>
      </c>
      <c r="AE5" s="1" t="s">
        <v>1339</v>
      </c>
      <c r="AG5" s="1">
        <v>0.0</v>
      </c>
      <c r="AH5" s="1">
        <v>0.0</v>
      </c>
      <c r="AJ5" s="1">
        <v>0.0</v>
      </c>
      <c r="AK5" s="1">
        <v>0.0</v>
      </c>
      <c r="AL5" s="1" t="s">
        <v>1340</v>
      </c>
      <c r="AM5" s="1" t="s">
        <v>61</v>
      </c>
      <c r="AN5" s="1">
        <v>7.72980067872E11</v>
      </c>
      <c r="AO5" s="3">
        <v>44498.0</v>
      </c>
      <c r="AP5" s="1">
        <v>2.0</v>
      </c>
    </row>
    <row r="6" ht="15.75" customHeight="1">
      <c r="A6" s="1" t="s">
        <v>353</v>
      </c>
      <c r="B6" s="1" t="str">
        <f>IFERROR(__xludf.DUMMYFUNCTION("AI(Prompt!$B$21,A6)"),"Фармпротект")</f>
        <v>Фармпротект</v>
      </c>
      <c r="C6" s="1" t="str">
        <f>IFERROR(__xludf.DUMMYFUNCTION("AI(Prompt!$B$26,A6:B6)"),"OK")</f>
        <v>OK</v>
      </c>
      <c r="D6" s="1" t="s">
        <v>41</v>
      </c>
      <c r="E6" s="1">
        <v>9.72504209E9</v>
      </c>
      <c r="F6" s="1">
        <v>7.73001001E8</v>
      </c>
      <c r="G6" s="1">
        <v>1.207700499324E12</v>
      </c>
      <c r="H6" s="1" t="s">
        <v>42</v>
      </c>
      <c r="I6" s="3">
        <v>44193.0</v>
      </c>
      <c r="J6" s="1">
        <v>5.0</v>
      </c>
      <c r="K6" s="1" t="s">
        <v>43</v>
      </c>
      <c r="L6" s="1" t="s">
        <v>354</v>
      </c>
      <c r="M6" s="1" t="s">
        <v>355</v>
      </c>
      <c r="N6" s="1" t="s">
        <v>121</v>
      </c>
      <c r="O6" s="1">
        <v>121087.0</v>
      </c>
      <c r="P6" s="1" t="s">
        <v>121</v>
      </c>
      <c r="Q6" s="1" t="s">
        <v>356</v>
      </c>
      <c r="R6" s="1" t="s">
        <v>357</v>
      </c>
      <c r="U6" s="1" t="s">
        <v>358</v>
      </c>
      <c r="Y6" s="1" t="s">
        <v>359</v>
      </c>
      <c r="AE6" s="1" t="s">
        <v>360</v>
      </c>
      <c r="AF6" s="1">
        <v>32775.0</v>
      </c>
      <c r="AG6" s="1">
        <v>13487.0</v>
      </c>
      <c r="AH6" s="1">
        <v>1970.0</v>
      </c>
      <c r="AI6" s="1">
        <v>2585.0</v>
      </c>
      <c r="AJ6" s="1">
        <v>1505.0</v>
      </c>
      <c r="AK6" s="1">
        <v>6.0</v>
      </c>
      <c r="AL6" s="1" t="s">
        <v>361</v>
      </c>
      <c r="AM6" s="1" t="s">
        <v>61</v>
      </c>
      <c r="AN6" s="1">
        <v>7.7159518795E11</v>
      </c>
      <c r="AO6" s="3">
        <v>44193.0</v>
      </c>
      <c r="AP6" s="1">
        <v>2.0</v>
      </c>
    </row>
    <row r="7" ht="15.75" customHeight="1">
      <c r="A7" s="1" t="s">
        <v>654</v>
      </c>
      <c r="B7" s="1" t="str">
        <f>IFERROR(__xludf.DUMMYFUNCTION("AI(Prompt!$B$21,A7)"),"Фудтех")</f>
        <v>Фудтех</v>
      </c>
      <c r="C7" s="1" t="str">
        <f>IFERROR(__xludf.DUMMYFUNCTION("AI(Prompt!$B$26,A7:B7)"),"OK")</f>
        <v>OK</v>
      </c>
      <c r="D7" s="1" t="s">
        <v>41</v>
      </c>
      <c r="E7" s="1">
        <v>5.024235949E9</v>
      </c>
      <c r="F7" s="1">
        <v>5.02401001E8</v>
      </c>
      <c r="G7" s="1">
        <v>1.235000105724E12</v>
      </c>
      <c r="H7" s="1" t="s">
        <v>42</v>
      </c>
      <c r="I7" s="3">
        <v>45163.0</v>
      </c>
      <c r="J7" s="1">
        <v>2.0</v>
      </c>
      <c r="K7" s="1" t="s">
        <v>43</v>
      </c>
      <c r="L7" s="1" t="s">
        <v>655</v>
      </c>
      <c r="M7" s="1" t="s">
        <v>656</v>
      </c>
      <c r="N7" s="1" t="s">
        <v>46</v>
      </c>
      <c r="O7" s="1">
        <v>143403.0</v>
      </c>
      <c r="P7" s="1" t="s">
        <v>657</v>
      </c>
      <c r="Q7" s="1" t="s">
        <v>658</v>
      </c>
      <c r="R7" s="1" t="s">
        <v>659</v>
      </c>
      <c r="U7" s="1" t="s">
        <v>660</v>
      </c>
      <c r="Y7" s="1" t="s">
        <v>661</v>
      </c>
      <c r="Z7" s="1" t="s">
        <v>662</v>
      </c>
      <c r="AE7" s="1" t="s">
        <v>663</v>
      </c>
      <c r="AF7" s="1">
        <v>3561.0</v>
      </c>
      <c r="AG7" s="1">
        <v>112.0</v>
      </c>
      <c r="AI7" s="1">
        <v>167.0</v>
      </c>
      <c r="AJ7" s="1">
        <v>-452.0</v>
      </c>
      <c r="AL7" s="1" t="s">
        <v>664</v>
      </c>
      <c r="AM7" s="1" t="s">
        <v>61</v>
      </c>
      <c r="AN7" s="1">
        <v>7.017356512E11</v>
      </c>
      <c r="AO7" s="3">
        <v>45163.0</v>
      </c>
      <c r="AP7" s="1">
        <v>1.0</v>
      </c>
    </row>
    <row r="8" ht="15.75" customHeight="1">
      <c r="A8" s="6" t="s">
        <v>436</v>
      </c>
      <c r="B8" s="8" t="s">
        <v>8194</v>
      </c>
      <c r="C8" s="1" t="str">
        <f>IFERROR(__xludf.DUMMYFUNCTION("AI(Prompt!$B$26,A8:B8)"),"OK")</f>
        <v>OK</v>
      </c>
      <c r="D8" s="1" t="s">
        <v>41</v>
      </c>
      <c r="E8" s="1">
        <v>7.7513186E9</v>
      </c>
      <c r="F8" s="1">
        <v>7.72901001E8</v>
      </c>
      <c r="G8" s="1">
        <v>1.247700457223E12</v>
      </c>
      <c r="H8" s="1" t="s">
        <v>42</v>
      </c>
      <c r="I8" s="3">
        <v>45469.0</v>
      </c>
      <c r="J8" s="1">
        <v>1.0</v>
      </c>
      <c r="K8" s="1" t="s">
        <v>43</v>
      </c>
      <c r="L8" s="1" t="s">
        <v>437</v>
      </c>
      <c r="M8" s="1" t="s">
        <v>438</v>
      </c>
      <c r="N8" s="1" t="s">
        <v>121</v>
      </c>
      <c r="O8" s="1">
        <v>119633.0</v>
      </c>
      <c r="P8" s="1" t="s">
        <v>121</v>
      </c>
      <c r="Q8" s="1" t="s">
        <v>439</v>
      </c>
      <c r="Y8" s="1" t="s">
        <v>440</v>
      </c>
      <c r="AE8" s="1" t="s">
        <v>441</v>
      </c>
      <c r="AF8" s="1">
        <v>11521.0</v>
      </c>
      <c r="AG8" s="1">
        <v>0.0</v>
      </c>
      <c r="AI8" s="1">
        <v>3589.0</v>
      </c>
      <c r="AJ8" s="1">
        <v>0.0</v>
      </c>
      <c r="AL8" s="1" t="s">
        <v>442</v>
      </c>
      <c r="AM8" s="1" t="s">
        <v>61</v>
      </c>
      <c r="AN8" s="1">
        <v>5.049038121E11</v>
      </c>
      <c r="AO8" s="3">
        <v>45469.0</v>
      </c>
      <c r="AP8" s="1">
        <v>1.0</v>
      </c>
    </row>
    <row r="9" ht="15.75" customHeight="1">
      <c r="A9" s="1" t="s">
        <v>1120</v>
      </c>
      <c r="B9" s="1" t="str">
        <f>IFERROR(__xludf.DUMMYFUNCTION("AI(Prompt!$B$21,A9)"),"Хищникоф")</f>
        <v>Хищникоф</v>
      </c>
      <c r="C9" s="1" t="str">
        <f>IFERROR(__xludf.DUMMYFUNCTION("AI(Prompt!$B$26,A9:B9)"),"OK")</f>
        <v>OK</v>
      </c>
      <c r="D9" s="1" t="s">
        <v>41</v>
      </c>
      <c r="E9" s="1">
        <v>5.02927989E9</v>
      </c>
      <c r="F9" s="1">
        <v>5.02901001E8</v>
      </c>
      <c r="G9" s="1">
        <v>1.23500012306E12</v>
      </c>
      <c r="H9" s="1" t="s">
        <v>747</v>
      </c>
      <c r="I9" s="3">
        <v>45201.0</v>
      </c>
      <c r="J9" s="1">
        <v>2.0</v>
      </c>
      <c r="K9" s="1" t="s">
        <v>43</v>
      </c>
      <c r="L9" s="1" t="s">
        <v>1121</v>
      </c>
      <c r="M9" s="1" t="s">
        <v>1122</v>
      </c>
      <c r="N9" s="1" t="s">
        <v>46</v>
      </c>
      <c r="O9" s="1">
        <v>141031.0</v>
      </c>
      <c r="P9" s="1" t="s">
        <v>623</v>
      </c>
      <c r="Q9" s="1" t="s">
        <v>1123</v>
      </c>
      <c r="Y9" s="1" t="s">
        <v>1124</v>
      </c>
      <c r="AE9" s="1" t="s">
        <v>1125</v>
      </c>
      <c r="AL9" s="1" t="s">
        <v>1126</v>
      </c>
      <c r="AM9" s="1" t="s">
        <v>61</v>
      </c>
      <c r="AN9" s="1">
        <v>5.01811312768E11</v>
      </c>
      <c r="AO9" s="3">
        <v>45201.0</v>
      </c>
      <c r="AP9" s="1">
        <v>1.0</v>
      </c>
    </row>
    <row r="10" ht="15.75" customHeight="1">
      <c r="A10" s="1" t="s">
        <v>1233</v>
      </c>
      <c r="B10" s="1" t="str">
        <f>IFERROR(__xludf.DUMMYFUNCTION("AI(Prompt!$B$21,A10)"),"ИП Духин")</f>
        <v>ИП Духин</v>
      </c>
      <c r="C10" s="1" t="str">
        <f>IFERROR(__xludf.DUMMYFUNCTION("AI(Prompt!$B$26,A10:B10)"),"OK")</f>
        <v>OK</v>
      </c>
      <c r="D10" s="1" t="s">
        <v>864</v>
      </c>
      <c r="E10" s="1">
        <v>7.72077790207E11</v>
      </c>
      <c r="G10" s="1">
        <v>3.25774600273374E14</v>
      </c>
      <c r="H10" s="1" t="s">
        <v>42</v>
      </c>
      <c r="I10" s="3">
        <v>45771.0</v>
      </c>
      <c r="J10" s="1">
        <v>0.0</v>
      </c>
      <c r="K10" s="1" t="s">
        <v>43</v>
      </c>
      <c r="L10" s="1" t="s">
        <v>901</v>
      </c>
      <c r="M10" s="1" t="s">
        <v>1234</v>
      </c>
      <c r="N10" s="1" t="s">
        <v>121</v>
      </c>
      <c r="Q10" s="1" t="s">
        <v>1235</v>
      </c>
      <c r="AL10" s="1" t="s">
        <v>1233</v>
      </c>
      <c r="AN10" s="1">
        <v>7.72077790207E11</v>
      </c>
      <c r="AP10" s="1">
        <v>1.0</v>
      </c>
    </row>
    <row r="11" ht="15.75" customHeight="1">
      <c r="A11" s="1" t="s">
        <v>818</v>
      </c>
      <c r="B11" s="1" t="str">
        <f>IFERROR(__xludf.DUMMYFUNCTION("AI(Prompt!$B$21,A11)"),"Звента")</f>
        <v>Звента</v>
      </c>
      <c r="C11" s="1" t="str">
        <f>IFERROR(__xludf.DUMMYFUNCTION("AI(Prompt!$B$26,A11:B11)"),"OK")</f>
        <v>OK</v>
      </c>
      <c r="D11" s="1" t="s">
        <v>41</v>
      </c>
      <c r="E11" s="1">
        <v>7.71542964E9</v>
      </c>
      <c r="F11" s="1">
        <v>7.73101001E8</v>
      </c>
      <c r="G11" s="1">
        <v>1.147746446011E12</v>
      </c>
      <c r="H11" s="1" t="s">
        <v>42</v>
      </c>
      <c r="I11" s="3">
        <v>41751.0</v>
      </c>
      <c r="J11" s="1">
        <v>11.0</v>
      </c>
      <c r="K11" s="1" t="s">
        <v>43</v>
      </c>
      <c r="L11" s="1" t="s">
        <v>819</v>
      </c>
      <c r="M11" s="1" t="s">
        <v>820</v>
      </c>
      <c r="N11" s="1" t="s">
        <v>121</v>
      </c>
      <c r="O11" s="1">
        <v>121596.0</v>
      </c>
      <c r="P11" s="1" t="s">
        <v>121</v>
      </c>
      <c r="Q11" s="1" t="s">
        <v>821</v>
      </c>
      <c r="Y11" s="1" t="s">
        <v>822</v>
      </c>
      <c r="AE11" s="1" t="s">
        <v>823</v>
      </c>
      <c r="AF11" s="1">
        <v>0.0</v>
      </c>
      <c r="AG11" s="1">
        <v>0.0</v>
      </c>
      <c r="AH11" s="1">
        <v>4750.0</v>
      </c>
      <c r="AI11" s="1">
        <v>-927.0</v>
      </c>
      <c r="AJ11" s="1">
        <v>-2437.0</v>
      </c>
      <c r="AK11" s="1">
        <v>0.0</v>
      </c>
      <c r="AL11" s="1" t="s">
        <v>824</v>
      </c>
      <c r="AM11" s="1" t="s">
        <v>61</v>
      </c>
      <c r="AN11" s="1">
        <v>7.72578499969E11</v>
      </c>
      <c r="AO11" s="3">
        <v>43490.0</v>
      </c>
      <c r="AP11" s="1">
        <v>1.0</v>
      </c>
    </row>
    <row r="12" ht="15.75" customHeight="1">
      <c r="A12" s="1" t="s">
        <v>1295</v>
      </c>
      <c r="B12" s="1" t="str">
        <f>IFERROR(__xludf.DUMMYFUNCTION("AI(Prompt!$B$21,A12)"),"ИП Паршкова")</f>
        <v>ИП Паршкова</v>
      </c>
      <c r="C12" s="1" t="str">
        <f>IFERROR(__xludf.DUMMYFUNCTION("AI(Prompt!$B$26,A12:B12)"),"OK")</f>
        <v>OK</v>
      </c>
      <c r="D12" s="1" t="s">
        <v>864</v>
      </c>
      <c r="E12" s="1">
        <v>7.73475907706E11</v>
      </c>
      <c r="G12" s="1">
        <v>3.17774600321731E14</v>
      </c>
      <c r="H12" s="1" t="s">
        <v>747</v>
      </c>
      <c r="I12" s="3">
        <v>42922.0</v>
      </c>
      <c r="J12" s="1">
        <v>8.0</v>
      </c>
      <c r="K12" s="1" t="s">
        <v>43</v>
      </c>
      <c r="L12" s="1" t="s">
        <v>1296</v>
      </c>
      <c r="M12" s="1" t="s">
        <v>1297</v>
      </c>
      <c r="N12" s="1" t="s">
        <v>121</v>
      </c>
      <c r="Q12" s="1" t="s">
        <v>1298</v>
      </c>
      <c r="AL12" s="1" t="s">
        <v>1295</v>
      </c>
      <c r="AN12" s="1">
        <v>7.73475907706E11</v>
      </c>
      <c r="AP12" s="1">
        <v>0.0</v>
      </c>
    </row>
    <row r="13" ht="15.75" customHeight="1">
      <c r="A13" s="1" t="s">
        <v>563</v>
      </c>
      <c r="B13" s="1" t="str">
        <f>IFERROR(__xludf.DUMMYFUNCTION("AI(Prompt!$B$21,A13)"),"КВАНТ МКБ")</f>
        <v>КВАНТ МКБ</v>
      </c>
      <c r="C13" s="1" t="str">
        <f>IFERROR(__xludf.DUMMYFUNCTION("AI(Prompt!$B$26,A13:B13)"),"OK")</f>
        <v>OK</v>
      </c>
      <c r="D13" s="1" t="s">
        <v>41</v>
      </c>
      <c r="E13" s="1">
        <v>7.714926343E9</v>
      </c>
      <c r="F13" s="1">
        <v>7.71501001E8</v>
      </c>
      <c r="G13" s="1">
        <v>1.147746078314E12</v>
      </c>
      <c r="H13" s="1" t="s">
        <v>42</v>
      </c>
      <c r="I13" s="3">
        <v>41673.0</v>
      </c>
      <c r="J13" s="1">
        <v>12.0</v>
      </c>
      <c r="K13" s="1" t="s">
        <v>43</v>
      </c>
      <c r="L13" s="1" t="s">
        <v>564</v>
      </c>
      <c r="M13" s="1" t="s">
        <v>565</v>
      </c>
      <c r="N13" s="1" t="s">
        <v>121</v>
      </c>
      <c r="O13" s="1">
        <v>127566.0</v>
      </c>
      <c r="P13" s="1" t="s">
        <v>121</v>
      </c>
      <c r="Q13" s="1" t="s">
        <v>566</v>
      </c>
      <c r="R13" s="1" t="s">
        <v>567</v>
      </c>
      <c r="S13" s="1" t="s">
        <v>568</v>
      </c>
      <c r="U13" s="1" t="s">
        <v>569</v>
      </c>
      <c r="Y13" s="1" t="s">
        <v>570</v>
      </c>
      <c r="Z13" s="1" t="s">
        <v>571</v>
      </c>
      <c r="AE13" s="1" t="s">
        <v>572</v>
      </c>
      <c r="AF13" s="1">
        <v>6626.0</v>
      </c>
      <c r="AG13" s="1">
        <v>4577.0</v>
      </c>
      <c r="AH13" s="1">
        <v>2705.0</v>
      </c>
      <c r="AI13" s="1">
        <v>1805.0</v>
      </c>
      <c r="AJ13" s="1">
        <v>1892.0</v>
      </c>
      <c r="AK13" s="1">
        <v>955.0</v>
      </c>
      <c r="AL13" s="1" t="s">
        <v>573</v>
      </c>
      <c r="AM13" s="1" t="s">
        <v>61</v>
      </c>
      <c r="AN13" s="1">
        <v>7.7154869334E11</v>
      </c>
      <c r="AO13" s="3">
        <v>44538.0</v>
      </c>
      <c r="AP13" s="1">
        <v>1.0</v>
      </c>
    </row>
    <row r="14" ht="15.75" customHeight="1">
      <c r="A14" s="1" t="s">
        <v>1159</v>
      </c>
      <c r="B14" s="1" t="str">
        <f>IFERROR(__xludf.DUMMYFUNCTION("AI(Prompt!$B$21,A14)"),"ИП Букурова")</f>
        <v>ИП Букурова</v>
      </c>
      <c r="C14" s="1" t="str">
        <f>IFERROR(__xludf.DUMMYFUNCTION("AI(Prompt!$B$26,A14:B14)"),"OK")</f>
        <v>OK</v>
      </c>
      <c r="D14" s="1" t="s">
        <v>864</v>
      </c>
      <c r="E14" s="1">
        <v>7.71544394204E11</v>
      </c>
      <c r="G14" s="1">
        <v>3.18774600591504E14</v>
      </c>
      <c r="H14" s="1" t="s">
        <v>42</v>
      </c>
      <c r="I14" s="3">
        <v>43403.0</v>
      </c>
      <c r="J14" s="1">
        <v>7.0</v>
      </c>
      <c r="K14" s="1" t="s">
        <v>43</v>
      </c>
      <c r="L14" s="1" t="s">
        <v>1160</v>
      </c>
      <c r="M14" s="1" t="s">
        <v>1161</v>
      </c>
      <c r="N14" s="1" t="s">
        <v>121</v>
      </c>
      <c r="Q14" s="1" t="s">
        <v>1162</v>
      </c>
      <c r="AL14" s="1" t="s">
        <v>1159</v>
      </c>
      <c r="AN14" s="1">
        <v>7.71544394204E11</v>
      </c>
      <c r="AP14" s="1">
        <v>2.0</v>
      </c>
    </row>
    <row r="15" ht="15.75" customHeight="1">
      <c r="A15" s="1" t="s">
        <v>362</v>
      </c>
      <c r="B15" s="1" t="str">
        <f>IFERROR(__xludf.DUMMYFUNCTION("AI(Prompt!$B$21,A15)"),"Грин Дог")</f>
        <v>Грин Дог</v>
      </c>
      <c r="C15" s="1" t="str">
        <f>IFERROR(__xludf.DUMMYFUNCTION("AI(Prompt!$B$26,A15:B15)"),"OK")</f>
        <v>OK</v>
      </c>
      <c r="D15" s="1" t="s">
        <v>41</v>
      </c>
      <c r="E15" s="1">
        <v>7.713490431E9</v>
      </c>
      <c r="F15" s="1">
        <v>7.71301001E8</v>
      </c>
      <c r="G15" s="1">
        <v>1.227700385208E12</v>
      </c>
      <c r="H15" s="1" t="s">
        <v>42</v>
      </c>
      <c r="I15" s="3">
        <v>44742.0</v>
      </c>
      <c r="J15" s="1">
        <v>3.0</v>
      </c>
      <c r="K15" s="1" t="s">
        <v>43</v>
      </c>
      <c r="L15" s="1" t="s">
        <v>363</v>
      </c>
      <c r="M15" s="1" t="s">
        <v>364</v>
      </c>
      <c r="N15" s="1" t="s">
        <v>121</v>
      </c>
      <c r="O15" s="1">
        <v>127591.0</v>
      </c>
      <c r="P15" s="1" t="s">
        <v>121</v>
      </c>
      <c r="Q15" s="1" t="s">
        <v>365</v>
      </c>
      <c r="Y15" s="1" t="s">
        <v>366</v>
      </c>
      <c r="AE15" s="1" t="s">
        <v>367</v>
      </c>
      <c r="AF15" s="1">
        <v>29295.0</v>
      </c>
      <c r="AG15" s="1">
        <v>25266.0</v>
      </c>
      <c r="AH15" s="1">
        <v>0.0</v>
      </c>
      <c r="AI15" s="1">
        <v>-1592.0</v>
      </c>
      <c r="AJ15" s="1">
        <v>-1506.0</v>
      </c>
      <c r="AK15" s="1">
        <v>-774.0</v>
      </c>
      <c r="AL15" s="1" t="s">
        <v>368</v>
      </c>
      <c r="AM15" s="1" t="s">
        <v>61</v>
      </c>
      <c r="AN15" s="1">
        <v>7.7137464426E11</v>
      </c>
      <c r="AO15" s="3">
        <v>44742.0</v>
      </c>
      <c r="AP15" s="1">
        <v>2.0</v>
      </c>
    </row>
    <row r="16" ht="15.75" customHeight="1">
      <c r="A16" s="1" t="s">
        <v>1311</v>
      </c>
      <c r="B16" s="1" t="str">
        <f>IFERROR(__xludf.DUMMYFUNCTION("AI(Prompt!$B$21,A16)"),"ИП Шапошников")</f>
        <v>ИП Шапошников</v>
      </c>
      <c r="C16" s="1" t="str">
        <f>IFERROR(__xludf.DUMMYFUNCTION("AI(Prompt!$B$26,A16:B16)"),"OK")</f>
        <v>OK</v>
      </c>
      <c r="D16" s="1" t="s">
        <v>864</v>
      </c>
      <c r="E16" s="1">
        <v>7.72166882107E11</v>
      </c>
      <c r="G16" s="1">
        <v>3.16774600460663E14</v>
      </c>
      <c r="H16" s="1" t="s">
        <v>42</v>
      </c>
      <c r="I16" s="3">
        <v>42667.0</v>
      </c>
      <c r="J16" s="1">
        <v>9.0</v>
      </c>
      <c r="K16" s="1" t="s">
        <v>43</v>
      </c>
      <c r="L16" s="1" t="s">
        <v>1312</v>
      </c>
      <c r="M16" s="1" t="s">
        <v>1313</v>
      </c>
      <c r="N16" s="1" t="s">
        <v>121</v>
      </c>
      <c r="Q16" s="1" t="s">
        <v>1314</v>
      </c>
      <c r="R16" s="1" t="s">
        <v>1315</v>
      </c>
      <c r="S16" s="1" t="s">
        <v>1316</v>
      </c>
      <c r="T16" s="1" t="s">
        <v>1317</v>
      </c>
      <c r="U16" s="1" t="s">
        <v>1318</v>
      </c>
      <c r="Y16" s="1" t="s">
        <v>1319</v>
      </c>
      <c r="Z16" s="1" t="s">
        <v>1320</v>
      </c>
      <c r="AA16" s="1" t="s">
        <v>1321</v>
      </c>
      <c r="AB16" s="1" t="s">
        <v>1322</v>
      </c>
      <c r="AL16" s="1" t="s">
        <v>1311</v>
      </c>
      <c r="AN16" s="1">
        <v>7.72166882107E11</v>
      </c>
      <c r="AP16" s="1">
        <v>1.0</v>
      </c>
    </row>
    <row r="17" ht="15.75" customHeight="1">
      <c r="A17" s="1" t="s">
        <v>1308</v>
      </c>
      <c r="B17" s="1" t="str">
        <f>IFERROR(__xludf.DUMMYFUNCTION("AI(Prompt!$B$21,A17)"),"ИП Щербаков")</f>
        <v>ИП Щербаков</v>
      </c>
      <c r="C17" s="1" t="str">
        <f>IFERROR(__xludf.DUMMYFUNCTION("AI(Prompt!$B$26,A17:B17)"),"OK")</f>
        <v>OK</v>
      </c>
      <c r="D17" s="1" t="s">
        <v>864</v>
      </c>
      <c r="E17" s="1">
        <v>7.71988452352E11</v>
      </c>
      <c r="G17" s="1">
        <v>3.26774600054978E14</v>
      </c>
      <c r="H17" s="1" t="s">
        <v>42</v>
      </c>
      <c r="I17" s="3">
        <v>46049.0</v>
      </c>
      <c r="J17" s="1">
        <v>0.0</v>
      </c>
      <c r="K17" s="1" t="s">
        <v>43</v>
      </c>
      <c r="L17" s="1" t="s">
        <v>1309</v>
      </c>
      <c r="N17" s="1" t="s">
        <v>121</v>
      </c>
      <c r="Q17" s="1" t="s">
        <v>1310</v>
      </c>
      <c r="AL17" s="1" t="s">
        <v>1308</v>
      </c>
      <c r="AN17" s="1">
        <v>7.71988452352E11</v>
      </c>
      <c r="AP17" s="1">
        <v>1.0</v>
      </c>
    </row>
    <row r="18" ht="15.75" customHeight="1">
      <c r="A18" s="1" t="s">
        <v>1176</v>
      </c>
      <c r="B18" s="1" t="str">
        <f>IFERROR(__xludf.DUMMYFUNCTION("AI(Prompt!$B$21,A18)"),"ИП Досковских")</f>
        <v>ИП Досковских</v>
      </c>
      <c r="C18" s="1" t="str">
        <f>IFERROR(__xludf.DUMMYFUNCTION("AI(Prompt!$B$26,A18:B18)"),"OK")</f>
        <v>OK</v>
      </c>
      <c r="D18" s="1" t="s">
        <v>864</v>
      </c>
      <c r="E18" s="1">
        <v>2.46318686707E11</v>
      </c>
      <c r="G18" s="1">
        <v>3.25774600896204E14</v>
      </c>
      <c r="H18" s="1" t="s">
        <v>42</v>
      </c>
      <c r="I18" s="3">
        <v>46010.0</v>
      </c>
      <c r="J18" s="1">
        <v>0.0</v>
      </c>
      <c r="K18" s="1" t="s">
        <v>43</v>
      </c>
      <c r="L18" s="1" t="s">
        <v>1009</v>
      </c>
      <c r="N18" s="1" t="s">
        <v>121</v>
      </c>
      <c r="Q18" s="1" t="s">
        <v>1177</v>
      </c>
      <c r="AL18" s="1" t="s">
        <v>1176</v>
      </c>
      <c r="AN18" s="1">
        <v>2.46318686707E11</v>
      </c>
      <c r="AP18" s="1">
        <v>1.0</v>
      </c>
    </row>
    <row r="19" ht="15.75" customHeight="1">
      <c r="A19" s="1" t="s">
        <v>812</v>
      </c>
      <c r="B19" s="1" t="str">
        <f>IFERROR(__xludf.DUMMYFUNCTION("AI(Prompt!$B$21,A19)"),"Носики Пёсики")</f>
        <v>Носики Пёсики</v>
      </c>
      <c r="C19" s="1" t="str">
        <f>IFERROR(__xludf.DUMMYFUNCTION("AI(Prompt!$B$26,A19:B19)"),"OK")</f>
        <v>OK</v>
      </c>
      <c r="D19" s="1" t="s">
        <v>41</v>
      </c>
      <c r="E19" s="1">
        <v>9.722026903E9</v>
      </c>
      <c r="F19" s="1">
        <v>7.72201001E8</v>
      </c>
      <c r="G19" s="1">
        <v>1.227700478499E12</v>
      </c>
      <c r="H19" s="1" t="s">
        <v>42</v>
      </c>
      <c r="I19" s="3">
        <v>44782.0</v>
      </c>
      <c r="J19" s="1">
        <v>3.0</v>
      </c>
      <c r="K19" s="1" t="s">
        <v>43</v>
      </c>
      <c r="L19" s="1" t="s">
        <v>813</v>
      </c>
      <c r="M19" s="1" t="s">
        <v>814</v>
      </c>
      <c r="N19" s="1" t="s">
        <v>121</v>
      </c>
      <c r="O19" s="1">
        <v>111024.0</v>
      </c>
      <c r="P19" s="1" t="s">
        <v>121</v>
      </c>
      <c r="Q19" s="1" t="s">
        <v>815</v>
      </c>
      <c r="AE19" s="1" t="s">
        <v>816</v>
      </c>
      <c r="AF19" s="1">
        <v>0.0</v>
      </c>
      <c r="AG19" s="1">
        <v>0.0</v>
      </c>
      <c r="AH19" s="1">
        <v>0.0</v>
      </c>
      <c r="AI19" s="1">
        <v>0.0</v>
      </c>
      <c r="AJ19" s="1">
        <v>0.0</v>
      </c>
      <c r="AK19" s="1">
        <v>0.0</v>
      </c>
      <c r="AL19" s="1" t="s">
        <v>817</v>
      </c>
      <c r="AM19" s="1" t="s">
        <v>61</v>
      </c>
      <c r="AN19" s="1">
        <v>7.709027107E11</v>
      </c>
      <c r="AO19" s="3">
        <v>44782.0</v>
      </c>
      <c r="AP19" s="1">
        <v>2.0</v>
      </c>
    </row>
    <row r="20" ht="15.75" customHeight="1">
      <c r="A20" s="1" t="s">
        <v>1170</v>
      </c>
      <c r="B20" s="1" t="str">
        <f>IFERROR(__xludf.DUMMYFUNCTION("AI(Prompt!$B$21,A20)"),"Арни 1966")</f>
        <v>Арни 1966</v>
      </c>
      <c r="C20" s="1" t="str">
        <f>IFERROR(__xludf.DUMMYFUNCTION("AI(Prompt!$B$26,A20:B20)"),"OK")</f>
        <v>OK</v>
      </c>
      <c r="D20" s="1" t="s">
        <v>41</v>
      </c>
      <c r="E20" s="1">
        <v>7.71625549E9</v>
      </c>
      <c r="F20" s="1">
        <v>7.71601001E8</v>
      </c>
      <c r="G20" s="1">
        <v>1.257700511727E12</v>
      </c>
      <c r="H20" s="1" t="s">
        <v>42</v>
      </c>
      <c r="I20" s="3">
        <v>45981.0</v>
      </c>
      <c r="J20" s="1">
        <v>0.0</v>
      </c>
      <c r="K20" s="1" t="s">
        <v>43</v>
      </c>
      <c r="L20" s="1" t="s">
        <v>1171</v>
      </c>
      <c r="M20" s="1" t="s">
        <v>1172</v>
      </c>
      <c r="N20" s="1" t="s">
        <v>121</v>
      </c>
      <c r="O20" s="1">
        <v>129344.0</v>
      </c>
      <c r="P20" s="1" t="s">
        <v>121</v>
      </c>
      <c r="Q20" s="1" t="s">
        <v>1173</v>
      </c>
      <c r="AE20" s="1" t="s">
        <v>1174</v>
      </c>
      <c r="AL20" s="1" t="s">
        <v>1175</v>
      </c>
      <c r="AM20" s="1" t="s">
        <v>61</v>
      </c>
      <c r="AN20" s="1">
        <v>2.8080325383E11</v>
      </c>
      <c r="AO20" s="3">
        <v>45981.0</v>
      </c>
      <c r="AP20" s="1">
        <v>1.0</v>
      </c>
    </row>
    <row r="21" ht="15.75" customHeight="1">
      <c r="A21" s="1" t="s">
        <v>1103</v>
      </c>
      <c r="B21" s="1" t="str">
        <f>IFERROR(__xludf.DUMMYFUNCTION("AI(Prompt!$B$21,A21)"),"ИП Орлов")</f>
        <v>ИП Орлов</v>
      </c>
      <c r="C21" s="1" t="str">
        <f>IFERROR(__xludf.DUMMYFUNCTION("AI(Prompt!$B$26,A21:B21)"),"OK")</f>
        <v>OK</v>
      </c>
      <c r="D21" s="1" t="s">
        <v>864</v>
      </c>
      <c r="E21" s="1">
        <v>5.0271752775E11</v>
      </c>
      <c r="G21" s="1">
        <v>3.21508100153403E14</v>
      </c>
      <c r="H21" s="1" t="s">
        <v>42</v>
      </c>
      <c r="I21" s="3">
        <v>44286.0</v>
      </c>
      <c r="J21" s="1">
        <v>4.0</v>
      </c>
      <c r="K21" s="1" t="s">
        <v>43</v>
      </c>
      <c r="L21" s="1" t="s">
        <v>1104</v>
      </c>
      <c r="M21" s="1" t="s">
        <v>1105</v>
      </c>
      <c r="N21" s="1" t="s">
        <v>46</v>
      </c>
      <c r="P21" s="1" t="s">
        <v>1106</v>
      </c>
      <c r="Q21" s="1" t="s">
        <v>1107</v>
      </c>
      <c r="R21" s="1" t="s">
        <v>1108</v>
      </c>
      <c r="S21" s="1" t="s">
        <v>1109</v>
      </c>
      <c r="Y21" s="1" t="s">
        <v>1110</v>
      </c>
      <c r="AL21" s="1" t="s">
        <v>1103</v>
      </c>
      <c r="AN21" s="1">
        <v>5.0271752775E11</v>
      </c>
      <c r="AP21" s="1">
        <v>1.0</v>
      </c>
    </row>
    <row r="22" ht="15.75" customHeight="1">
      <c r="A22" s="1" t="s">
        <v>1077</v>
      </c>
      <c r="B22" s="1" t="str">
        <f>IFERROR(__xludf.DUMMYFUNCTION("AI(Prompt!$B$21,A22)"),"ИП Макеев")</f>
        <v>ИП Макеев</v>
      </c>
      <c r="C22" s="1" t="str">
        <f>IFERROR(__xludf.DUMMYFUNCTION("AI(Prompt!$B$26,A22:B22)"),"OK")</f>
        <v>OK</v>
      </c>
      <c r="D22" s="1" t="s">
        <v>864</v>
      </c>
      <c r="E22" s="1">
        <v>1.32404547933E11</v>
      </c>
      <c r="G22" s="1">
        <v>3.23508100548523E14</v>
      </c>
      <c r="H22" s="1" t="s">
        <v>42</v>
      </c>
      <c r="I22" s="3">
        <v>45210.0</v>
      </c>
      <c r="J22" s="1">
        <v>2.0</v>
      </c>
      <c r="K22" s="1" t="s">
        <v>43</v>
      </c>
      <c r="L22" s="1" t="s">
        <v>1078</v>
      </c>
      <c r="M22" s="1" t="s">
        <v>1079</v>
      </c>
      <c r="N22" s="1" t="s">
        <v>46</v>
      </c>
      <c r="P22" s="1" t="s">
        <v>926</v>
      </c>
      <c r="Q22" s="1" t="s">
        <v>1080</v>
      </c>
      <c r="AL22" s="1" t="s">
        <v>1077</v>
      </c>
      <c r="AN22" s="1">
        <v>1.32404547933E11</v>
      </c>
      <c r="AP22" s="1">
        <v>1.0</v>
      </c>
    </row>
    <row r="23" ht="15.75" customHeight="1">
      <c r="A23" s="1" t="s">
        <v>504</v>
      </c>
      <c r="B23" s="1" t="str">
        <f>IFERROR(__xludf.DUMMYFUNCTION("AI(Prompt!$B$21,A23)"),"ПФМ РУС")</f>
        <v>ПФМ РУС</v>
      </c>
      <c r="C23" s="1" t="str">
        <f>IFERROR(__xludf.DUMMYFUNCTION("AI(Prompt!$B$26,A23:B23)"),"OK")</f>
        <v>OK</v>
      </c>
      <c r="D23" s="1" t="s">
        <v>41</v>
      </c>
      <c r="E23" s="1">
        <v>7.726420819E9</v>
      </c>
      <c r="F23" s="1">
        <v>7.72601001E8</v>
      </c>
      <c r="G23" s="1">
        <v>1.187746061491E12</v>
      </c>
      <c r="H23" s="1" t="s">
        <v>42</v>
      </c>
      <c r="I23" s="3">
        <v>43125.0</v>
      </c>
      <c r="J23" s="1">
        <v>8.0</v>
      </c>
      <c r="K23" s="1" t="s">
        <v>43</v>
      </c>
      <c r="L23" s="1" t="s">
        <v>505</v>
      </c>
      <c r="M23" s="1" t="s">
        <v>506</v>
      </c>
      <c r="N23" s="1" t="s">
        <v>121</v>
      </c>
      <c r="O23" s="1">
        <v>117556.0</v>
      </c>
      <c r="P23" s="1" t="s">
        <v>121</v>
      </c>
      <c r="Q23" s="1" t="s">
        <v>507</v>
      </c>
      <c r="R23" s="1" t="s">
        <v>508</v>
      </c>
      <c r="S23" s="1" t="s">
        <v>194</v>
      </c>
      <c r="T23" s="1" t="s">
        <v>509</v>
      </c>
      <c r="U23" s="1" t="s">
        <v>510</v>
      </c>
      <c r="V23" s="1" t="s">
        <v>511</v>
      </c>
      <c r="W23" s="1" t="s">
        <v>512</v>
      </c>
      <c r="X23" s="1" t="s">
        <v>513</v>
      </c>
      <c r="Y23" s="1" t="s">
        <v>514</v>
      </c>
      <c r="Z23" s="1" t="s">
        <v>515</v>
      </c>
      <c r="AA23" s="1" t="s">
        <v>516</v>
      </c>
      <c r="AB23" s="1" t="s">
        <v>517</v>
      </c>
      <c r="AE23" s="1" t="s">
        <v>518</v>
      </c>
      <c r="AF23" s="1">
        <v>9382.0</v>
      </c>
      <c r="AG23" s="1">
        <v>6705.0</v>
      </c>
      <c r="AH23" s="1">
        <v>5638.0</v>
      </c>
      <c r="AI23" s="1">
        <v>-148.0</v>
      </c>
      <c r="AJ23" s="1">
        <v>277.0</v>
      </c>
      <c r="AK23" s="1">
        <v>23.0</v>
      </c>
      <c r="AL23" s="1" t="s">
        <v>519</v>
      </c>
      <c r="AM23" s="1" t="s">
        <v>61</v>
      </c>
      <c r="AN23" s="1">
        <v>7.70300780404E11</v>
      </c>
      <c r="AO23" s="3">
        <v>43238.0</v>
      </c>
      <c r="AP23" s="1">
        <v>2.0</v>
      </c>
    </row>
    <row r="24" ht="15.75" customHeight="1">
      <c r="A24" s="1" t="s">
        <v>1425</v>
      </c>
      <c r="B24" s="1" t="str">
        <f>IFERROR(__xludf.DUMMYFUNCTION("AI(Prompt!$B$21,A24)"),"ИП Кудрявин")</f>
        <v>ИП Кудрявин</v>
      </c>
      <c r="C24" s="1" t="str">
        <f>IFERROR(__xludf.DUMMYFUNCTION("AI(Prompt!$B$26,A24:B24)"),"OK")</f>
        <v>OK</v>
      </c>
      <c r="D24" s="1" t="s">
        <v>864</v>
      </c>
      <c r="E24" s="1">
        <v>5.25104861909E11</v>
      </c>
      <c r="G24" s="1">
        <v>3.22774600726251E14</v>
      </c>
      <c r="H24" s="1" t="s">
        <v>42</v>
      </c>
      <c r="I24" s="3">
        <v>44897.0</v>
      </c>
      <c r="J24" s="1">
        <v>3.0</v>
      </c>
      <c r="K24" s="1" t="s">
        <v>43</v>
      </c>
      <c r="L24" s="1" t="s">
        <v>1426</v>
      </c>
      <c r="M24" s="1" t="s">
        <v>1427</v>
      </c>
      <c r="N24" s="1" t="s">
        <v>121</v>
      </c>
      <c r="Q24" s="1" t="s">
        <v>1428</v>
      </c>
      <c r="R24" s="1" t="s">
        <v>1429</v>
      </c>
      <c r="Y24" s="1" t="s">
        <v>1430</v>
      </c>
      <c r="AL24" s="1" t="s">
        <v>1425</v>
      </c>
      <c r="AN24" s="1">
        <v>5.25104861909E11</v>
      </c>
      <c r="AP24" s="1">
        <v>1.0</v>
      </c>
    </row>
    <row r="25" ht="15.75" customHeight="1">
      <c r="A25" s="1" t="s">
        <v>333</v>
      </c>
      <c r="B25" s="1" t="str">
        <f>IFERROR(__xludf.DUMMYFUNCTION("AI(Prompt!$B$21,A25)"),"Собачье Счастье")</f>
        <v>Собачье Счастье</v>
      </c>
      <c r="C25" s="1" t="str">
        <f>IFERROR(__xludf.DUMMYFUNCTION("AI(Prompt!$B$26,A25:B25)"),"OK")</f>
        <v>OK</v>
      </c>
      <c r="D25" s="1" t="s">
        <v>41</v>
      </c>
      <c r="E25" s="1">
        <v>9.731075784E9</v>
      </c>
      <c r="F25" s="1">
        <v>7.73101001E8</v>
      </c>
      <c r="G25" s="1">
        <v>1.217700076098E12</v>
      </c>
      <c r="H25" s="1" t="s">
        <v>42</v>
      </c>
      <c r="I25" s="3">
        <v>44247.0</v>
      </c>
      <c r="J25" s="1">
        <v>5.0</v>
      </c>
      <c r="K25" s="1" t="s">
        <v>43</v>
      </c>
      <c r="L25" s="1" t="s">
        <v>334</v>
      </c>
      <c r="M25" s="1" t="s">
        <v>335</v>
      </c>
      <c r="N25" s="1" t="s">
        <v>121</v>
      </c>
      <c r="O25" s="1">
        <v>121596.0</v>
      </c>
      <c r="P25" s="1" t="s">
        <v>121</v>
      </c>
      <c r="Q25" s="1" t="s">
        <v>336</v>
      </c>
      <c r="R25" s="1" t="s">
        <v>337</v>
      </c>
      <c r="U25" s="1" t="s">
        <v>338</v>
      </c>
      <c r="V25" s="1" t="s">
        <v>339</v>
      </c>
      <c r="W25" s="1" t="s">
        <v>340</v>
      </c>
      <c r="Y25" s="1" t="s">
        <v>341</v>
      </c>
      <c r="Z25" s="1" t="s">
        <v>342</v>
      </c>
      <c r="AE25" s="1" t="s">
        <v>343</v>
      </c>
      <c r="AF25" s="1">
        <v>40395.0</v>
      </c>
      <c r="AG25" s="1">
        <v>17988.0</v>
      </c>
      <c r="AH25" s="1">
        <v>2181.0</v>
      </c>
      <c r="AI25" s="1">
        <v>7289.0</v>
      </c>
      <c r="AJ25" s="1">
        <v>3518.0</v>
      </c>
      <c r="AK25" s="1">
        <v>372.0</v>
      </c>
      <c r="AL25" s="1" t="s">
        <v>344</v>
      </c>
      <c r="AM25" s="1" t="s">
        <v>61</v>
      </c>
      <c r="AN25" s="1">
        <v>5.03215058874E11</v>
      </c>
      <c r="AO25" s="3">
        <v>44573.0</v>
      </c>
      <c r="AP25" s="1">
        <v>1.0</v>
      </c>
    </row>
    <row r="26" ht="15.75" customHeight="1">
      <c r="A26" s="1" t="s">
        <v>887</v>
      </c>
      <c r="B26" s="1" t="str">
        <f>IFERROR(__xludf.DUMMYFUNCTION("AI(Prompt!$B$21,A26)"),"ИП Тимофеев")</f>
        <v>ИП Тимофеев</v>
      </c>
      <c r="C26" s="1" t="str">
        <f>IFERROR(__xludf.DUMMYFUNCTION("AI(Prompt!$B$26,A26:B26)"),"OK")</f>
        <v>OK</v>
      </c>
      <c r="D26" s="1" t="s">
        <v>864</v>
      </c>
      <c r="E26" s="1">
        <v>7.7153562685E11</v>
      </c>
      <c r="G26" s="1">
        <v>3.2550810075196E14</v>
      </c>
      <c r="H26" s="1" t="s">
        <v>42</v>
      </c>
      <c r="I26" s="3">
        <v>46009.0</v>
      </c>
      <c r="J26" s="1">
        <v>0.0</v>
      </c>
      <c r="K26" s="1" t="s">
        <v>43</v>
      </c>
      <c r="L26" s="1" t="s">
        <v>888</v>
      </c>
      <c r="N26" s="1" t="s">
        <v>46</v>
      </c>
      <c r="Q26" s="1" t="s">
        <v>889</v>
      </c>
      <c r="AL26" s="1" t="s">
        <v>887</v>
      </c>
      <c r="AN26" s="1">
        <v>7.7153562685E11</v>
      </c>
      <c r="AP26" s="1">
        <v>1.0</v>
      </c>
    </row>
    <row r="27" ht="15.75" customHeight="1">
      <c r="A27" s="1" t="s">
        <v>1133</v>
      </c>
      <c r="B27" s="1" t="str">
        <f>IFERROR(__xludf.DUMMYFUNCTION("AI(Prompt!$B$21,A27)"),"Аквагранула")</f>
        <v>Аквагранула</v>
      </c>
      <c r="C27" s="1" t="str">
        <f>IFERROR(__xludf.DUMMYFUNCTION("AI(Prompt!$B$26,A27:B27)"),"OK")</f>
        <v>OK</v>
      </c>
      <c r="D27" s="1" t="s">
        <v>41</v>
      </c>
      <c r="E27" s="1">
        <v>5.03405888E9</v>
      </c>
      <c r="F27" s="1">
        <v>5.03401001E8</v>
      </c>
      <c r="G27" s="1">
        <v>1.205000049869E12</v>
      </c>
      <c r="H27" s="1" t="s">
        <v>717</v>
      </c>
      <c r="I27" s="3">
        <v>44006.0</v>
      </c>
      <c r="J27" s="1">
        <v>5.0</v>
      </c>
      <c r="K27" s="1" t="s">
        <v>43</v>
      </c>
      <c r="L27" s="1" t="s">
        <v>1134</v>
      </c>
      <c r="M27" s="1" t="s">
        <v>1135</v>
      </c>
      <c r="N27" s="1" t="s">
        <v>46</v>
      </c>
      <c r="O27" s="1">
        <v>142664.0</v>
      </c>
      <c r="P27" s="1" t="s">
        <v>1136</v>
      </c>
      <c r="Q27" s="1" t="s">
        <v>1137</v>
      </c>
      <c r="R27" s="1" t="s">
        <v>1138</v>
      </c>
      <c r="Y27" s="1" t="s">
        <v>1139</v>
      </c>
      <c r="Z27" s="1" t="s">
        <v>1140</v>
      </c>
      <c r="AE27" s="1" t="s">
        <v>1141</v>
      </c>
      <c r="AG27" s="1">
        <v>37064.0</v>
      </c>
      <c r="AH27" s="1">
        <v>94683.0</v>
      </c>
      <c r="AJ27" s="1">
        <v>-6127.0</v>
      </c>
      <c r="AK27" s="1">
        <v>15623.0</v>
      </c>
      <c r="AL27" s="1" t="s">
        <v>1142</v>
      </c>
      <c r="AM27" s="1" t="s">
        <v>728</v>
      </c>
      <c r="AN27" s="1">
        <v>6.1510309928E11</v>
      </c>
      <c r="AO27" s="3">
        <v>45718.0</v>
      </c>
      <c r="AP27" s="1">
        <v>2.0</v>
      </c>
    </row>
    <row r="28" ht="15.75" customHeight="1">
      <c r="A28" s="1" t="s">
        <v>1117</v>
      </c>
      <c r="B28" s="1" t="str">
        <f>IFERROR(__xludf.DUMMYFUNCTION("AI(Prompt!$B$21,A28)"),"ИП Петрова")</f>
        <v>ИП Петрова</v>
      </c>
      <c r="C28" s="1" t="str">
        <f>IFERROR(__xludf.DUMMYFUNCTION("AI(Prompt!$B$26,A28:B28)"),"OK")</f>
        <v>OK</v>
      </c>
      <c r="D28" s="1" t="s">
        <v>864</v>
      </c>
      <c r="E28" s="1">
        <v>5.07702008367E11</v>
      </c>
      <c r="G28" s="1">
        <v>3.25508100193349E14</v>
      </c>
      <c r="H28" s="1" t="s">
        <v>42</v>
      </c>
      <c r="I28" s="3">
        <v>45755.0</v>
      </c>
      <c r="J28" s="1">
        <v>0.0</v>
      </c>
      <c r="K28" s="1" t="s">
        <v>43</v>
      </c>
      <c r="L28" s="1" t="s">
        <v>1118</v>
      </c>
      <c r="M28" s="1" t="s">
        <v>866</v>
      </c>
      <c r="N28" s="1" t="s">
        <v>46</v>
      </c>
      <c r="P28" s="1" t="s">
        <v>867</v>
      </c>
      <c r="Q28" s="1" t="s">
        <v>1119</v>
      </c>
      <c r="AL28" s="1" t="s">
        <v>1117</v>
      </c>
      <c r="AN28" s="1">
        <v>5.07702008367E11</v>
      </c>
      <c r="AP28" s="1">
        <v>2.0</v>
      </c>
    </row>
    <row r="29" ht="15.75" customHeight="1">
      <c r="A29" s="1" t="s">
        <v>1191</v>
      </c>
      <c r="B29" s="1" t="str">
        <f>IFERROR(__xludf.DUMMYFUNCTION("AI(Prompt!$B$21,A29)"),"ИП Кононов")</f>
        <v>ИП Кононов</v>
      </c>
      <c r="C29" s="1" t="str">
        <f>IFERROR(__xludf.DUMMYFUNCTION("AI(Prompt!$B$26,A29:B29)"),"OK")</f>
        <v>OK</v>
      </c>
      <c r="D29" s="1" t="s">
        <v>864</v>
      </c>
      <c r="E29" s="1">
        <v>7.72423157514E11</v>
      </c>
      <c r="G29" s="1">
        <v>3.257746008023E14</v>
      </c>
      <c r="H29" s="1" t="s">
        <v>42</v>
      </c>
      <c r="I29" s="3">
        <v>45985.0</v>
      </c>
      <c r="J29" s="1">
        <v>0.0</v>
      </c>
      <c r="K29" s="1" t="s">
        <v>43</v>
      </c>
      <c r="L29" s="1" t="s">
        <v>1192</v>
      </c>
      <c r="N29" s="1" t="s">
        <v>121</v>
      </c>
      <c r="Q29" s="1" t="s">
        <v>1193</v>
      </c>
      <c r="AL29" s="1" t="s">
        <v>1191</v>
      </c>
      <c r="AN29" s="1">
        <v>7.72423157514E11</v>
      </c>
      <c r="AP29" s="1">
        <v>1.0</v>
      </c>
    </row>
    <row r="30" ht="15.75" customHeight="1">
      <c r="A30" s="1" t="s">
        <v>780</v>
      </c>
      <c r="B30" s="1" t="str">
        <f>IFERROR(__xludf.DUMMYFUNCTION("AI(Prompt!$B$21,A30)"),"Амарант")</f>
        <v>Амарант</v>
      </c>
      <c r="C30" s="1" t="str">
        <f>IFERROR(__xludf.DUMMYFUNCTION("AI(Prompt!$B$26,A30:B30)"),"OK")</f>
        <v>OK</v>
      </c>
      <c r="D30" s="1" t="s">
        <v>41</v>
      </c>
      <c r="E30" s="1">
        <v>5.018213129E9</v>
      </c>
      <c r="F30" s="1">
        <v>5.01801001E8</v>
      </c>
      <c r="G30" s="1">
        <v>1.225000125129E12</v>
      </c>
      <c r="H30" s="1" t="s">
        <v>42</v>
      </c>
      <c r="I30" s="3">
        <v>44873.0</v>
      </c>
      <c r="J30" s="1">
        <v>3.0</v>
      </c>
      <c r="K30" s="1" t="s">
        <v>43</v>
      </c>
      <c r="L30" s="1" t="s">
        <v>781</v>
      </c>
      <c r="M30" s="1" t="s">
        <v>782</v>
      </c>
      <c r="N30" s="1" t="s">
        <v>46</v>
      </c>
      <c r="O30" s="1">
        <v>141075.0</v>
      </c>
      <c r="P30" s="1" t="s">
        <v>428</v>
      </c>
      <c r="Q30" s="1" t="s">
        <v>783</v>
      </c>
      <c r="AE30" s="1" t="s">
        <v>784</v>
      </c>
      <c r="AF30" s="1">
        <v>0.0</v>
      </c>
      <c r="AG30" s="1">
        <v>0.0</v>
      </c>
      <c r="AI30" s="1">
        <v>0.0</v>
      </c>
      <c r="AJ30" s="1">
        <v>0.0</v>
      </c>
      <c r="AL30" s="1" t="s">
        <v>785</v>
      </c>
      <c r="AM30" s="1" t="s">
        <v>78</v>
      </c>
      <c r="AN30" s="1">
        <v>7.71804859694E11</v>
      </c>
      <c r="AO30" s="3">
        <v>44873.0</v>
      </c>
      <c r="AP30" s="1">
        <v>1.0</v>
      </c>
    </row>
    <row r="31" ht="15.75" customHeight="1">
      <c r="A31" s="1" t="s">
        <v>1085</v>
      </c>
      <c r="B31" s="1" t="str">
        <f>IFERROR(__xludf.DUMMYFUNCTION("AI(Prompt!$B$21,A31)"),"ИП Спиридонова")</f>
        <v>ИП Спиридонова</v>
      </c>
      <c r="C31" s="1" t="str">
        <f>IFERROR(__xludf.DUMMYFUNCTION("AI(Prompt!$B$26,A31:B31)"),"OK")</f>
        <v>OK</v>
      </c>
      <c r="D31" s="1" t="s">
        <v>864</v>
      </c>
      <c r="E31" s="1">
        <v>5.03100295237E11</v>
      </c>
      <c r="G31" s="1">
        <v>3.23508100529836E14</v>
      </c>
      <c r="H31" s="1" t="s">
        <v>42</v>
      </c>
      <c r="I31" s="3">
        <v>45202.0</v>
      </c>
      <c r="J31" s="1">
        <v>2.0</v>
      </c>
      <c r="K31" s="1" t="s">
        <v>43</v>
      </c>
      <c r="L31" s="1" t="s">
        <v>1086</v>
      </c>
      <c r="M31" s="1" t="s">
        <v>1087</v>
      </c>
      <c r="N31" s="1" t="s">
        <v>46</v>
      </c>
      <c r="P31" s="1" t="s">
        <v>1088</v>
      </c>
      <c r="Q31" s="1" t="s">
        <v>1089</v>
      </c>
      <c r="AL31" s="1" t="s">
        <v>1085</v>
      </c>
      <c r="AN31" s="1">
        <v>5.03100295237E11</v>
      </c>
      <c r="AP31" s="1">
        <v>2.0</v>
      </c>
    </row>
    <row r="32" ht="15.75" customHeight="1">
      <c r="A32" s="1" t="s">
        <v>1249</v>
      </c>
      <c r="B32" s="1" t="str">
        <f>IFERROR(__xludf.DUMMYFUNCTION("AI(Prompt!$B$21,A32)"),"ИП Скорин")</f>
        <v>ИП Скорин</v>
      </c>
      <c r="C32" s="1" t="str">
        <f>IFERROR(__xludf.DUMMYFUNCTION("AI(Prompt!$B$26,A32:B32)"),"OK")</f>
        <v>OK</v>
      </c>
      <c r="D32" s="1" t="s">
        <v>864</v>
      </c>
      <c r="E32" s="1">
        <v>7.72086324932E11</v>
      </c>
      <c r="G32" s="1">
        <v>3.25774600231254E14</v>
      </c>
      <c r="H32" s="1" t="s">
        <v>42</v>
      </c>
      <c r="I32" s="3">
        <v>45755.0</v>
      </c>
      <c r="J32" s="1">
        <v>0.0</v>
      </c>
      <c r="K32" s="1" t="s">
        <v>43</v>
      </c>
      <c r="L32" s="1" t="s">
        <v>1250</v>
      </c>
      <c r="M32" s="1" t="s">
        <v>1251</v>
      </c>
      <c r="N32" s="1" t="s">
        <v>121</v>
      </c>
      <c r="Q32" s="1" t="s">
        <v>1252</v>
      </c>
      <c r="Y32" s="1" t="s">
        <v>1253</v>
      </c>
      <c r="AL32" s="1" t="s">
        <v>1249</v>
      </c>
      <c r="AN32" s="1">
        <v>7.72086324932E11</v>
      </c>
      <c r="AP32" s="1">
        <v>1.0</v>
      </c>
    </row>
    <row r="33" ht="15.75" customHeight="1">
      <c r="A33" s="1" t="s">
        <v>280</v>
      </c>
      <c r="B33" s="1" t="str">
        <f>IFERROR(__xludf.DUMMYFUNCTION("AI(Prompt!$B$21,A33)"),"Энималс Дели")</f>
        <v>Энималс Дели</v>
      </c>
      <c r="C33" s="1" t="str">
        <f>IFERROR(__xludf.DUMMYFUNCTION("AI(Prompt!$B$26,A33:B33)"),"OK")</f>
        <v>OK</v>
      </c>
      <c r="D33" s="1" t="s">
        <v>41</v>
      </c>
      <c r="E33" s="1">
        <v>7.7208977E9</v>
      </c>
      <c r="F33" s="1">
        <v>7.72001001E8</v>
      </c>
      <c r="G33" s="1">
        <v>1.23770034464E12</v>
      </c>
      <c r="H33" s="1" t="s">
        <v>42</v>
      </c>
      <c r="I33" s="3">
        <v>45061.0</v>
      </c>
      <c r="J33" s="1">
        <v>2.0</v>
      </c>
      <c r="K33" s="1" t="s">
        <v>43</v>
      </c>
      <c r="L33" s="1" t="s">
        <v>281</v>
      </c>
      <c r="M33" s="1" t="s">
        <v>282</v>
      </c>
      <c r="N33" s="1" t="s">
        <v>121</v>
      </c>
      <c r="O33" s="1">
        <v>111395.0</v>
      </c>
      <c r="P33" s="1" t="s">
        <v>121</v>
      </c>
      <c r="Q33" s="1" t="s">
        <v>283</v>
      </c>
      <c r="AE33" s="1" t="s">
        <v>284</v>
      </c>
      <c r="AF33" s="1">
        <v>114486.0</v>
      </c>
      <c r="AG33" s="1">
        <v>44534.0</v>
      </c>
      <c r="AH33" s="1">
        <v>0.0</v>
      </c>
      <c r="AI33" s="1">
        <v>6632.0</v>
      </c>
      <c r="AJ33" s="1">
        <v>7422.0</v>
      </c>
      <c r="AK33" s="1">
        <v>0.0</v>
      </c>
      <c r="AL33" s="1" t="s">
        <v>285</v>
      </c>
      <c r="AM33" s="1" t="s">
        <v>61</v>
      </c>
      <c r="AN33" s="1">
        <v>7.72908629873E11</v>
      </c>
      <c r="AO33" s="3">
        <v>45061.0</v>
      </c>
      <c r="AP33" s="1">
        <v>2.0</v>
      </c>
    </row>
    <row r="34" ht="15.75" customHeight="1">
      <c r="A34" s="1" t="s">
        <v>1243</v>
      </c>
      <c r="B34" s="1" t="str">
        <f>IFERROR(__xludf.DUMMYFUNCTION("AI(Prompt!$B$21,A34)"),"ИП Анисимов")</f>
        <v>ИП Анисимов</v>
      </c>
      <c r="C34" s="1" t="str">
        <f>IFERROR(__xludf.DUMMYFUNCTION("AI(Prompt!$B$26,A34:B34)"),"OK")</f>
        <v>OK</v>
      </c>
      <c r="D34" s="1" t="s">
        <v>864</v>
      </c>
      <c r="E34" s="1">
        <v>7.72024578944E11</v>
      </c>
      <c r="G34" s="1">
        <v>3.2577460057932E14</v>
      </c>
      <c r="H34" s="1" t="s">
        <v>42</v>
      </c>
      <c r="I34" s="3">
        <v>45903.0</v>
      </c>
      <c r="J34" s="1">
        <v>0.0</v>
      </c>
      <c r="K34" s="1" t="s">
        <v>43</v>
      </c>
      <c r="L34" s="1" t="s">
        <v>1244</v>
      </c>
      <c r="N34" s="1" t="s">
        <v>121</v>
      </c>
      <c r="Q34" s="1" t="s">
        <v>1245</v>
      </c>
      <c r="AL34" s="1" t="s">
        <v>1243</v>
      </c>
      <c r="AN34" s="1">
        <v>7.72024578944E11</v>
      </c>
      <c r="AP34" s="1">
        <v>1.0</v>
      </c>
    </row>
    <row r="35" ht="15.75" customHeight="1">
      <c r="A35" s="1" t="s">
        <v>944</v>
      </c>
      <c r="B35" s="1" t="str">
        <f>IFERROR(__xludf.DUMMYFUNCTION("AI(Prompt!$B$21,A35)"),"ИП Дмитриева")</f>
        <v>ИП Дмитриева</v>
      </c>
      <c r="C35" s="1" t="str">
        <f>IFERROR(__xludf.DUMMYFUNCTION("AI(Prompt!$B$26,A35:B35)"),"OK")</f>
        <v>OK</v>
      </c>
      <c r="D35" s="1" t="s">
        <v>864</v>
      </c>
      <c r="E35" s="1">
        <v>5.01209793808E11</v>
      </c>
      <c r="G35" s="1">
        <v>3.25508100115131E14</v>
      </c>
      <c r="H35" s="1" t="s">
        <v>42</v>
      </c>
      <c r="I35" s="3">
        <v>45716.0</v>
      </c>
      <c r="J35" s="1">
        <v>0.0</v>
      </c>
      <c r="K35" s="1" t="s">
        <v>43</v>
      </c>
      <c r="L35" s="1" t="s">
        <v>945</v>
      </c>
      <c r="M35" s="1" t="s">
        <v>946</v>
      </c>
      <c r="N35" s="1" t="s">
        <v>46</v>
      </c>
      <c r="P35" s="1" t="s">
        <v>694</v>
      </c>
      <c r="Q35" s="1" t="s">
        <v>947</v>
      </c>
      <c r="AL35" s="1" t="s">
        <v>944</v>
      </c>
      <c r="AN35" s="1">
        <v>5.01209793808E11</v>
      </c>
      <c r="AP35" s="1">
        <v>2.0</v>
      </c>
    </row>
    <row r="36" ht="15.75" customHeight="1">
      <c r="A36" s="1" t="s">
        <v>1374</v>
      </c>
      <c r="B36" s="1" t="str">
        <f>IFERROR(__xludf.DUMMYFUNCTION("AI(Prompt!$B$21,A36)"),"ИП Козинский")</f>
        <v>ИП Козинский</v>
      </c>
      <c r="C36" s="1" t="str">
        <f>IFERROR(__xludf.DUMMYFUNCTION("AI(Prompt!$B$26,A36:B36)"),"OK")</f>
        <v>OK</v>
      </c>
      <c r="D36" s="1" t="s">
        <v>864</v>
      </c>
      <c r="E36" s="1">
        <v>7.72741538707E11</v>
      </c>
      <c r="G36" s="1">
        <v>3.21774600157433E14</v>
      </c>
      <c r="H36" s="1" t="s">
        <v>42</v>
      </c>
      <c r="I36" s="3">
        <v>44274.0</v>
      </c>
      <c r="J36" s="1">
        <v>4.0</v>
      </c>
      <c r="K36" s="1" t="s">
        <v>43</v>
      </c>
      <c r="L36" s="1" t="s">
        <v>1375</v>
      </c>
      <c r="M36" s="1" t="s">
        <v>1376</v>
      </c>
      <c r="N36" s="1" t="s">
        <v>121</v>
      </c>
      <c r="Q36" s="1" t="s">
        <v>1377</v>
      </c>
      <c r="Y36" s="1" t="s">
        <v>1378</v>
      </c>
      <c r="AL36" s="1" t="s">
        <v>1374</v>
      </c>
      <c r="AN36" s="1">
        <v>7.72741538707E11</v>
      </c>
      <c r="AP36" s="1">
        <v>1.0</v>
      </c>
    </row>
    <row r="37" ht="15.75" customHeight="1">
      <c r="A37" s="1" t="s">
        <v>1361</v>
      </c>
      <c r="B37" s="1" t="str">
        <f>IFERROR(__xludf.DUMMYFUNCTION("AI(Prompt!$B$21,A37)"),"ИП Голышкова")</f>
        <v>ИП Голышкова</v>
      </c>
      <c r="C37" s="1" t="str">
        <f>IFERROR(__xludf.DUMMYFUNCTION("AI(Prompt!$B$26,A37:B37)"),"OK")</f>
        <v>OK</v>
      </c>
      <c r="D37" s="1" t="s">
        <v>864</v>
      </c>
      <c r="E37" s="1">
        <v>7.725731637E11</v>
      </c>
      <c r="G37" s="1">
        <v>3.18774600154076E14</v>
      </c>
      <c r="H37" s="1" t="s">
        <v>42</v>
      </c>
      <c r="I37" s="3">
        <v>43180.0</v>
      </c>
      <c r="J37" s="1">
        <v>7.0</v>
      </c>
      <c r="K37" s="1" t="s">
        <v>43</v>
      </c>
      <c r="L37" s="1" t="s">
        <v>1362</v>
      </c>
      <c r="M37" s="1" t="s">
        <v>1363</v>
      </c>
      <c r="N37" s="1" t="s">
        <v>121</v>
      </c>
      <c r="Q37" s="1" t="s">
        <v>1364</v>
      </c>
      <c r="R37" s="1" t="s">
        <v>1365</v>
      </c>
      <c r="S37" s="1" t="s">
        <v>1366</v>
      </c>
      <c r="Y37" s="1" t="s">
        <v>1367</v>
      </c>
      <c r="Z37" s="1" t="s">
        <v>1368</v>
      </c>
      <c r="AL37" s="1" t="s">
        <v>1361</v>
      </c>
      <c r="AN37" s="1">
        <v>7.725731637E11</v>
      </c>
      <c r="AP37" s="1">
        <v>2.0</v>
      </c>
    </row>
    <row r="38" ht="15.75" customHeight="1">
      <c r="A38" s="1" t="s">
        <v>369</v>
      </c>
      <c r="B38" s="1" t="str">
        <f>IFERROR(__xludf.DUMMYFUNCTION("AI(Prompt!$B$21,A38)"),"Премиум Фид")</f>
        <v>Премиум Фид</v>
      </c>
      <c r="C38" s="1" t="str">
        <f>IFERROR(__xludf.DUMMYFUNCTION("AI(Prompt!$B$26,A38:B38)"),"OK")</f>
        <v>OK</v>
      </c>
      <c r="D38" s="1" t="s">
        <v>41</v>
      </c>
      <c r="E38" s="1">
        <v>7.707474706E9</v>
      </c>
      <c r="F38" s="1">
        <v>7.70701001E8</v>
      </c>
      <c r="G38" s="1">
        <v>1.227700628946E12</v>
      </c>
      <c r="H38" s="1" t="s">
        <v>42</v>
      </c>
      <c r="I38" s="3">
        <v>44837.0</v>
      </c>
      <c r="J38" s="1">
        <v>3.0</v>
      </c>
      <c r="K38" s="1" t="s">
        <v>43</v>
      </c>
      <c r="L38" s="1" t="s">
        <v>370</v>
      </c>
      <c r="M38" s="1" t="s">
        <v>371</v>
      </c>
      <c r="N38" s="1" t="s">
        <v>121</v>
      </c>
      <c r="O38" s="1">
        <v>127030.0</v>
      </c>
      <c r="P38" s="1" t="s">
        <v>121</v>
      </c>
      <c r="Q38" s="1" t="s">
        <v>372</v>
      </c>
      <c r="R38" s="1" t="s">
        <v>373</v>
      </c>
      <c r="S38" s="1" t="s">
        <v>374</v>
      </c>
      <c r="T38" s="1" t="s">
        <v>375</v>
      </c>
      <c r="U38" s="1" t="s">
        <v>376</v>
      </c>
      <c r="Y38" s="1" t="s">
        <v>377</v>
      </c>
      <c r="Z38" s="1" t="s">
        <v>378</v>
      </c>
      <c r="AA38" s="1" t="s">
        <v>379</v>
      </c>
      <c r="AB38" s="1" t="s">
        <v>380</v>
      </c>
      <c r="AE38" s="1" t="s">
        <v>381</v>
      </c>
      <c r="AF38" s="1">
        <v>28699.0</v>
      </c>
      <c r="AG38" s="1">
        <v>1831.0</v>
      </c>
      <c r="AI38" s="1">
        <v>104.0</v>
      </c>
      <c r="AJ38" s="1">
        <v>20.0</v>
      </c>
      <c r="AL38" s="1" t="s">
        <v>382</v>
      </c>
      <c r="AM38" s="1" t="s">
        <v>61</v>
      </c>
      <c r="AN38" s="1">
        <v>2.6130288464E11</v>
      </c>
      <c r="AO38" s="3">
        <v>45838.0</v>
      </c>
      <c r="AP38" s="1">
        <v>1.0</v>
      </c>
    </row>
    <row r="39" ht="15.75" customHeight="1">
      <c r="A39" s="1" t="s">
        <v>961</v>
      </c>
      <c r="B39" s="1" t="str">
        <f>IFERROR(__xludf.DUMMYFUNCTION("AI(Prompt!$B$21,A39)"),"ИП Асташев")</f>
        <v>ИП Асташев</v>
      </c>
      <c r="C39" s="1" t="str">
        <f>IFERROR(__xludf.DUMMYFUNCTION("AI(Prompt!$B$26,A39:B39)"),"OK")</f>
        <v>OK</v>
      </c>
      <c r="D39" s="1" t="s">
        <v>864</v>
      </c>
      <c r="E39" s="1">
        <v>6.16604560619E11</v>
      </c>
      <c r="G39" s="1">
        <v>3.21508100040455E14</v>
      </c>
      <c r="H39" s="1" t="s">
        <v>42</v>
      </c>
      <c r="I39" s="3">
        <v>44229.0</v>
      </c>
      <c r="J39" s="1">
        <v>5.0</v>
      </c>
      <c r="K39" s="1" t="s">
        <v>43</v>
      </c>
      <c r="L39" s="1" t="s">
        <v>901</v>
      </c>
      <c r="M39" s="1" t="s">
        <v>946</v>
      </c>
      <c r="N39" s="1" t="s">
        <v>46</v>
      </c>
      <c r="P39" s="1" t="s">
        <v>694</v>
      </c>
      <c r="Q39" s="1" t="s">
        <v>962</v>
      </c>
      <c r="AL39" s="1" t="s">
        <v>961</v>
      </c>
      <c r="AN39" s="1">
        <v>6.16604560619E11</v>
      </c>
      <c r="AP39" s="1">
        <v>1.0</v>
      </c>
    </row>
    <row r="40" ht="15.75" customHeight="1">
      <c r="A40" s="1" t="s">
        <v>319</v>
      </c>
      <c r="B40" s="1" t="str">
        <f>IFERROR(__xludf.DUMMYFUNCTION("AI(Prompt!$B$21,A40)"),"ОНТО")</f>
        <v>ОНТО</v>
      </c>
      <c r="C40" s="1" t="str">
        <f>IFERROR(__xludf.DUMMYFUNCTION("AI(Prompt!$B$26,A40:B40)"),"OK")</f>
        <v>OK</v>
      </c>
      <c r="D40" s="1" t="s">
        <v>41</v>
      </c>
      <c r="E40" s="1">
        <v>9.725001336E9</v>
      </c>
      <c r="F40" s="1">
        <v>7.72501001E8</v>
      </c>
      <c r="G40" s="1">
        <v>1.197746009361E12</v>
      </c>
      <c r="H40" s="1" t="s">
        <v>42</v>
      </c>
      <c r="I40" s="3">
        <v>43480.0</v>
      </c>
      <c r="J40" s="1">
        <v>7.0</v>
      </c>
      <c r="K40" s="1" t="s">
        <v>43</v>
      </c>
      <c r="L40" s="1" t="s">
        <v>320</v>
      </c>
      <c r="M40" s="1" t="s">
        <v>321</v>
      </c>
      <c r="N40" s="1" t="s">
        <v>121</v>
      </c>
      <c r="O40" s="1">
        <v>115280.0</v>
      </c>
      <c r="P40" s="1" t="s">
        <v>121</v>
      </c>
      <c r="Q40" s="1" t="s">
        <v>322</v>
      </c>
      <c r="R40" s="1" t="s">
        <v>323</v>
      </c>
      <c r="S40" s="1" t="s">
        <v>324</v>
      </c>
      <c r="T40" s="1" t="s">
        <v>325</v>
      </c>
      <c r="U40" s="1" t="s">
        <v>326</v>
      </c>
      <c r="Y40" s="1" t="s">
        <v>327</v>
      </c>
      <c r="Z40" s="1" t="s">
        <v>328</v>
      </c>
      <c r="AA40" s="1" t="s">
        <v>329</v>
      </c>
      <c r="AB40" s="1" t="s">
        <v>330</v>
      </c>
      <c r="AE40" s="1" t="s">
        <v>331</v>
      </c>
      <c r="AF40" s="1">
        <v>47970.0</v>
      </c>
      <c r="AG40" s="1">
        <v>49634.0</v>
      </c>
      <c r="AH40" s="1">
        <v>58630.0</v>
      </c>
      <c r="AI40" s="1">
        <v>-10319.0</v>
      </c>
      <c r="AJ40" s="1">
        <v>1323.0</v>
      </c>
      <c r="AK40" s="1">
        <v>4321.0</v>
      </c>
      <c r="AL40" s="1" t="s">
        <v>332</v>
      </c>
      <c r="AM40" s="1" t="s">
        <v>61</v>
      </c>
      <c r="AN40" s="1">
        <v>7.72863417273E11</v>
      </c>
      <c r="AO40" s="3">
        <v>46055.0</v>
      </c>
      <c r="AP40" s="1">
        <v>1.0</v>
      </c>
    </row>
    <row r="41" ht="15.75" customHeight="1">
      <c r="A41" s="1" t="s">
        <v>1098</v>
      </c>
      <c r="B41" s="1" t="str">
        <f>IFERROR(__xludf.DUMMYFUNCTION("AI(Prompt!$B$21,A41)"),"ИП Гришунин")</f>
        <v>ИП Гришунин</v>
      </c>
      <c r="C41" s="1" t="str">
        <f>IFERROR(__xludf.DUMMYFUNCTION("AI(Prompt!$B$26,A41:B41)"),"OK")</f>
        <v>OK</v>
      </c>
      <c r="D41" s="1" t="s">
        <v>864</v>
      </c>
      <c r="E41" s="1">
        <v>5.02402044333E11</v>
      </c>
      <c r="G41" s="1">
        <v>3.23508100406336E14</v>
      </c>
      <c r="H41" s="1" t="s">
        <v>42</v>
      </c>
      <c r="I41" s="3">
        <v>45140.0</v>
      </c>
      <c r="J41" s="1">
        <v>2.0</v>
      </c>
      <c r="K41" s="1" t="s">
        <v>43</v>
      </c>
      <c r="L41" s="1" t="s">
        <v>1099</v>
      </c>
      <c r="M41" s="1" t="s">
        <v>880</v>
      </c>
      <c r="N41" s="1" t="s">
        <v>46</v>
      </c>
      <c r="P41" s="1" t="s">
        <v>657</v>
      </c>
      <c r="Q41" s="1" t="s">
        <v>1100</v>
      </c>
      <c r="R41" s="1" t="s">
        <v>1101</v>
      </c>
      <c r="Y41" s="1" t="s">
        <v>1102</v>
      </c>
      <c r="AL41" s="1" t="s">
        <v>1098</v>
      </c>
      <c r="AN41" s="1">
        <v>5.02402044333E11</v>
      </c>
      <c r="AP41" s="1">
        <v>1.0</v>
      </c>
    </row>
    <row r="42" ht="15.75" customHeight="1">
      <c r="A42" s="1" t="s">
        <v>716</v>
      </c>
      <c r="B42" s="1" t="str">
        <f>IFERROR(__xludf.DUMMYFUNCTION("AI(Prompt!$B$21,A42)"),"Авокадо Трейд Компани")</f>
        <v>Авокадо Трейд Компани</v>
      </c>
      <c r="C42" s="1" t="str">
        <f>IFERROR(__xludf.DUMMYFUNCTION("AI(Prompt!$B$26,A42:B42)"),"OK")</f>
        <v>OK</v>
      </c>
      <c r="D42" s="1" t="s">
        <v>41</v>
      </c>
      <c r="E42" s="1">
        <v>9.715362252E9</v>
      </c>
      <c r="F42" s="1">
        <v>7.72501001E8</v>
      </c>
      <c r="G42" s="1">
        <v>1.19774656012E12</v>
      </c>
      <c r="H42" s="1" t="s">
        <v>717</v>
      </c>
      <c r="I42" s="3">
        <v>43724.0</v>
      </c>
      <c r="J42" s="1">
        <v>6.0</v>
      </c>
      <c r="K42" s="1" t="s">
        <v>43</v>
      </c>
      <c r="L42" s="1" t="s">
        <v>718</v>
      </c>
      <c r="M42" s="1" t="s">
        <v>719</v>
      </c>
      <c r="N42" s="1" t="s">
        <v>121</v>
      </c>
      <c r="O42" s="1">
        <v>115162.0</v>
      </c>
      <c r="P42" s="1" t="s">
        <v>121</v>
      </c>
      <c r="Q42" s="1" t="s">
        <v>720</v>
      </c>
      <c r="R42" s="1" t="s">
        <v>721</v>
      </c>
      <c r="S42" s="1" t="s">
        <v>722</v>
      </c>
      <c r="Y42" s="1" t="s">
        <v>723</v>
      </c>
      <c r="Z42" s="1" t="s">
        <v>724</v>
      </c>
      <c r="AA42" s="1" t="s">
        <v>725</v>
      </c>
      <c r="AE42" s="1" t="s">
        <v>726</v>
      </c>
      <c r="AF42" s="1">
        <v>544.0</v>
      </c>
      <c r="AG42" s="1">
        <v>13082.0</v>
      </c>
      <c r="AH42" s="1">
        <v>118600.0</v>
      </c>
      <c r="AI42" s="1">
        <v>-447.0</v>
      </c>
      <c r="AJ42" s="1">
        <v>-746.0</v>
      </c>
      <c r="AK42" s="1">
        <v>6905.0</v>
      </c>
      <c r="AL42" s="1" t="s">
        <v>727</v>
      </c>
      <c r="AM42" s="1" t="s">
        <v>728</v>
      </c>
      <c r="AN42" s="1">
        <v>7.90153047323E11</v>
      </c>
      <c r="AO42" s="3">
        <v>45806.0</v>
      </c>
      <c r="AP42" s="1">
        <v>1.0</v>
      </c>
    </row>
    <row r="43" ht="15.75" customHeight="1">
      <c r="A43" s="1" t="s">
        <v>840</v>
      </c>
      <c r="B43" s="1" t="str">
        <f>IFERROR(__xludf.DUMMYFUNCTION("AI(Prompt!$B$21,A43)"),"БФФ")</f>
        <v>БФФ</v>
      </c>
      <c r="C43" s="1" t="str">
        <f>IFERROR(__xludf.DUMMYFUNCTION("AI(Prompt!$B$26,A43:B43)"),"OK")</f>
        <v>OK</v>
      </c>
      <c r="D43" s="1" t="s">
        <v>41</v>
      </c>
      <c r="E43" s="1">
        <v>7.730321835E9</v>
      </c>
      <c r="F43" s="1">
        <v>7.73001001E8</v>
      </c>
      <c r="G43" s="1">
        <v>1.247700309097E12</v>
      </c>
      <c r="H43" s="1" t="s">
        <v>42</v>
      </c>
      <c r="I43" s="3">
        <v>45392.0</v>
      </c>
      <c r="J43" s="1">
        <v>1.0</v>
      </c>
      <c r="K43" s="1" t="s">
        <v>43</v>
      </c>
      <c r="L43" s="1" t="s">
        <v>841</v>
      </c>
      <c r="M43" s="1" t="s">
        <v>842</v>
      </c>
      <c r="N43" s="1" t="s">
        <v>121</v>
      </c>
      <c r="O43" s="1">
        <v>121087.0</v>
      </c>
      <c r="P43" s="1" t="s">
        <v>121</v>
      </c>
      <c r="Q43" s="1" t="s">
        <v>843</v>
      </c>
      <c r="Y43" s="1" t="s">
        <v>844</v>
      </c>
      <c r="AE43" s="1" t="s">
        <v>845</v>
      </c>
      <c r="AF43" s="1">
        <v>0.0</v>
      </c>
      <c r="AG43" s="1">
        <v>0.0</v>
      </c>
      <c r="AI43" s="1">
        <v>-5995.0</v>
      </c>
      <c r="AJ43" s="1">
        <v>0.0</v>
      </c>
      <c r="AL43" s="1" t="s">
        <v>846</v>
      </c>
      <c r="AM43" s="1" t="s">
        <v>78</v>
      </c>
      <c r="AN43" s="1">
        <v>6.67472181598E11</v>
      </c>
      <c r="AO43" s="3">
        <v>45392.0</v>
      </c>
      <c r="AP43" s="1">
        <v>2.0</v>
      </c>
    </row>
    <row r="44" ht="15.75" customHeight="1">
      <c r="A44" s="1" t="s">
        <v>491</v>
      </c>
      <c r="B44" s="1" t="str">
        <f>IFERROR(__xludf.DUMMYFUNCTION("AI(Prompt!$B$21,A44)"),"Биоальфа")</f>
        <v>Биоальфа</v>
      </c>
      <c r="C44" s="1" t="str">
        <f>IFERROR(__xludf.DUMMYFUNCTION("AI(Prompt!$B$26,A44:B44)"),"OK")</f>
        <v>OK</v>
      </c>
      <c r="D44" s="1" t="s">
        <v>41</v>
      </c>
      <c r="E44" s="1">
        <v>5.018202945E9</v>
      </c>
      <c r="F44" s="1">
        <v>5.01801001E8</v>
      </c>
      <c r="G44" s="1">
        <v>1.205000006837E12</v>
      </c>
      <c r="H44" s="1" t="s">
        <v>42</v>
      </c>
      <c r="I44" s="3">
        <v>43858.0</v>
      </c>
      <c r="J44" s="1">
        <v>6.0</v>
      </c>
      <c r="K44" s="1" t="s">
        <v>43</v>
      </c>
      <c r="L44" s="1" t="s">
        <v>492</v>
      </c>
      <c r="M44" s="1" t="s">
        <v>493</v>
      </c>
      <c r="N44" s="1" t="s">
        <v>46</v>
      </c>
      <c r="O44" s="1">
        <v>141069.0</v>
      </c>
      <c r="P44" s="1" t="s">
        <v>428</v>
      </c>
      <c r="Q44" s="1" t="s">
        <v>494</v>
      </c>
      <c r="AE44" s="1" t="s">
        <v>495</v>
      </c>
      <c r="AF44" s="1">
        <v>9726.0</v>
      </c>
      <c r="AG44" s="1">
        <v>0.0</v>
      </c>
      <c r="AH44" s="1">
        <v>1564.0</v>
      </c>
      <c r="AI44" s="1">
        <v>6505.0</v>
      </c>
      <c r="AJ44" s="1">
        <v>3868.0</v>
      </c>
      <c r="AK44" s="1">
        <v>-3955.0</v>
      </c>
      <c r="AL44" s="1" t="s">
        <v>496</v>
      </c>
      <c r="AM44" s="1" t="s">
        <v>61</v>
      </c>
      <c r="AN44" s="1">
        <v>7.71411824881E11</v>
      </c>
      <c r="AO44" s="3">
        <v>45687.0</v>
      </c>
      <c r="AP44" s="1">
        <v>1.0</v>
      </c>
    </row>
    <row r="45" ht="15.75" customHeight="1">
      <c r="A45" s="1" t="s">
        <v>640</v>
      </c>
      <c r="B45" s="1" t="str">
        <f>IFERROR(__xludf.DUMMYFUNCTION("AI(Prompt!$B$21,A45)"),"Биология")</f>
        <v>Биология</v>
      </c>
      <c r="C45" s="1" t="str">
        <f>IFERROR(__xludf.DUMMYFUNCTION("AI(Prompt!$B$26,A45:B45)"),"OK")</f>
        <v>OK</v>
      </c>
      <c r="D45" s="1" t="s">
        <v>41</v>
      </c>
      <c r="E45" s="1">
        <v>5.017128551E9</v>
      </c>
      <c r="F45" s="1">
        <v>5.01701001E8</v>
      </c>
      <c r="G45" s="1">
        <v>1.225000051616E12</v>
      </c>
      <c r="H45" s="1" t="s">
        <v>42</v>
      </c>
      <c r="I45" s="3">
        <v>44706.0</v>
      </c>
      <c r="J45" s="1">
        <v>3.0</v>
      </c>
      <c r="K45" s="1" t="s">
        <v>43</v>
      </c>
      <c r="L45" s="1" t="s">
        <v>641</v>
      </c>
      <c r="M45" s="1" t="s">
        <v>642</v>
      </c>
      <c r="N45" s="1" t="s">
        <v>46</v>
      </c>
      <c r="O45" s="1">
        <v>143502.0</v>
      </c>
      <c r="P45" s="1" t="s">
        <v>643</v>
      </c>
      <c r="Q45" s="1" t="s">
        <v>644</v>
      </c>
      <c r="Y45" s="1" t="s">
        <v>645</v>
      </c>
      <c r="AE45" s="1" t="s">
        <v>646</v>
      </c>
      <c r="AF45" s="1">
        <v>3938.0</v>
      </c>
      <c r="AG45" s="1">
        <v>1007.0</v>
      </c>
      <c r="AH45" s="1">
        <v>0.0</v>
      </c>
      <c r="AI45" s="1">
        <v>-1438.0</v>
      </c>
      <c r="AJ45" s="1">
        <v>-2076.0</v>
      </c>
      <c r="AK45" s="1">
        <v>0.0</v>
      </c>
      <c r="AL45" s="1" t="s">
        <v>647</v>
      </c>
      <c r="AM45" s="1" t="s">
        <v>61</v>
      </c>
      <c r="AN45" s="1">
        <v>3.50700083228E11</v>
      </c>
      <c r="AO45" s="3">
        <v>44706.0</v>
      </c>
      <c r="AP45" s="1">
        <v>2.0</v>
      </c>
    </row>
    <row r="46" ht="15.75" customHeight="1">
      <c r="A46" s="1" t="s">
        <v>1444</v>
      </c>
      <c r="B46" s="1" t="str">
        <f>IFERROR(__xludf.DUMMYFUNCTION("AI(Prompt!$B$21,A46)"),"ИП Байкина")</f>
        <v>ИП Байкина</v>
      </c>
      <c r="C46" s="1" t="str">
        <f>IFERROR(__xludf.DUMMYFUNCTION("AI(Prompt!$B$26,A46:B46)"),"OK")</f>
        <v>OK</v>
      </c>
      <c r="D46" s="1" t="s">
        <v>864</v>
      </c>
      <c r="E46" s="1">
        <v>7.72774518907E11</v>
      </c>
      <c r="G46" s="1">
        <v>3.23774600692381E14</v>
      </c>
      <c r="H46" s="1" t="s">
        <v>42</v>
      </c>
      <c r="I46" s="3">
        <v>45220.0</v>
      </c>
      <c r="J46" s="1">
        <v>2.0</v>
      </c>
      <c r="K46" s="1" t="s">
        <v>43</v>
      </c>
      <c r="L46" s="1" t="s">
        <v>1445</v>
      </c>
      <c r="M46" s="1" t="s">
        <v>1446</v>
      </c>
      <c r="N46" s="1" t="s">
        <v>121</v>
      </c>
      <c r="Q46" s="1" t="s">
        <v>1447</v>
      </c>
      <c r="Y46" s="1" t="s">
        <v>1448</v>
      </c>
      <c r="AL46" s="1" t="s">
        <v>1444</v>
      </c>
      <c r="AN46" s="1">
        <v>7.72774518907E11</v>
      </c>
      <c r="AP46" s="1">
        <v>2.0</v>
      </c>
    </row>
    <row r="47" ht="15.75" customHeight="1">
      <c r="A47" s="1" t="s">
        <v>1356</v>
      </c>
      <c r="B47" s="1" t="str">
        <f>IFERROR(__xludf.DUMMYFUNCTION("AI(Prompt!$B$21,A47)"),"ИП Меньшиков")</f>
        <v>ИП Меньшиков</v>
      </c>
      <c r="C47" s="1" t="str">
        <f>IFERROR(__xludf.DUMMYFUNCTION("AI(Prompt!$B$26,A47:B47)"),"OK")</f>
        <v>OK</v>
      </c>
      <c r="D47" s="1" t="s">
        <v>864</v>
      </c>
      <c r="E47" s="1">
        <v>7.72377120309E11</v>
      </c>
      <c r="G47" s="1">
        <v>3.2077460035033E14</v>
      </c>
      <c r="H47" s="1" t="s">
        <v>42</v>
      </c>
      <c r="I47" s="3">
        <v>44076.0</v>
      </c>
      <c r="J47" s="1">
        <v>5.0</v>
      </c>
      <c r="K47" s="1" t="s">
        <v>43</v>
      </c>
      <c r="L47" s="1" t="s">
        <v>1357</v>
      </c>
      <c r="M47" s="1" t="s">
        <v>1358</v>
      </c>
      <c r="N47" s="1" t="s">
        <v>121</v>
      </c>
      <c r="Q47" s="1" t="s">
        <v>1359</v>
      </c>
      <c r="Y47" s="1" t="s">
        <v>1360</v>
      </c>
      <c r="AL47" s="1" t="s">
        <v>1356</v>
      </c>
      <c r="AN47" s="1">
        <v>7.72377120309E11</v>
      </c>
      <c r="AP47" s="1">
        <v>1.0</v>
      </c>
    </row>
    <row r="48" ht="15.75" customHeight="1">
      <c r="A48" s="1" t="s">
        <v>128</v>
      </c>
      <c r="B48" s="1" t="str">
        <f>IFERROR(__xludf.DUMMYFUNCTION("AI(Prompt!$B$21,A48)"),"Компания Зоогурман")</f>
        <v>Компания Зоогурман</v>
      </c>
      <c r="C48" s="1" t="str">
        <f>IFERROR(__xludf.DUMMYFUNCTION("AI(Prompt!$B$26,A48:B48)"),"OK")</f>
        <v>OK</v>
      </c>
      <c r="D48" s="1" t="s">
        <v>41</v>
      </c>
      <c r="E48" s="1">
        <v>7.718764407E9</v>
      </c>
      <c r="F48" s="1">
        <v>7.71801001E8</v>
      </c>
      <c r="G48" s="1">
        <v>1.097746301861E12</v>
      </c>
      <c r="H48" s="1" t="s">
        <v>42</v>
      </c>
      <c r="I48" s="3">
        <v>39953.0</v>
      </c>
      <c r="J48" s="1">
        <v>16.0</v>
      </c>
      <c r="K48" s="1" t="s">
        <v>43</v>
      </c>
      <c r="L48" s="1" t="s">
        <v>129</v>
      </c>
      <c r="M48" s="1" t="s">
        <v>130</v>
      </c>
      <c r="N48" s="1" t="s">
        <v>121</v>
      </c>
      <c r="O48" s="1">
        <v>107076.0</v>
      </c>
      <c r="P48" s="1" t="s">
        <v>121</v>
      </c>
      <c r="Q48" s="1" t="s">
        <v>131</v>
      </c>
      <c r="R48" s="1" t="s">
        <v>132</v>
      </c>
      <c r="S48" s="1" t="s">
        <v>133</v>
      </c>
      <c r="T48" s="1" t="s">
        <v>134</v>
      </c>
      <c r="U48" s="1" t="s">
        <v>135</v>
      </c>
      <c r="V48" s="1" t="s">
        <v>136</v>
      </c>
      <c r="W48" s="1" t="s">
        <v>137</v>
      </c>
      <c r="X48" s="1" t="s">
        <v>138</v>
      </c>
      <c r="Y48" s="1" t="s">
        <v>139</v>
      </c>
      <c r="Z48" s="1" t="s">
        <v>140</v>
      </c>
      <c r="AA48" s="1" t="s">
        <v>141</v>
      </c>
      <c r="AB48" s="1" t="s">
        <v>142</v>
      </c>
      <c r="AE48" s="1" t="s">
        <v>143</v>
      </c>
      <c r="AF48" s="1">
        <v>472170.0</v>
      </c>
      <c r="AG48" s="1">
        <v>531721.0</v>
      </c>
      <c r="AH48" s="1">
        <v>641778.0</v>
      </c>
      <c r="AI48" s="1">
        <v>44623.0</v>
      </c>
      <c r="AJ48" s="1">
        <v>54386.0</v>
      </c>
      <c r="AK48" s="1">
        <v>67562.0</v>
      </c>
      <c r="AL48" s="1" t="s">
        <v>144</v>
      </c>
      <c r="AM48" s="1" t="s">
        <v>61</v>
      </c>
      <c r="AN48" s="1">
        <v>7.72073773218E11</v>
      </c>
      <c r="AO48" s="3">
        <v>39953.0</v>
      </c>
      <c r="AP48" s="1">
        <v>1.0</v>
      </c>
    </row>
    <row r="49" ht="15.75" customHeight="1">
      <c r="A49" s="1" t="s">
        <v>176</v>
      </c>
      <c r="B49" s="1" t="str">
        <f>IFERROR(__xludf.DUMMYFUNCTION("AI(Prompt!$B$21,A49)"),"Бадис")</f>
        <v>Бадис</v>
      </c>
      <c r="C49" s="1" t="str">
        <f>IFERROR(__xludf.DUMMYFUNCTION("AI(Prompt!$B$26,A49:B49)"),"OK")</f>
        <v>OK</v>
      </c>
      <c r="D49" s="1" t="s">
        <v>41</v>
      </c>
      <c r="E49" s="1">
        <v>9.718124376E9</v>
      </c>
      <c r="F49" s="1">
        <v>7.71801001E8</v>
      </c>
      <c r="G49" s="1">
        <v>1.197746011385E12</v>
      </c>
      <c r="H49" s="1" t="s">
        <v>42</v>
      </c>
      <c r="I49" s="3">
        <v>43481.0</v>
      </c>
      <c r="J49" s="1">
        <v>7.0</v>
      </c>
      <c r="K49" s="1" t="s">
        <v>43</v>
      </c>
      <c r="L49" s="1" t="s">
        <v>177</v>
      </c>
      <c r="M49" s="1" t="s">
        <v>178</v>
      </c>
      <c r="N49" s="1" t="s">
        <v>121</v>
      </c>
      <c r="O49" s="1">
        <v>107023.0</v>
      </c>
      <c r="P49" s="1" t="s">
        <v>121</v>
      </c>
      <c r="Q49" s="1" t="s">
        <v>179</v>
      </c>
      <c r="R49" s="1" t="s">
        <v>180</v>
      </c>
      <c r="S49" s="1" t="s">
        <v>181</v>
      </c>
      <c r="T49" s="1" t="s">
        <v>182</v>
      </c>
      <c r="U49" s="1" t="s">
        <v>183</v>
      </c>
      <c r="Y49" s="1" t="s">
        <v>184</v>
      </c>
      <c r="AE49" s="1" t="s">
        <v>185</v>
      </c>
      <c r="AF49" s="1">
        <v>365799.0</v>
      </c>
      <c r="AG49" s="1">
        <v>289376.0</v>
      </c>
      <c r="AH49" s="1">
        <v>224139.0</v>
      </c>
      <c r="AI49" s="1">
        <v>16763.0</v>
      </c>
      <c r="AJ49" s="1">
        <v>15575.0</v>
      </c>
      <c r="AK49" s="1">
        <v>10740.0</v>
      </c>
      <c r="AL49" s="1" t="s">
        <v>186</v>
      </c>
      <c r="AM49" s="1" t="s">
        <v>61</v>
      </c>
      <c r="AN49" s="1">
        <v>7.7188579055E11</v>
      </c>
      <c r="AO49" s="3">
        <v>43481.0</v>
      </c>
      <c r="AP49" s="1">
        <v>1.0</v>
      </c>
    </row>
    <row r="50" ht="15.75" customHeight="1">
      <c r="A50" s="1" t="s">
        <v>481</v>
      </c>
      <c r="B50" s="1" t="str">
        <f>IFERROR(__xludf.DUMMYFUNCTION("AI(Prompt!$B$21,A50)"),"Воля Веар")</f>
        <v>Воля Веар</v>
      </c>
      <c r="C50" s="1" t="str">
        <f>IFERROR(__xludf.DUMMYFUNCTION("AI(Prompt!$B$26,A50:B50)"),"OK")</f>
        <v>OK</v>
      </c>
      <c r="D50" s="1" t="s">
        <v>41</v>
      </c>
      <c r="E50" s="1">
        <v>7.727425986E9</v>
      </c>
      <c r="F50" s="1">
        <v>7.72701001E8</v>
      </c>
      <c r="G50" s="1">
        <v>1.197746512688E12</v>
      </c>
      <c r="H50" s="1" t="s">
        <v>42</v>
      </c>
      <c r="I50" s="3">
        <v>43693.0</v>
      </c>
      <c r="J50" s="1">
        <v>6.0</v>
      </c>
      <c r="K50" s="1" t="s">
        <v>43</v>
      </c>
      <c r="L50" s="1" t="s">
        <v>482</v>
      </c>
      <c r="M50" s="1" t="s">
        <v>483</v>
      </c>
      <c r="N50" s="1" t="s">
        <v>121</v>
      </c>
      <c r="O50" s="1">
        <v>117418.0</v>
      </c>
      <c r="P50" s="1" t="s">
        <v>121</v>
      </c>
      <c r="Q50" s="1" t="s">
        <v>484</v>
      </c>
      <c r="R50" s="1" t="s">
        <v>485</v>
      </c>
      <c r="U50" s="1" t="s">
        <v>486</v>
      </c>
      <c r="Y50" s="1" t="s">
        <v>487</v>
      </c>
      <c r="Z50" s="1" t="s">
        <v>488</v>
      </c>
      <c r="AE50" s="1" t="s">
        <v>489</v>
      </c>
      <c r="AF50" s="1">
        <v>10009.0</v>
      </c>
      <c r="AG50" s="1">
        <v>9416.0</v>
      </c>
      <c r="AH50" s="1">
        <v>17498.0</v>
      </c>
      <c r="AI50" s="1">
        <v>-1097.0</v>
      </c>
      <c r="AJ50" s="1">
        <v>-3162.0</v>
      </c>
      <c r="AK50" s="1">
        <v>496.0</v>
      </c>
      <c r="AL50" s="1" t="s">
        <v>490</v>
      </c>
      <c r="AM50" s="1" t="s">
        <v>61</v>
      </c>
      <c r="AN50" s="1">
        <v>6.32149025143E11</v>
      </c>
      <c r="AO50" s="3">
        <v>45884.0</v>
      </c>
      <c r="AP50" s="1">
        <v>1.0</v>
      </c>
    </row>
    <row r="51" ht="15.75" customHeight="1">
      <c r="A51" s="1" t="s">
        <v>953</v>
      </c>
      <c r="B51" s="1" t="str">
        <f>IFERROR(__xludf.DUMMYFUNCTION("AI(Prompt!$B$21,A51)"),"ИП Бурдейный")</f>
        <v>ИП Бурдейный</v>
      </c>
      <c r="C51" s="1" t="str">
        <f>IFERROR(__xludf.DUMMYFUNCTION("AI(Prompt!$B$26,A51:B51)"),"OK")</f>
        <v>OK</v>
      </c>
      <c r="D51" s="1" t="s">
        <v>864</v>
      </c>
      <c r="E51" s="1">
        <v>7.80110118213E11</v>
      </c>
      <c r="G51" s="1">
        <v>3.21508100627212E14</v>
      </c>
      <c r="H51" s="1" t="s">
        <v>42</v>
      </c>
      <c r="I51" s="3">
        <v>44540.0</v>
      </c>
      <c r="J51" s="1">
        <v>4.0</v>
      </c>
      <c r="K51" s="1" t="s">
        <v>43</v>
      </c>
      <c r="L51" s="1" t="s">
        <v>954</v>
      </c>
      <c r="M51" s="1" t="s">
        <v>955</v>
      </c>
      <c r="N51" s="1" t="s">
        <v>46</v>
      </c>
      <c r="P51" s="1" t="s">
        <v>956</v>
      </c>
      <c r="Q51" s="1" t="s">
        <v>957</v>
      </c>
      <c r="R51" s="1" t="s">
        <v>958</v>
      </c>
      <c r="U51" s="1" t="s">
        <v>959</v>
      </c>
      <c r="Y51" s="1" t="s">
        <v>960</v>
      </c>
      <c r="AL51" s="1" t="s">
        <v>953</v>
      </c>
      <c r="AN51" s="1">
        <v>7.80110118213E11</v>
      </c>
      <c r="AP51" s="1">
        <v>1.0</v>
      </c>
    </row>
    <row r="52" ht="15.75" customHeight="1">
      <c r="A52" s="1" t="s">
        <v>1059</v>
      </c>
      <c r="B52" s="1" t="str">
        <f>IFERROR(__xludf.DUMMYFUNCTION("AI(Prompt!$B$21,A52)"),"ИП Бакова")</f>
        <v>ИП Бакова</v>
      </c>
      <c r="C52" s="1" t="str">
        <f>IFERROR(__xludf.DUMMYFUNCTION("AI(Prompt!$B$26,A52:B52)"),"OK")</f>
        <v>OK</v>
      </c>
      <c r="D52" s="1" t="s">
        <v>864</v>
      </c>
      <c r="E52" s="1">
        <v>5.71502794371E11</v>
      </c>
      <c r="G52" s="1">
        <v>3.2350810036152E14</v>
      </c>
      <c r="H52" s="1" t="s">
        <v>42</v>
      </c>
      <c r="I52" s="3">
        <v>45114.0</v>
      </c>
      <c r="J52" s="1">
        <v>2.0</v>
      </c>
      <c r="K52" s="1" t="s">
        <v>43</v>
      </c>
      <c r="L52" s="1" t="s">
        <v>1060</v>
      </c>
      <c r="M52" s="1" t="s">
        <v>1061</v>
      </c>
      <c r="N52" s="1" t="s">
        <v>46</v>
      </c>
      <c r="P52" s="1" t="s">
        <v>1062</v>
      </c>
      <c r="Q52" s="1" t="s">
        <v>1063</v>
      </c>
      <c r="R52" s="1" t="s">
        <v>1064</v>
      </c>
      <c r="Y52" s="1" t="s">
        <v>1065</v>
      </c>
      <c r="AL52" s="1" t="s">
        <v>1059</v>
      </c>
      <c r="AN52" s="1">
        <v>5.71502794371E11</v>
      </c>
      <c r="AP52" s="1">
        <v>2.0</v>
      </c>
    </row>
    <row r="53" ht="15.75" customHeight="1">
      <c r="A53" s="1" t="s">
        <v>469</v>
      </c>
      <c r="B53" s="1" t="str">
        <f>IFERROR(__xludf.DUMMYFUNCTION("AI(Prompt!$B$21,A53)"),"Кэт Кузин")</f>
        <v>Кэт Кузин</v>
      </c>
      <c r="C53" s="1" t="str">
        <f>IFERROR(__xludf.DUMMYFUNCTION("AI(Prompt!$B$26,A53:B53)"),"OK")</f>
        <v>OK</v>
      </c>
      <c r="D53" s="1" t="s">
        <v>41</v>
      </c>
      <c r="E53" s="1">
        <v>5.032325441E9</v>
      </c>
      <c r="F53" s="1">
        <v>7.73101001E8</v>
      </c>
      <c r="G53" s="1">
        <v>1.215000011368E12</v>
      </c>
      <c r="H53" s="1" t="s">
        <v>42</v>
      </c>
      <c r="I53" s="3">
        <v>44236.0</v>
      </c>
      <c r="J53" s="1">
        <v>5.0</v>
      </c>
      <c r="K53" s="1" t="s">
        <v>43</v>
      </c>
      <c r="L53" s="1" t="s">
        <v>470</v>
      </c>
      <c r="M53" s="1" t="s">
        <v>471</v>
      </c>
      <c r="N53" s="1" t="s">
        <v>121</v>
      </c>
      <c r="O53" s="1">
        <v>121357.0</v>
      </c>
      <c r="P53" s="1" t="s">
        <v>121</v>
      </c>
      <c r="Q53" s="1" t="s">
        <v>472</v>
      </c>
      <c r="R53" s="1" t="s">
        <v>473</v>
      </c>
      <c r="S53" s="1" t="s">
        <v>474</v>
      </c>
      <c r="U53" s="1" t="s">
        <v>475</v>
      </c>
      <c r="V53" s="1" t="s">
        <v>476</v>
      </c>
      <c r="Y53" s="1" t="s">
        <v>477</v>
      </c>
      <c r="Z53" s="1" t="s">
        <v>478</v>
      </c>
      <c r="AE53" s="1" t="s">
        <v>479</v>
      </c>
      <c r="AF53" s="1">
        <v>10232.0</v>
      </c>
      <c r="AG53" s="1">
        <v>4311.0</v>
      </c>
      <c r="AH53" s="1">
        <v>698.0</v>
      </c>
      <c r="AI53" s="1">
        <v>18.0</v>
      </c>
      <c r="AJ53" s="1">
        <v>29.0</v>
      </c>
      <c r="AK53" s="1">
        <v>-486.0</v>
      </c>
      <c r="AL53" s="1" t="s">
        <v>480</v>
      </c>
      <c r="AM53" s="1" t="s">
        <v>61</v>
      </c>
      <c r="AN53" s="1">
        <v>3.435163246E11</v>
      </c>
      <c r="AO53" s="3">
        <v>44236.0</v>
      </c>
      <c r="AP53" s="1">
        <v>2.0</v>
      </c>
    </row>
    <row r="54" ht="15.75" customHeight="1">
      <c r="A54" s="1" t="s">
        <v>1163</v>
      </c>
      <c r="B54" s="1" t="str">
        <f>IFERROR(__xludf.DUMMYFUNCTION("AI(Prompt!$B$21,A54)"),"Русагроист")</f>
        <v>Русагроист</v>
      </c>
      <c r="C54" s="1" t="str">
        <f>IFERROR(__xludf.DUMMYFUNCTION("AI(Prompt!$B$26,A54:B54)"),"OK")</f>
        <v>OK</v>
      </c>
      <c r="D54" s="1" t="s">
        <v>41</v>
      </c>
      <c r="E54" s="1">
        <v>7.733474477E9</v>
      </c>
      <c r="F54" s="1">
        <v>7.73301001E8</v>
      </c>
      <c r="G54" s="1">
        <v>1.257700386382E12</v>
      </c>
      <c r="H54" s="1" t="s">
        <v>42</v>
      </c>
      <c r="I54" s="3">
        <v>45898.0</v>
      </c>
      <c r="J54" s="1">
        <v>0.0</v>
      </c>
      <c r="K54" s="1" t="s">
        <v>43</v>
      </c>
      <c r="L54" s="1" t="s">
        <v>1164</v>
      </c>
      <c r="M54" s="1" t="s">
        <v>1165</v>
      </c>
      <c r="N54" s="1" t="s">
        <v>121</v>
      </c>
      <c r="O54" s="1">
        <v>125362.0</v>
      </c>
      <c r="P54" s="1" t="s">
        <v>121</v>
      </c>
      <c r="Q54" s="1" t="s">
        <v>1166</v>
      </c>
      <c r="R54" s="1" t="s">
        <v>1167</v>
      </c>
      <c r="AE54" s="1" t="s">
        <v>1168</v>
      </c>
      <c r="AL54" s="1" t="s">
        <v>1169</v>
      </c>
      <c r="AM54" s="1" t="s">
        <v>61</v>
      </c>
      <c r="AN54" s="1">
        <v>5.02240136965E11</v>
      </c>
      <c r="AO54" s="3">
        <v>45898.0</v>
      </c>
      <c r="AP54" s="1">
        <v>1.0</v>
      </c>
    </row>
    <row r="55" ht="15.75" customHeight="1">
      <c r="A55" s="1" t="s">
        <v>1127</v>
      </c>
      <c r="B55" s="1" t="str">
        <f>IFERROR(__xludf.DUMMYFUNCTION("AI(Prompt!$B$21,A55)"),"Наши Корма")</f>
        <v>Наши Корма</v>
      </c>
      <c r="C55" s="1" t="str">
        <f>IFERROR(__xludf.DUMMYFUNCTION("AI(Prompt!$B$26,A55:B55)"),"OK")</f>
        <v>OK</v>
      </c>
      <c r="D55" s="1" t="s">
        <v>41</v>
      </c>
      <c r="E55" s="1">
        <v>5.07408019E9</v>
      </c>
      <c r="F55" s="1">
        <v>5.07401001E8</v>
      </c>
      <c r="G55" s="1">
        <v>1.235000021717E12</v>
      </c>
      <c r="H55" s="1" t="s">
        <v>42</v>
      </c>
      <c r="I55" s="3">
        <v>44979.0</v>
      </c>
      <c r="J55" s="1">
        <v>2.0</v>
      </c>
      <c r="K55" s="1" t="s">
        <v>43</v>
      </c>
      <c r="L55" s="1" t="s">
        <v>1128</v>
      </c>
      <c r="M55" s="1" t="s">
        <v>1129</v>
      </c>
      <c r="N55" s="1" t="s">
        <v>46</v>
      </c>
      <c r="O55" s="1">
        <v>142105.0</v>
      </c>
      <c r="P55" s="1" t="s">
        <v>914</v>
      </c>
      <c r="Q55" s="1" t="s">
        <v>1130</v>
      </c>
      <c r="Y55" s="1" t="s">
        <v>1131</v>
      </c>
      <c r="AE55" s="1" t="s">
        <v>1132</v>
      </c>
      <c r="AL55" s="1" t="s">
        <v>1019</v>
      </c>
      <c r="AM55" s="1" t="s">
        <v>61</v>
      </c>
      <c r="AN55" s="1">
        <v>5.03610686333E11</v>
      </c>
      <c r="AO55" s="3">
        <v>44979.0</v>
      </c>
      <c r="AP55" s="1">
        <v>2.0</v>
      </c>
    </row>
    <row r="56" ht="15.75" customHeight="1">
      <c r="A56" s="1" t="s">
        <v>1178</v>
      </c>
      <c r="B56" s="1" t="str">
        <f>IFERROR(__xludf.DUMMYFUNCTION("AI(Prompt!$B$21,A56)"),"ИП Афонин")</f>
        <v>ИП Афонин</v>
      </c>
      <c r="C56" s="1" t="str">
        <f>IFERROR(__xludf.DUMMYFUNCTION("AI(Prompt!$B$26,A56:B56)"),"OK")</f>
        <v>OK</v>
      </c>
      <c r="D56" s="1" t="s">
        <v>864</v>
      </c>
      <c r="E56" s="1">
        <v>7.71819244573E11</v>
      </c>
      <c r="G56" s="1">
        <v>3.19774600277611E14</v>
      </c>
      <c r="H56" s="1" t="s">
        <v>42</v>
      </c>
      <c r="I56" s="3">
        <v>43585.0</v>
      </c>
      <c r="J56" s="1">
        <v>6.0</v>
      </c>
      <c r="K56" s="1" t="s">
        <v>43</v>
      </c>
      <c r="L56" s="1" t="s">
        <v>1179</v>
      </c>
      <c r="M56" s="1" t="s">
        <v>1180</v>
      </c>
      <c r="N56" s="1" t="s">
        <v>121</v>
      </c>
      <c r="Q56" s="1" t="s">
        <v>1181</v>
      </c>
      <c r="AL56" s="1" t="s">
        <v>1178</v>
      </c>
      <c r="AN56" s="1">
        <v>7.71819244573E11</v>
      </c>
      <c r="AP56" s="1">
        <v>1.0</v>
      </c>
    </row>
    <row r="57" ht="15.75" customHeight="1">
      <c r="A57" s="1" t="s">
        <v>884</v>
      </c>
      <c r="B57" s="1" t="str">
        <f>IFERROR(__xludf.DUMMYFUNCTION("AI(Prompt!$B$21,A57)"),"ИП Ченцов")</f>
        <v>ИП Ченцов</v>
      </c>
      <c r="C57" s="1" t="str">
        <f>IFERROR(__xludf.DUMMYFUNCTION("AI(Prompt!$B$26,A57:B57)"),"OK")</f>
        <v>OK</v>
      </c>
      <c r="D57" s="1" t="s">
        <v>864</v>
      </c>
      <c r="E57" s="1">
        <v>5.02478272756E11</v>
      </c>
      <c r="G57" s="1">
        <v>3.25508100742848E14</v>
      </c>
      <c r="H57" s="1" t="s">
        <v>42</v>
      </c>
      <c r="I57" s="3">
        <v>46007.0</v>
      </c>
      <c r="J57" s="1">
        <v>0.0</v>
      </c>
      <c r="K57" s="1" t="s">
        <v>43</v>
      </c>
      <c r="L57" s="1" t="s">
        <v>885</v>
      </c>
      <c r="N57" s="1" t="s">
        <v>46</v>
      </c>
      <c r="Q57" s="1" t="s">
        <v>886</v>
      </c>
      <c r="AL57" s="1" t="s">
        <v>884</v>
      </c>
      <c r="AN57" s="1">
        <v>5.02478272756E11</v>
      </c>
      <c r="AP57" s="1">
        <v>1.0</v>
      </c>
    </row>
    <row r="58" ht="15.75" customHeight="1">
      <c r="A58" s="1" t="s">
        <v>1404</v>
      </c>
      <c r="B58" s="1" t="str">
        <f>IFERROR(__xludf.DUMMYFUNCTION("AI(Prompt!$B$21,A58)"),"ИП Аксютин")</f>
        <v>ИП Аксютин</v>
      </c>
      <c r="C58" s="1" t="str">
        <f>IFERROR(__xludf.DUMMYFUNCTION("AI(Prompt!$B$26,A58:B58)"),"OK")</f>
        <v>OK</v>
      </c>
      <c r="D58" s="1" t="s">
        <v>864</v>
      </c>
      <c r="E58" s="1">
        <v>7.70301592361E11</v>
      </c>
      <c r="G58" s="1">
        <v>3.227746002923E14</v>
      </c>
      <c r="H58" s="1" t="s">
        <v>42</v>
      </c>
      <c r="I58" s="3">
        <v>44692.0</v>
      </c>
      <c r="J58" s="1">
        <v>3.0</v>
      </c>
      <c r="K58" s="1" t="s">
        <v>43</v>
      </c>
      <c r="L58" s="1" t="s">
        <v>1405</v>
      </c>
      <c r="M58" s="1" t="s">
        <v>1406</v>
      </c>
      <c r="N58" s="1" t="s">
        <v>121</v>
      </c>
      <c r="Q58" s="1" t="s">
        <v>1407</v>
      </c>
      <c r="Y58" s="1" t="s">
        <v>1408</v>
      </c>
      <c r="AL58" s="1" t="s">
        <v>1404</v>
      </c>
      <c r="AN58" s="1">
        <v>7.70301592361E11</v>
      </c>
      <c r="AP58" s="1">
        <v>1.0</v>
      </c>
    </row>
    <row r="59" ht="15.75" customHeight="1">
      <c r="A59" s="1" t="s">
        <v>1466</v>
      </c>
      <c r="B59" s="1" t="str">
        <f>IFERROR(__xludf.DUMMYFUNCTION("AI(Prompt!$B$21,A59)"),"ИП Пушкин")</f>
        <v>ИП Пушкин</v>
      </c>
      <c r="C59" s="1" t="str">
        <f>IFERROR(__xludf.DUMMYFUNCTION("AI(Prompt!$B$26,A59:B59)"),"OK")</f>
        <v>OK</v>
      </c>
      <c r="D59" s="1" t="s">
        <v>864</v>
      </c>
      <c r="E59" s="1">
        <v>6.14301347824E11</v>
      </c>
      <c r="G59" s="1">
        <v>3.15774600294488E14</v>
      </c>
      <c r="H59" s="1" t="s">
        <v>42</v>
      </c>
      <c r="I59" s="3">
        <v>42249.0</v>
      </c>
      <c r="J59" s="1">
        <v>10.0</v>
      </c>
      <c r="K59" s="1" t="s">
        <v>43</v>
      </c>
      <c r="L59" s="1" t="s">
        <v>1467</v>
      </c>
      <c r="M59" s="1" t="s">
        <v>1196</v>
      </c>
      <c r="N59" s="1" t="s">
        <v>121</v>
      </c>
      <c r="Q59" s="1" t="s">
        <v>1468</v>
      </c>
      <c r="R59" s="1" t="s">
        <v>1469</v>
      </c>
      <c r="U59" s="1" t="s">
        <v>1470</v>
      </c>
      <c r="Y59" s="1" t="s">
        <v>1471</v>
      </c>
      <c r="AL59" s="1" t="s">
        <v>1466</v>
      </c>
      <c r="AN59" s="1">
        <v>6.14301347824E11</v>
      </c>
      <c r="AP59" s="1">
        <v>1.0</v>
      </c>
    </row>
    <row r="60" ht="15.75" customHeight="1">
      <c r="A60" s="1" t="s">
        <v>756</v>
      </c>
      <c r="B60" s="1" t="str">
        <f>IFERROR(__xludf.DUMMYFUNCTION("AI(Prompt!$B$21,A60)"),"Ретив")</f>
        <v>Ретив</v>
      </c>
      <c r="C60" s="1" t="str">
        <f>IFERROR(__xludf.DUMMYFUNCTION("AI(Prompt!$B$26,A60:B60)"),"OK")</f>
        <v>OK</v>
      </c>
      <c r="D60" s="1" t="s">
        <v>41</v>
      </c>
      <c r="E60" s="1">
        <v>9.726045223E9</v>
      </c>
      <c r="F60" s="1">
        <v>7.72601001E8</v>
      </c>
      <c r="G60" s="1">
        <v>1.23770035114E12</v>
      </c>
      <c r="H60" s="1" t="s">
        <v>42</v>
      </c>
      <c r="I60" s="3">
        <v>45063.0</v>
      </c>
      <c r="J60" s="1">
        <v>2.0</v>
      </c>
      <c r="K60" s="1" t="s">
        <v>43</v>
      </c>
      <c r="L60" s="1" t="s">
        <v>757</v>
      </c>
      <c r="M60" s="1" t="s">
        <v>758</v>
      </c>
      <c r="N60" s="1" t="s">
        <v>121</v>
      </c>
      <c r="O60" s="1">
        <v>117105.0</v>
      </c>
      <c r="P60" s="1" t="s">
        <v>121</v>
      </c>
      <c r="Q60" s="1" t="s">
        <v>759</v>
      </c>
      <c r="R60" s="1" t="s">
        <v>760</v>
      </c>
      <c r="U60" s="1" t="s">
        <v>761</v>
      </c>
      <c r="Y60" s="1" t="s">
        <v>762</v>
      </c>
      <c r="AE60" s="1" t="s">
        <v>763</v>
      </c>
      <c r="AF60" s="1">
        <v>10.0</v>
      </c>
      <c r="AG60" s="1">
        <v>3.0</v>
      </c>
      <c r="AH60" s="1">
        <v>0.0</v>
      </c>
      <c r="AI60" s="1">
        <v>-323.0</v>
      </c>
      <c r="AJ60" s="1">
        <v>-136.0</v>
      </c>
      <c r="AK60" s="1">
        <v>0.0</v>
      </c>
      <c r="AL60" s="1" t="s">
        <v>764</v>
      </c>
      <c r="AM60" s="1" t="s">
        <v>61</v>
      </c>
      <c r="AN60" s="1">
        <v>7.72606254427E11</v>
      </c>
      <c r="AO60" s="3">
        <v>45063.0</v>
      </c>
      <c r="AP60" s="1">
        <v>1.0</v>
      </c>
    </row>
    <row r="61" ht="15.75" customHeight="1">
      <c r="A61" s="1" t="s">
        <v>890</v>
      </c>
      <c r="B61" s="1" t="str">
        <f>IFERROR(__xludf.DUMMYFUNCTION("AI(Prompt!$B$21,A61)"),"ИП Шибаев")</f>
        <v>ИП Шибаев</v>
      </c>
      <c r="C61" s="1" t="str">
        <f>IFERROR(__xludf.DUMMYFUNCTION("AI(Prompt!$B$26,A61:B61)"),"OK")</f>
        <v>OK</v>
      </c>
      <c r="D61" s="1" t="s">
        <v>864</v>
      </c>
      <c r="E61" s="1">
        <v>5.04805866026E11</v>
      </c>
      <c r="G61" s="1">
        <v>3.255081006984E14</v>
      </c>
      <c r="H61" s="1" t="s">
        <v>42</v>
      </c>
      <c r="I61" s="3">
        <v>45994.0</v>
      </c>
      <c r="J61" s="1">
        <v>0.0</v>
      </c>
      <c r="K61" s="1" t="s">
        <v>43</v>
      </c>
      <c r="L61" s="1" t="s">
        <v>891</v>
      </c>
      <c r="N61" s="1" t="s">
        <v>46</v>
      </c>
      <c r="Q61" s="1" t="s">
        <v>892</v>
      </c>
      <c r="AL61" s="1" t="s">
        <v>890</v>
      </c>
      <c r="AN61" s="1">
        <v>5.04805866026E11</v>
      </c>
      <c r="AP61" s="1">
        <v>1.0</v>
      </c>
    </row>
    <row r="62" ht="15.75" customHeight="1">
      <c r="A62" s="1" t="s">
        <v>1449</v>
      </c>
      <c r="B62" s="1" t="str">
        <f>IFERROR(__xludf.DUMMYFUNCTION("AI(Prompt!$B$21,A62)"),"ИП Ушакова")</f>
        <v>ИП Ушакова</v>
      </c>
      <c r="C62" s="1" t="str">
        <f>IFERROR(__xludf.DUMMYFUNCTION("AI(Prompt!$B$26,A62:B62)"),"OK")</f>
        <v>OK</v>
      </c>
      <c r="D62" s="1" t="s">
        <v>864</v>
      </c>
      <c r="E62" s="1">
        <v>7.72421770041E11</v>
      </c>
      <c r="G62" s="1">
        <v>3.19774600124548E14</v>
      </c>
      <c r="H62" s="1" t="s">
        <v>42</v>
      </c>
      <c r="I62" s="3">
        <v>43521.0</v>
      </c>
      <c r="J62" s="1">
        <v>6.0</v>
      </c>
      <c r="K62" s="1" t="s">
        <v>43</v>
      </c>
      <c r="L62" s="1" t="s">
        <v>1450</v>
      </c>
      <c r="M62" s="1" t="s">
        <v>1441</v>
      </c>
      <c r="N62" s="1" t="s">
        <v>121</v>
      </c>
      <c r="Q62" s="1" t="s">
        <v>1451</v>
      </c>
      <c r="R62" s="1" t="s">
        <v>1452</v>
      </c>
      <c r="Y62" s="1" t="s">
        <v>1453</v>
      </c>
      <c r="AL62" s="1" t="s">
        <v>1449</v>
      </c>
      <c r="AN62" s="1">
        <v>7.72421770041E11</v>
      </c>
      <c r="AP62" s="1">
        <v>2.0</v>
      </c>
    </row>
    <row r="63" ht="15.75" customHeight="1">
      <c r="A63" s="1" t="s">
        <v>1225</v>
      </c>
      <c r="B63" s="1" t="str">
        <f>IFERROR(__xludf.DUMMYFUNCTION("AI(Prompt!$B$21,A63)"),"ИП Папин")</f>
        <v>ИП Папин</v>
      </c>
      <c r="C63" s="1" t="str">
        <f>IFERROR(__xludf.DUMMYFUNCTION("AI(Prompt!$B$26,A63:B63)"),"OK")</f>
        <v>OK</v>
      </c>
      <c r="D63" s="1" t="s">
        <v>864</v>
      </c>
      <c r="E63" s="1">
        <v>7.7207336597E11</v>
      </c>
      <c r="G63" s="1">
        <v>3.25774600072654E14</v>
      </c>
      <c r="H63" s="1" t="s">
        <v>42</v>
      </c>
      <c r="I63" s="3">
        <v>45691.0</v>
      </c>
      <c r="J63" s="1">
        <v>1.0</v>
      </c>
      <c r="K63" s="1" t="s">
        <v>43</v>
      </c>
      <c r="L63" s="1" t="s">
        <v>1226</v>
      </c>
      <c r="M63" s="1" t="s">
        <v>1227</v>
      </c>
      <c r="N63" s="1" t="s">
        <v>121</v>
      </c>
      <c r="Q63" s="1" t="s">
        <v>1228</v>
      </c>
      <c r="AL63" s="1" t="s">
        <v>1225</v>
      </c>
      <c r="AN63" s="1">
        <v>7.7207336597E11</v>
      </c>
      <c r="AP63" s="1">
        <v>1.0</v>
      </c>
    </row>
    <row r="64" ht="15.75" customHeight="1">
      <c r="A64" s="1" t="s">
        <v>1281</v>
      </c>
      <c r="B64" s="1" t="str">
        <f>IFERROR(__xludf.DUMMYFUNCTION("AI(Prompt!$B$21,A64)"),"ИП Клишина")</f>
        <v>ИП Клишина</v>
      </c>
      <c r="C64" s="1" t="str">
        <f>IFERROR(__xludf.DUMMYFUNCTION("AI(Prompt!$B$26,A64:B64)"),"OK")</f>
        <v>OK</v>
      </c>
      <c r="D64" s="1" t="s">
        <v>864</v>
      </c>
      <c r="E64" s="1">
        <v>6.83209140524E11</v>
      </c>
      <c r="G64" s="1">
        <v>3.20774600539673E14</v>
      </c>
      <c r="H64" s="1" t="s">
        <v>42</v>
      </c>
      <c r="I64" s="3">
        <v>44188.0</v>
      </c>
      <c r="J64" s="1">
        <v>5.0</v>
      </c>
      <c r="K64" s="1" t="s">
        <v>43</v>
      </c>
      <c r="L64" s="1" t="s">
        <v>1282</v>
      </c>
      <c r="M64" s="1" t="s">
        <v>1283</v>
      </c>
      <c r="N64" s="1" t="s">
        <v>121</v>
      </c>
      <c r="Q64" s="1" t="s">
        <v>1284</v>
      </c>
      <c r="AL64" s="1" t="s">
        <v>1281</v>
      </c>
      <c r="AN64" s="1">
        <v>6.83209140524E11</v>
      </c>
      <c r="AP64" s="1">
        <v>2.0</v>
      </c>
    </row>
    <row r="65" ht="15.75" customHeight="1">
      <c r="A65" s="1" t="s">
        <v>574</v>
      </c>
      <c r="B65" s="1" t="str">
        <f>IFERROR(__xludf.DUMMYFUNCTION("AI(Prompt!$B$21,A65)"),"Консерватор-2")</f>
        <v>Консерватор-2</v>
      </c>
      <c r="C65" s="1" t="str">
        <f>IFERROR(__xludf.DUMMYFUNCTION("AI(Prompt!$B$26,A65:B65)"),"OK")</f>
        <v>OK</v>
      </c>
      <c r="D65" s="1" t="s">
        <v>41</v>
      </c>
      <c r="E65" s="1">
        <v>7.743368083E9</v>
      </c>
      <c r="F65" s="1">
        <v>7.74301001E8</v>
      </c>
      <c r="G65" s="1">
        <v>1.217700489049E12</v>
      </c>
      <c r="H65" s="1" t="s">
        <v>42</v>
      </c>
      <c r="I65" s="3">
        <v>44483.0</v>
      </c>
      <c r="J65" s="1">
        <v>4.0</v>
      </c>
      <c r="K65" s="1" t="s">
        <v>43</v>
      </c>
      <c r="L65" s="1" t="s">
        <v>575</v>
      </c>
      <c r="M65" s="1" t="s">
        <v>576</v>
      </c>
      <c r="N65" s="1" t="s">
        <v>121</v>
      </c>
      <c r="O65" s="1">
        <v>125212.0</v>
      </c>
      <c r="P65" s="1" t="s">
        <v>121</v>
      </c>
      <c r="Q65" s="1" t="s">
        <v>577</v>
      </c>
      <c r="R65" s="1" t="s">
        <v>578</v>
      </c>
      <c r="S65" s="1" t="s">
        <v>579</v>
      </c>
      <c r="Y65" s="1" t="s">
        <v>580</v>
      </c>
      <c r="Z65" s="1" t="s">
        <v>581</v>
      </c>
      <c r="AA65" s="1" t="s">
        <v>582</v>
      </c>
      <c r="AE65" s="1" t="s">
        <v>583</v>
      </c>
      <c r="AF65" s="1">
        <v>6250.0</v>
      </c>
      <c r="AG65" s="1">
        <v>1394.0</v>
      </c>
      <c r="AH65" s="1">
        <v>0.0</v>
      </c>
      <c r="AI65" s="1">
        <v>-2132.0</v>
      </c>
      <c r="AJ65" s="1">
        <v>-2735.0</v>
      </c>
      <c r="AK65" s="1">
        <v>-2125.0</v>
      </c>
      <c r="AL65" s="1" t="s">
        <v>584</v>
      </c>
      <c r="AM65" s="1" t="s">
        <v>61</v>
      </c>
      <c r="AN65" s="1">
        <v>7.74300290164E11</v>
      </c>
      <c r="AO65" s="3">
        <v>44719.0</v>
      </c>
      <c r="AP65" s="1">
        <v>2.0</v>
      </c>
    </row>
    <row r="66" ht="15.75" customHeight="1">
      <c r="A66" s="1" t="s">
        <v>1419</v>
      </c>
      <c r="B66" s="1" t="str">
        <f>IFERROR(__xludf.DUMMYFUNCTION("AI(Prompt!$B$21,A66)"),"ИП Демченко")</f>
        <v>ИП Демченко</v>
      </c>
      <c r="C66" s="1" t="str">
        <f>IFERROR(__xludf.DUMMYFUNCTION("AI(Prompt!$B$26,A66:B66)"),"OK")</f>
        <v>OK</v>
      </c>
      <c r="D66" s="1" t="s">
        <v>864</v>
      </c>
      <c r="E66" s="1">
        <v>7.7182041422E11</v>
      </c>
      <c r="G66" s="1">
        <v>3.22774600420231E14</v>
      </c>
      <c r="H66" s="1" t="s">
        <v>42</v>
      </c>
      <c r="I66" s="3">
        <v>44753.0</v>
      </c>
      <c r="J66" s="1">
        <v>3.0</v>
      </c>
      <c r="K66" s="1" t="s">
        <v>43</v>
      </c>
      <c r="L66" s="1" t="s">
        <v>1420</v>
      </c>
      <c r="M66" s="1" t="s">
        <v>1180</v>
      </c>
      <c r="N66" s="1" t="s">
        <v>121</v>
      </c>
      <c r="Q66" s="1" t="s">
        <v>1421</v>
      </c>
      <c r="R66" s="1" t="s">
        <v>1422</v>
      </c>
      <c r="Y66" s="1" t="s">
        <v>1423</v>
      </c>
      <c r="Z66" s="1" t="s">
        <v>1424</v>
      </c>
      <c r="AL66" s="1" t="s">
        <v>1419</v>
      </c>
      <c r="AN66" s="1">
        <v>7.7182041422E11</v>
      </c>
      <c r="AP66" s="1">
        <v>2.0</v>
      </c>
    </row>
    <row r="67" ht="15.75" customHeight="1">
      <c r="A67" s="1" t="s">
        <v>972</v>
      </c>
      <c r="B67" s="1" t="str">
        <f>IFERROR(__xludf.DUMMYFUNCTION("AI(Prompt!$B$21,A67)"),"Экстракорма")</f>
        <v>Экстракорма</v>
      </c>
      <c r="C67" s="1" t="str">
        <f>IFERROR(__xludf.DUMMYFUNCTION("AI(Prompt!$B$26,A67:B67)"),"OK")</f>
        <v>OK</v>
      </c>
      <c r="D67" s="1" t="s">
        <v>41</v>
      </c>
      <c r="E67" s="1">
        <v>5.007099358E9</v>
      </c>
      <c r="F67" s="1">
        <v>5.00701001E8</v>
      </c>
      <c r="G67" s="1">
        <v>1.16500705243E12</v>
      </c>
      <c r="H67" s="1" t="s">
        <v>42</v>
      </c>
      <c r="I67" s="3">
        <v>42660.0</v>
      </c>
      <c r="J67" s="1">
        <v>9.0</v>
      </c>
      <c r="K67" s="1" t="s">
        <v>43</v>
      </c>
      <c r="L67" s="1" t="s">
        <v>973</v>
      </c>
      <c r="M67" s="1" t="s">
        <v>974</v>
      </c>
      <c r="N67" s="1" t="s">
        <v>46</v>
      </c>
      <c r="O67" s="1">
        <v>141840.0</v>
      </c>
      <c r="P67" s="1" t="s">
        <v>975</v>
      </c>
      <c r="Q67" s="1" t="s">
        <v>976</v>
      </c>
      <c r="R67" s="1" t="s">
        <v>977</v>
      </c>
      <c r="Y67" s="1" t="s">
        <v>978</v>
      </c>
      <c r="AE67" s="1" t="s">
        <v>979</v>
      </c>
      <c r="AG67" s="1">
        <v>41.0</v>
      </c>
      <c r="AH67" s="1">
        <v>145.0</v>
      </c>
      <c r="AJ67" s="1">
        <v>-2.0</v>
      </c>
      <c r="AK67" s="1">
        <v>-3.0</v>
      </c>
      <c r="AL67" s="1" t="s">
        <v>980</v>
      </c>
      <c r="AM67" s="1" t="s">
        <v>61</v>
      </c>
      <c r="AN67" s="1">
        <v>5.0070401015E11</v>
      </c>
      <c r="AO67" s="3">
        <v>42660.0</v>
      </c>
      <c r="AP67" s="1">
        <v>2.0</v>
      </c>
    </row>
    <row r="68" ht="15.75" customHeight="1">
      <c r="A68" s="1" t="s">
        <v>806</v>
      </c>
      <c r="B68" s="1" t="str">
        <f>IFERROR(__xludf.DUMMYFUNCTION("AI(Prompt!$B$21,A68)"),"ТД Альфа")</f>
        <v>ТД Альфа</v>
      </c>
      <c r="C68" s="1" t="str">
        <f>IFERROR(__xludf.DUMMYFUNCTION("AI(Prompt!$B$26,A68:B68)"),"OK")</f>
        <v>OK</v>
      </c>
      <c r="D68" s="1" t="s">
        <v>41</v>
      </c>
      <c r="E68" s="1">
        <v>9.719011375E9</v>
      </c>
      <c r="F68" s="1">
        <v>7.71901001E8</v>
      </c>
      <c r="G68" s="1">
        <v>1.217700017072E12</v>
      </c>
      <c r="H68" s="1" t="s">
        <v>42</v>
      </c>
      <c r="I68" s="3">
        <v>44218.0</v>
      </c>
      <c r="J68" s="1">
        <v>5.0</v>
      </c>
      <c r="K68" s="1" t="s">
        <v>43</v>
      </c>
      <c r="L68" s="1" t="s">
        <v>807</v>
      </c>
      <c r="M68" s="1" t="s">
        <v>808</v>
      </c>
      <c r="N68" s="1" t="s">
        <v>121</v>
      </c>
      <c r="O68" s="1">
        <v>105318.0</v>
      </c>
      <c r="P68" s="1" t="s">
        <v>121</v>
      </c>
      <c r="Q68" s="1" t="s">
        <v>809</v>
      </c>
      <c r="AE68" s="1" t="s">
        <v>810</v>
      </c>
      <c r="AF68" s="1">
        <v>0.0</v>
      </c>
      <c r="AG68" s="1">
        <v>0.0</v>
      </c>
      <c r="AH68" s="1">
        <v>0.0</v>
      </c>
      <c r="AI68" s="1">
        <v>122.0</v>
      </c>
      <c r="AJ68" s="1">
        <v>0.0</v>
      </c>
      <c r="AK68" s="1">
        <v>2.0</v>
      </c>
      <c r="AL68" s="1" t="s">
        <v>811</v>
      </c>
      <c r="AM68" s="1" t="s">
        <v>61</v>
      </c>
      <c r="AN68" s="1">
        <v>4.52303035263E11</v>
      </c>
      <c r="AO68" s="3">
        <v>45856.0</v>
      </c>
      <c r="AP68" s="1">
        <v>1.0</v>
      </c>
    </row>
    <row r="69" ht="15.75" customHeight="1">
      <c r="A69" s="1" t="s">
        <v>1182</v>
      </c>
      <c r="B69" s="1" t="str">
        <f>IFERROR(__xludf.DUMMYFUNCTION("AI(Prompt!$B$21,A69)"),"ИП Колесникова")</f>
        <v>ИП Колесникова</v>
      </c>
      <c r="C69" s="1" t="str">
        <f>IFERROR(__xludf.DUMMYFUNCTION("AI(Prompt!$B$26,A69:B69)"),"OK")</f>
        <v>OK</v>
      </c>
      <c r="D69" s="1" t="s">
        <v>864</v>
      </c>
      <c r="E69" s="1">
        <v>7.7300113637E11</v>
      </c>
      <c r="G69" s="1">
        <v>3.25774600747138E14</v>
      </c>
      <c r="H69" s="1" t="s">
        <v>42</v>
      </c>
      <c r="I69" s="3">
        <v>45961.0</v>
      </c>
      <c r="J69" s="1">
        <v>0.0</v>
      </c>
      <c r="K69" s="1" t="s">
        <v>43</v>
      </c>
      <c r="L69" s="1" t="s">
        <v>1183</v>
      </c>
      <c r="N69" s="1" t="s">
        <v>121</v>
      </c>
      <c r="Q69" s="1" t="s">
        <v>1184</v>
      </c>
      <c r="AL69" s="1" t="s">
        <v>1182</v>
      </c>
      <c r="AN69" s="1">
        <v>7.7300113637E11</v>
      </c>
      <c r="AP69" s="1">
        <v>2.0</v>
      </c>
    </row>
    <row r="70" ht="15.75" customHeight="1">
      <c r="A70" s="1" t="s">
        <v>940</v>
      </c>
      <c r="B70" s="1" t="str">
        <f>IFERROR(__xludf.DUMMYFUNCTION("AI(Prompt!$B$21,A70)"),"ИП Кунтыш")</f>
        <v>ИП Кунтыш</v>
      </c>
      <c r="C70" s="1" t="str">
        <f>IFERROR(__xludf.DUMMYFUNCTION("AI(Prompt!$B$26,A70:B70)"),"OK")</f>
        <v>OK</v>
      </c>
      <c r="D70" s="1" t="s">
        <v>864</v>
      </c>
      <c r="E70" s="1">
        <v>5.02711688663E11</v>
      </c>
      <c r="G70" s="1">
        <v>3.25508100194605E14</v>
      </c>
      <c r="H70" s="1" t="s">
        <v>42</v>
      </c>
      <c r="I70" s="3">
        <v>45755.0</v>
      </c>
      <c r="J70" s="1">
        <v>0.0</v>
      </c>
      <c r="K70" s="1" t="s">
        <v>43</v>
      </c>
      <c r="L70" s="1" t="s">
        <v>941</v>
      </c>
      <c r="M70" s="1" t="s">
        <v>942</v>
      </c>
      <c r="N70" s="1" t="s">
        <v>46</v>
      </c>
      <c r="P70" s="1" t="s">
        <v>407</v>
      </c>
      <c r="Q70" s="1" t="s">
        <v>943</v>
      </c>
      <c r="AL70" s="1" t="s">
        <v>940</v>
      </c>
      <c r="AN70" s="1">
        <v>5.02711688663E11</v>
      </c>
      <c r="AP70" s="1">
        <v>2.0</v>
      </c>
    </row>
    <row r="71" ht="15.75" customHeight="1">
      <c r="A71" s="1" t="s">
        <v>1400</v>
      </c>
      <c r="B71" s="1" t="str">
        <f>IFERROR(__xludf.DUMMYFUNCTION("AI(Prompt!$B$21,A71)"),"ИП Соловьева")</f>
        <v>ИП Соловьева</v>
      </c>
      <c r="C71" s="1" t="str">
        <f>IFERROR(__xludf.DUMMYFUNCTION("AI(Prompt!$B$26,A71:B71)"),"OK")</f>
        <v>OK</v>
      </c>
      <c r="D71" s="1" t="s">
        <v>864</v>
      </c>
      <c r="E71" s="1">
        <v>7.72860838509E11</v>
      </c>
      <c r="G71" s="1">
        <v>3.22774600245447E14</v>
      </c>
      <c r="H71" s="1" t="s">
        <v>42</v>
      </c>
      <c r="I71" s="3">
        <v>44665.0</v>
      </c>
      <c r="J71" s="1">
        <v>3.0</v>
      </c>
      <c r="K71" s="1" t="s">
        <v>43</v>
      </c>
      <c r="L71" s="1" t="s">
        <v>1401</v>
      </c>
      <c r="M71" s="1" t="s">
        <v>1402</v>
      </c>
      <c r="N71" s="1" t="s">
        <v>121</v>
      </c>
      <c r="Q71" s="1" t="s">
        <v>1403</v>
      </c>
      <c r="AL71" s="1" t="s">
        <v>1400</v>
      </c>
      <c r="AN71" s="1">
        <v>7.72860838509E11</v>
      </c>
      <c r="AP71" s="1">
        <v>2.0</v>
      </c>
    </row>
    <row r="72" ht="15.75" customHeight="1">
      <c r="A72" s="1" t="s">
        <v>1204</v>
      </c>
      <c r="B72" s="1" t="str">
        <f>IFERROR(__xludf.DUMMYFUNCTION("AI(Prompt!$B$21,A72)"),"Энтобелок")</f>
        <v>Энтобелок</v>
      </c>
      <c r="C72" s="1" t="str">
        <f>IFERROR(__xludf.DUMMYFUNCTION("AI(Prompt!$B$26,A72:B72)"),"OK")</f>
        <v>OK</v>
      </c>
      <c r="D72" s="1" t="s">
        <v>41</v>
      </c>
      <c r="E72" s="1">
        <v>9.719085095E9</v>
      </c>
      <c r="F72" s="1">
        <v>7.71901001E8</v>
      </c>
      <c r="G72" s="1">
        <v>1.267700012282E12</v>
      </c>
      <c r="H72" s="1" t="s">
        <v>42</v>
      </c>
      <c r="I72" s="3">
        <v>46043.0</v>
      </c>
      <c r="J72" s="1">
        <v>0.0</v>
      </c>
      <c r="K72" s="1" t="s">
        <v>43</v>
      </c>
      <c r="L72" s="1" t="s">
        <v>1205</v>
      </c>
      <c r="M72" s="1" t="s">
        <v>1206</v>
      </c>
      <c r="N72" s="1" t="s">
        <v>121</v>
      </c>
      <c r="O72" s="1">
        <v>105523.0</v>
      </c>
      <c r="P72" s="1" t="s">
        <v>121</v>
      </c>
      <c r="Q72" s="1" t="s">
        <v>1207</v>
      </c>
      <c r="AE72" s="1" t="s">
        <v>1208</v>
      </c>
      <c r="AL72" s="1" t="s">
        <v>1209</v>
      </c>
      <c r="AM72" s="1" t="s">
        <v>61</v>
      </c>
      <c r="AN72" s="1">
        <v>4.3460097916E11</v>
      </c>
      <c r="AO72" s="3">
        <v>46043.0</v>
      </c>
      <c r="AP72" s="1">
        <v>2.0</v>
      </c>
    </row>
    <row r="73" ht="15.75" customHeight="1">
      <c r="A73" s="1" t="s">
        <v>1071</v>
      </c>
      <c r="B73" s="1" t="str">
        <f>IFERROR(__xludf.DUMMYFUNCTION("AI(Prompt!$B$21,A73)"),"ИП Шершакова")</f>
        <v>ИП Шершакова</v>
      </c>
      <c r="C73" s="1" t="str">
        <f>IFERROR(__xludf.DUMMYFUNCTION("AI(Prompt!$B$26,A73:B73)"),"OK")</f>
        <v>OK</v>
      </c>
      <c r="D73" s="1" t="s">
        <v>864</v>
      </c>
      <c r="E73" s="1">
        <v>5.0070401015E11</v>
      </c>
      <c r="G73" s="1">
        <v>3.22508100611951E14</v>
      </c>
      <c r="H73" s="1" t="s">
        <v>42</v>
      </c>
      <c r="I73" s="3">
        <v>44903.0</v>
      </c>
      <c r="J73" s="1">
        <v>3.0</v>
      </c>
      <c r="K73" s="1" t="s">
        <v>43</v>
      </c>
      <c r="L73" s="1" t="s">
        <v>1072</v>
      </c>
      <c r="M73" s="1" t="s">
        <v>1073</v>
      </c>
      <c r="N73" s="1" t="s">
        <v>46</v>
      </c>
      <c r="P73" s="1" t="s">
        <v>975</v>
      </c>
      <c r="Q73" s="1" t="s">
        <v>977</v>
      </c>
      <c r="AL73" s="1" t="s">
        <v>1071</v>
      </c>
      <c r="AN73" s="1">
        <v>5.0070401015E11</v>
      </c>
      <c r="AP73" s="1">
        <v>2.0</v>
      </c>
    </row>
    <row r="74" ht="15.75" customHeight="1">
      <c r="A74" s="1" t="s">
        <v>991</v>
      </c>
      <c r="B74" s="1" t="str">
        <f>IFERROR(__xludf.DUMMYFUNCTION("AI(Prompt!$B$21,A74)"),"ИП Черный")</f>
        <v>ИП Черный</v>
      </c>
      <c r="C74" s="1" t="str">
        <f>IFERROR(__xludf.DUMMYFUNCTION("AI(Prompt!$B$26,A74:B74)"),"OK")</f>
        <v>OK</v>
      </c>
      <c r="D74" s="1" t="s">
        <v>864</v>
      </c>
      <c r="E74" s="1">
        <v>5.04016109364E11</v>
      </c>
      <c r="G74" s="1">
        <v>3.25508100421021E14</v>
      </c>
      <c r="H74" s="1" t="s">
        <v>42</v>
      </c>
      <c r="I74" s="3">
        <v>45876.0</v>
      </c>
      <c r="J74" s="1">
        <v>0.0</v>
      </c>
      <c r="K74" s="1" t="s">
        <v>43</v>
      </c>
      <c r="L74" s="1" t="s">
        <v>992</v>
      </c>
      <c r="N74" s="1" t="s">
        <v>46</v>
      </c>
      <c r="Q74" s="1" t="s">
        <v>993</v>
      </c>
      <c r="Y74" s="1" t="s">
        <v>994</v>
      </c>
      <c r="AL74" s="1" t="s">
        <v>991</v>
      </c>
      <c r="AN74" s="1">
        <v>5.04016109364E11</v>
      </c>
      <c r="AP74" s="1">
        <v>1.0</v>
      </c>
    </row>
    <row r="75" ht="15.75" customHeight="1">
      <c r="A75" s="1" t="s">
        <v>893</v>
      </c>
      <c r="B75" s="1" t="str">
        <f>IFERROR(__xludf.DUMMYFUNCTION("AI(Prompt!$B$21,A75)"),"ИП Креушенко")</f>
        <v>ИП Креушенко</v>
      </c>
      <c r="C75" s="1" t="str">
        <f>IFERROR(__xludf.DUMMYFUNCTION("AI(Prompt!$B$26,A75:B75)"),"OK")</f>
        <v>OK</v>
      </c>
      <c r="D75" s="1" t="s">
        <v>864</v>
      </c>
      <c r="E75" s="1">
        <v>5.04404314589E11</v>
      </c>
      <c r="G75" s="1">
        <v>3.24508100130663E14</v>
      </c>
      <c r="H75" s="1" t="s">
        <v>42</v>
      </c>
      <c r="I75" s="3">
        <v>45356.0</v>
      </c>
      <c r="J75" s="1">
        <v>1.0</v>
      </c>
      <c r="K75" s="1" t="s">
        <v>43</v>
      </c>
      <c r="L75" s="1" t="s">
        <v>894</v>
      </c>
      <c r="M75" s="1" t="s">
        <v>895</v>
      </c>
      <c r="N75" s="1" t="s">
        <v>46</v>
      </c>
      <c r="P75" s="1" t="s">
        <v>896</v>
      </c>
      <c r="Q75" s="1" t="s">
        <v>897</v>
      </c>
      <c r="R75" s="1" t="s">
        <v>898</v>
      </c>
      <c r="Y75" s="1" t="s">
        <v>899</v>
      </c>
      <c r="AL75" s="1" t="s">
        <v>893</v>
      </c>
      <c r="AN75" s="1">
        <v>5.04404314589E11</v>
      </c>
      <c r="AP75" s="1">
        <v>2.0</v>
      </c>
    </row>
    <row r="76" ht="15.75" customHeight="1">
      <c r="A76" s="1" t="s">
        <v>799</v>
      </c>
      <c r="B76" s="1" t="str">
        <f>IFERROR(__xludf.DUMMYFUNCTION("AI(Prompt!$B$21,A76)"),"Фк Зоомир")</f>
        <v>Фк Зоомир</v>
      </c>
      <c r="C76" s="1" t="str">
        <f>IFERROR(__xludf.DUMMYFUNCTION("AI(Prompt!$B$26,A76:B76)"),"OK")</f>
        <v>OK</v>
      </c>
      <c r="D76" s="1" t="s">
        <v>41</v>
      </c>
      <c r="E76" s="1">
        <v>7.735195292E9</v>
      </c>
      <c r="F76" s="1">
        <v>7.73501001E8</v>
      </c>
      <c r="G76" s="1">
        <v>1.227700374065E12</v>
      </c>
      <c r="H76" s="1" t="s">
        <v>42</v>
      </c>
      <c r="I76" s="3">
        <v>44739.0</v>
      </c>
      <c r="J76" s="1">
        <v>3.0</v>
      </c>
      <c r="K76" s="1" t="s">
        <v>43</v>
      </c>
      <c r="L76" s="1" t="s">
        <v>800</v>
      </c>
      <c r="M76" s="1" t="s">
        <v>801</v>
      </c>
      <c r="N76" s="1" t="s">
        <v>121</v>
      </c>
      <c r="O76" s="1">
        <v>124482.0</v>
      </c>
      <c r="P76" s="1" t="s">
        <v>802</v>
      </c>
      <c r="Q76" s="1" t="s">
        <v>803</v>
      </c>
      <c r="AE76" s="1" t="s">
        <v>804</v>
      </c>
      <c r="AF76" s="1">
        <v>0.0</v>
      </c>
      <c r="AG76" s="1">
        <v>0.0</v>
      </c>
      <c r="AH76" s="1">
        <v>0.0</v>
      </c>
      <c r="AI76" s="1">
        <v>0.0</v>
      </c>
      <c r="AJ76" s="1">
        <v>0.0</v>
      </c>
      <c r="AK76" s="1">
        <v>0.0</v>
      </c>
      <c r="AL76" s="1" t="s">
        <v>805</v>
      </c>
      <c r="AM76" s="1" t="s">
        <v>61</v>
      </c>
      <c r="AN76" s="1">
        <v>5.07303177892E11</v>
      </c>
      <c r="AO76" s="3">
        <v>44739.0</v>
      </c>
      <c r="AP76" s="1">
        <v>2.0</v>
      </c>
    </row>
    <row r="77" ht="15.75" customHeight="1">
      <c r="A77" s="1" t="s">
        <v>620</v>
      </c>
      <c r="B77" s="1" t="str">
        <f>IFERROR(__xludf.DUMMYFUNCTION("AI(Prompt!$B$21,A77)"),"ТПК Хантер")</f>
        <v>ТПК Хантер</v>
      </c>
      <c r="C77" s="1" t="str">
        <f>IFERROR(__xludf.DUMMYFUNCTION("AI(Prompt!$B$26,A77:B77)"),"OK")</f>
        <v>OK</v>
      </c>
      <c r="D77" s="1" t="s">
        <v>41</v>
      </c>
      <c r="E77" s="1">
        <v>5.032345688E9</v>
      </c>
      <c r="F77" s="1">
        <v>5.02901001E8</v>
      </c>
      <c r="G77" s="1">
        <v>1.225000104713E12</v>
      </c>
      <c r="H77" s="1" t="s">
        <v>42</v>
      </c>
      <c r="I77" s="3">
        <v>44823.0</v>
      </c>
      <c r="J77" s="1">
        <v>3.0</v>
      </c>
      <c r="K77" s="1" t="s">
        <v>43</v>
      </c>
      <c r="L77" s="1" t="s">
        <v>621</v>
      </c>
      <c r="M77" s="1" t="s">
        <v>622</v>
      </c>
      <c r="N77" s="1" t="s">
        <v>46</v>
      </c>
      <c r="O77" s="1">
        <v>141031.0</v>
      </c>
      <c r="P77" s="1" t="s">
        <v>623</v>
      </c>
      <c r="Q77" s="1" t="s">
        <v>624</v>
      </c>
      <c r="R77" s="1" t="s">
        <v>625</v>
      </c>
      <c r="S77" s="1" t="s">
        <v>626</v>
      </c>
      <c r="U77" s="1" t="s">
        <v>627</v>
      </c>
      <c r="Y77" s="1" t="s">
        <v>628</v>
      </c>
      <c r="Z77" s="1" t="s">
        <v>629</v>
      </c>
      <c r="AE77" s="1" t="s">
        <v>630</v>
      </c>
      <c r="AF77" s="1">
        <v>4159.0</v>
      </c>
      <c r="AG77" s="1">
        <v>18279.0</v>
      </c>
      <c r="AH77" s="1">
        <v>0.0</v>
      </c>
      <c r="AI77" s="1">
        <v>-2218.0</v>
      </c>
      <c r="AJ77" s="1">
        <v>-1826.0</v>
      </c>
      <c r="AK77" s="1">
        <v>-17.0</v>
      </c>
      <c r="AL77" s="1" t="s">
        <v>631</v>
      </c>
      <c r="AM77" s="1" t="s">
        <v>61</v>
      </c>
      <c r="AN77" s="1">
        <v>5.4040162568E11</v>
      </c>
      <c r="AO77" s="3">
        <v>44922.0</v>
      </c>
      <c r="AP77" s="1">
        <v>1.0</v>
      </c>
    </row>
    <row r="78" ht="15.75" customHeight="1">
      <c r="A78" s="1" t="s">
        <v>1194</v>
      </c>
      <c r="B78" s="1" t="str">
        <f>IFERROR(__xludf.DUMMYFUNCTION("AI(Prompt!$B$21,A78)"),"ИП Гаврилова")</f>
        <v>ИП Гаврилова</v>
      </c>
      <c r="C78" s="1" t="str">
        <f>IFERROR(__xludf.DUMMYFUNCTION("AI(Prompt!$B$26,A78:B78)"),"OK")</f>
        <v>OK</v>
      </c>
      <c r="D78" s="1" t="s">
        <v>864</v>
      </c>
      <c r="E78" s="1">
        <v>7.72394308036E11</v>
      </c>
      <c r="G78" s="1">
        <v>3.24774600877491E14</v>
      </c>
      <c r="H78" s="1" t="s">
        <v>42</v>
      </c>
      <c r="I78" s="3">
        <v>45652.0</v>
      </c>
      <c r="J78" s="1">
        <v>1.0</v>
      </c>
      <c r="K78" s="1" t="s">
        <v>43</v>
      </c>
      <c r="L78" s="1" t="s">
        <v>1195</v>
      </c>
      <c r="M78" s="1" t="s">
        <v>1196</v>
      </c>
      <c r="N78" s="1" t="s">
        <v>121</v>
      </c>
      <c r="Q78" s="1" t="s">
        <v>1197</v>
      </c>
      <c r="Y78" s="1" t="s">
        <v>1198</v>
      </c>
      <c r="AL78" s="1" t="s">
        <v>1194</v>
      </c>
      <c r="AN78" s="1">
        <v>7.72394308036E11</v>
      </c>
      <c r="AP78" s="1">
        <v>2.0</v>
      </c>
    </row>
    <row r="79" ht="15.75" customHeight="1">
      <c r="A79" s="1" t="s">
        <v>1351</v>
      </c>
      <c r="B79" s="1" t="str">
        <f>IFERROR(__xludf.DUMMYFUNCTION("AI(Prompt!$B$21,A79)"),"ИП Константинова")</f>
        <v>ИП Константинова</v>
      </c>
      <c r="C79" s="1" t="str">
        <f>IFERROR(__xludf.DUMMYFUNCTION("AI(Prompt!$B$26,A79:B79)"),"OK")</f>
        <v>OK</v>
      </c>
      <c r="D79" s="1" t="s">
        <v>864</v>
      </c>
      <c r="E79" s="1">
        <v>7.72170743018E11</v>
      </c>
      <c r="G79" s="1">
        <v>3.2077460038858E14</v>
      </c>
      <c r="H79" s="1" t="s">
        <v>42</v>
      </c>
      <c r="I79" s="3">
        <v>44098.0</v>
      </c>
      <c r="J79" s="1">
        <v>5.0</v>
      </c>
      <c r="K79" s="1" t="s">
        <v>43</v>
      </c>
      <c r="L79" s="1" t="s">
        <v>1352</v>
      </c>
      <c r="M79" s="1" t="s">
        <v>1313</v>
      </c>
      <c r="N79" s="1" t="s">
        <v>121</v>
      </c>
      <c r="Q79" s="1" t="s">
        <v>1353</v>
      </c>
      <c r="R79" s="1" t="s">
        <v>1354</v>
      </c>
      <c r="Y79" s="1" t="s">
        <v>1355</v>
      </c>
      <c r="AL79" s="1" t="s">
        <v>1351</v>
      </c>
      <c r="AN79" s="1">
        <v>7.72170743018E11</v>
      </c>
      <c r="AP79" s="1">
        <v>2.0</v>
      </c>
    </row>
    <row r="80" ht="15.75" customHeight="1">
      <c r="A80" s="1" t="s">
        <v>632</v>
      </c>
      <c r="B80" s="1" t="str">
        <f>IFERROR(__xludf.DUMMYFUNCTION("AI(Prompt!$B$21,A80)"),"Олимпик")</f>
        <v>Олимпик</v>
      </c>
      <c r="C80" s="1" t="str">
        <f>IFERROR(__xludf.DUMMYFUNCTION("AI(Prompt!$B$26,A80:B80)"),"OK")</f>
        <v>OK</v>
      </c>
      <c r="D80" s="1" t="s">
        <v>41</v>
      </c>
      <c r="E80" s="1">
        <v>7.707467392E9</v>
      </c>
      <c r="F80" s="1">
        <v>5.04201001E8</v>
      </c>
      <c r="G80" s="1">
        <v>1.22770030306E12</v>
      </c>
      <c r="H80" s="1" t="s">
        <v>42</v>
      </c>
      <c r="I80" s="3">
        <v>44707.0</v>
      </c>
      <c r="J80" s="1">
        <v>3.0</v>
      </c>
      <c r="K80" s="1" t="s">
        <v>43</v>
      </c>
      <c r="L80" s="1" t="s">
        <v>633</v>
      </c>
      <c r="M80" s="1" t="s">
        <v>634</v>
      </c>
      <c r="N80" s="1" t="s">
        <v>46</v>
      </c>
      <c r="O80" s="1">
        <v>141345.0</v>
      </c>
      <c r="P80" s="1" t="s">
        <v>635</v>
      </c>
      <c r="Q80" s="1" t="s">
        <v>636</v>
      </c>
      <c r="Y80" s="1" t="s">
        <v>637</v>
      </c>
      <c r="AE80" s="1" t="s">
        <v>638</v>
      </c>
      <c r="AF80" s="1">
        <v>4057.0</v>
      </c>
      <c r="AG80" s="1">
        <v>3056.0</v>
      </c>
      <c r="AH80" s="1">
        <v>0.0</v>
      </c>
      <c r="AI80" s="1">
        <v>-192.0</v>
      </c>
      <c r="AJ80" s="1">
        <v>-9391.0</v>
      </c>
      <c r="AK80" s="1">
        <v>-2012.0</v>
      </c>
      <c r="AL80" s="1" t="s">
        <v>639</v>
      </c>
      <c r="AM80" s="1" t="s">
        <v>61</v>
      </c>
      <c r="AN80" s="1">
        <v>5.03809658089E11</v>
      </c>
      <c r="AO80" s="3">
        <v>44707.0</v>
      </c>
      <c r="AP80" s="1">
        <v>1.0</v>
      </c>
    </row>
    <row r="81" ht="15.75" customHeight="1">
      <c r="A81" s="1" t="s">
        <v>96</v>
      </c>
      <c r="B81" s="1" t="str">
        <f>IFERROR(__xludf.DUMMYFUNCTION("AI(Prompt!$B$21,A81)"),"Глобал Петфуд")</f>
        <v>Глобал Петфуд</v>
      </c>
      <c r="C81" s="1" t="str">
        <f>IFERROR(__xludf.DUMMYFUNCTION("AI(Prompt!$B$26,A81:B81)"),"OK")</f>
        <v>OK</v>
      </c>
      <c r="D81" s="1" t="s">
        <v>41</v>
      </c>
      <c r="E81" s="1">
        <v>5.040153972E9</v>
      </c>
      <c r="F81" s="1">
        <v>5.04001001E8</v>
      </c>
      <c r="G81" s="1">
        <v>1.185027003479E12</v>
      </c>
      <c r="H81" s="1" t="s">
        <v>42</v>
      </c>
      <c r="I81" s="3">
        <v>43150.0</v>
      </c>
      <c r="J81" s="1">
        <v>8.0</v>
      </c>
      <c r="K81" s="1" t="s">
        <v>43</v>
      </c>
      <c r="L81" s="1" t="s">
        <v>97</v>
      </c>
      <c r="M81" s="1" t="s">
        <v>98</v>
      </c>
      <c r="N81" s="1" t="s">
        <v>46</v>
      </c>
      <c r="O81" s="1">
        <v>140157.0</v>
      </c>
      <c r="P81" s="1" t="s">
        <v>99</v>
      </c>
      <c r="Q81" s="1" t="s">
        <v>100</v>
      </c>
      <c r="Y81" s="1" t="s">
        <v>101</v>
      </c>
      <c r="Z81" s="1" t="s">
        <v>102</v>
      </c>
      <c r="AA81" s="1" t="s">
        <v>103</v>
      </c>
      <c r="AE81" s="1" t="s">
        <v>104</v>
      </c>
      <c r="AF81" s="1">
        <v>1210285.0</v>
      </c>
      <c r="AG81" s="1">
        <v>634700.0</v>
      </c>
      <c r="AH81" s="1">
        <v>463708.0</v>
      </c>
      <c r="AI81" s="1">
        <v>215689.0</v>
      </c>
      <c r="AJ81" s="1">
        <v>101092.0</v>
      </c>
      <c r="AK81" s="1">
        <v>74438.0</v>
      </c>
    </row>
    <row r="82" ht="15.75" customHeight="1">
      <c r="A82" s="1" t="s">
        <v>383</v>
      </c>
      <c r="B82" s="1" t="str">
        <f>IFERROR(__xludf.DUMMYFUNCTION("AI(Prompt!$B$21,A82)"),"Лора Групп")</f>
        <v>Лора Групп</v>
      </c>
      <c r="C82" s="1" t="str">
        <f>IFERROR(__xludf.DUMMYFUNCTION("AI(Prompt!$B$26,A82:B82)"),"OK")</f>
        <v>OK</v>
      </c>
      <c r="D82" s="1" t="s">
        <v>41</v>
      </c>
      <c r="E82" s="1">
        <v>9.725144704E9</v>
      </c>
      <c r="F82" s="1">
        <v>7.72501001E8</v>
      </c>
      <c r="G82" s="1">
        <v>1.237700917321E12</v>
      </c>
      <c r="H82" s="1" t="s">
        <v>42</v>
      </c>
      <c r="I82" s="3">
        <v>45280.0</v>
      </c>
      <c r="J82" s="1">
        <v>2.0</v>
      </c>
      <c r="K82" s="1" t="s">
        <v>43</v>
      </c>
      <c r="L82" s="1" t="s">
        <v>384</v>
      </c>
      <c r="M82" s="1" t="s">
        <v>385</v>
      </c>
      <c r="N82" s="1" t="s">
        <v>121</v>
      </c>
      <c r="O82" s="1">
        <v>115280.0</v>
      </c>
      <c r="P82" s="1" t="s">
        <v>121</v>
      </c>
      <c r="Q82" s="1" t="s">
        <v>386</v>
      </c>
      <c r="U82" s="1" t="s">
        <v>387</v>
      </c>
      <c r="V82" s="1" t="s">
        <v>388</v>
      </c>
      <c r="Y82" s="1" t="s">
        <v>389</v>
      </c>
      <c r="AE82" s="1" t="s">
        <v>390</v>
      </c>
      <c r="AF82" s="1">
        <v>25157.0</v>
      </c>
      <c r="AG82" s="1">
        <v>0.0</v>
      </c>
      <c r="AI82" s="1">
        <v>684.0</v>
      </c>
      <c r="AJ82" s="1">
        <v>0.0</v>
      </c>
      <c r="AL82" s="1" t="s">
        <v>391</v>
      </c>
      <c r="AM82" s="1" t="s">
        <v>61</v>
      </c>
      <c r="AN82" s="1">
        <v>5.40437654902E11</v>
      </c>
      <c r="AO82" s="3">
        <v>45280.0</v>
      </c>
      <c r="AP82" s="1">
        <v>2.0</v>
      </c>
    </row>
    <row r="83" ht="15.75" customHeight="1">
      <c r="A83" s="1" t="s">
        <v>930</v>
      </c>
      <c r="B83" s="1" t="str">
        <f>IFERROR(__xludf.DUMMYFUNCTION("AI(Prompt!$B$21,A83)"),"Пушистый Гигант")</f>
        <v>Пушистый Гигант</v>
      </c>
      <c r="C83" s="1" t="str">
        <f>IFERROR(__xludf.DUMMYFUNCTION("AI(Prompt!$B$26,A83:B83)"),"OK")</f>
        <v>OK</v>
      </c>
      <c r="D83" s="1" t="s">
        <v>41</v>
      </c>
      <c r="E83" s="1">
        <v>5.017138542E9</v>
      </c>
      <c r="F83" s="1">
        <v>5.01701001E8</v>
      </c>
      <c r="G83" s="1">
        <v>1.245000120859E12</v>
      </c>
      <c r="H83" s="1" t="s">
        <v>42</v>
      </c>
      <c r="I83" s="3">
        <v>45590.0</v>
      </c>
      <c r="J83" s="1">
        <v>1.0</v>
      </c>
      <c r="K83" s="1" t="s">
        <v>43</v>
      </c>
      <c r="L83" s="1" t="s">
        <v>931</v>
      </c>
      <c r="M83" s="1" t="s">
        <v>932</v>
      </c>
      <c r="N83" s="1" t="s">
        <v>46</v>
      </c>
      <c r="O83" s="1">
        <v>143581.0</v>
      </c>
      <c r="P83" s="1" t="s">
        <v>933</v>
      </c>
      <c r="Q83" s="1" t="s">
        <v>934</v>
      </c>
      <c r="R83" s="1" t="s">
        <v>589</v>
      </c>
      <c r="S83" s="1" t="s">
        <v>590</v>
      </c>
      <c r="U83" s="1" t="s">
        <v>935</v>
      </c>
      <c r="V83" s="1" t="s">
        <v>936</v>
      </c>
      <c r="Y83" s="1" t="s">
        <v>937</v>
      </c>
      <c r="Z83" s="1" t="s">
        <v>593</v>
      </c>
      <c r="AA83" s="1" t="s">
        <v>594</v>
      </c>
      <c r="AB83" s="1" t="s">
        <v>595</v>
      </c>
      <c r="AE83" s="1" t="s">
        <v>938</v>
      </c>
      <c r="AL83" s="1" t="s">
        <v>939</v>
      </c>
      <c r="AM83" s="1" t="s">
        <v>61</v>
      </c>
      <c r="AN83" s="1">
        <v>7.70179113698E11</v>
      </c>
      <c r="AO83" s="3">
        <v>45590.0</v>
      </c>
      <c r="AP83" s="1">
        <v>1.0</v>
      </c>
    </row>
    <row r="84" ht="15.75" customHeight="1">
      <c r="A84" s="1" t="s">
        <v>1081</v>
      </c>
      <c r="B84" s="1" t="str">
        <f>IFERROR(__xludf.DUMMYFUNCTION("AI(Prompt!$B$21,A84)"),"ИП Ашмарин")</f>
        <v>ИП Ашмарин</v>
      </c>
      <c r="C84" s="1" t="str">
        <f>IFERROR(__xludf.DUMMYFUNCTION("AI(Prompt!$B$26,A84:B84)"),"OK")</f>
        <v>OK</v>
      </c>
      <c r="D84" s="1" t="s">
        <v>864</v>
      </c>
      <c r="E84" s="1">
        <v>7.72484728885E11</v>
      </c>
      <c r="G84" s="1">
        <v>3.23508100478649E14</v>
      </c>
      <c r="H84" s="1" t="s">
        <v>42</v>
      </c>
      <c r="I84" s="3">
        <v>45177.0</v>
      </c>
      <c r="J84" s="1">
        <v>2.0</v>
      </c>
      <c r="K84" s="1" t="s">
        <v>43</v>
      </c>
      <c r="L84" s="1" t="s">
        <v>1082</v>
      </c>
      <c r="M84" s="1" t="s">
        <v>1083</v>
      </c>
      <c r="N84" s="1" t="s">
        <v>46</v>
      </c>
      <c r="P84" s="1" t="s">
        <v>446</v>
      </c>
      <c r="Q84" s="1" t="s">
        <v>1084</v>
      </c>
      <c r="AL84" s="1" t="s">
        <v>1081</v>
      </c>
      <c r="AN84" s="1">
        <v>7.72484728885E11</v>
      </c>
      <c r="AP84" s="1">
        <v>1.0</v>
      </c>
    </row>
    <row r="85" ht="15.75" customHeight="1">
      <c r="A85" s="1" t="s">
        <v>765</v>
      </c>
      <c r="B85" s="1" t="str">
        <f>IFERROR(__xludf.DUMMYFUNCTION("AI(Prompt!$B$21,A85)"),"СТМ 300")</f>
        <v>СТМ 300</v>
      </c>
      <c r="C85" s="1" t="str">
        <f>IFERROR(__xludf.DUMMYFUNCTION("AI(Prompt!$B$26,A85:B85)"),"OK")</f>
        <v>OK</v>
      </c>
      <c r="D85" s="1" t="s">
        <v>41</v>
      </c>
      <c r="E85" s="1">
        <v>5.04019135E9</v>
      </c>
      <c r="F85" s="1">
        <v>5.04001001E8</v>
      </c>
      <c r="G85" s="1">
        <v>1.245000070611E12</v>
      </c>
      <c r="H85" s="1" t="s">
        <v>42</v>
      </c>
      <c r="I85" s="3">
        <v>45461.0</v>
      </c>
      <c r="J85" s="1">
        <v>1.0</v>
      </c>
      <c r="K85" s="1" t="s">
        <v>43</v>
      </c>
      <c r="L85" s="1" t="s">
        <v>766</v>
      </c>
      <c r="M85" s="1" t="s">
        <v>767</v>
      </c>
      <c r="N85" s="1" t="s">
        <v>46</v>
      </c>
      <c r="O85" s="1">
        <v>140103.0</v>
      </c>
      <c r="P85" s="1" t="s">
        <v>768</v>
      </c>
      <c r="Q85" s="1" t="s">
        <v>769</v>
      </c>
      <c r="U85" s="1" t="s">
        <v>770</v>
      </c>
      <c r="Y85" s="1" t="s">
        <v>771</v>
      </c>
      <c r="AE85" s="1" t="s">
        <v>772</v>
      </c>
      <c r="AF85" s="1">
        <v>0.0</v>
      </c>
      <c r="AG85" s="1">
        <v>0.0</v>
      </c>
      <c r="AI85" s="1">
        <v>-2949.0</v>
      </c>
      <c r="AJ85" s="1">
        <v>0.0</v>
      </c>
      <c r="AL85" s="1" t="s">
        <v>773</v>
      </c>
      <c r="AM85" s="1" t="s">
        <v>61</v>
      </c>
      <c r="AN85" s="1">
        <v>5.04003700227E11</v>
      </c>
      <c r="AO85" s="3">
        <v>45854.0</v>
      </c>
      <c r="AP85" s="1">
        <v>1.0</v>
      </c>
    </row>
    <row r="86" ht="15.75" customHeight="1">
      <c r="A86" s="1" t="s">
        <v>1323</v>
      </c>
      <c r="B86" s="1" t="str">
        <f>IFERROR(__xludf.DUMMYFUNCTION("AI(Prompt!$B$21,A86)"),"Аква Арте")</f>
        <v>Аква Арте</v>
      </c>
      <c r="C86" s="1" t="str">
        <f>IFERROR(__xludf.DUMMYFUNCTION("AI(Prompt!$B$26,A86:B86)"),"OK")</f>
        <v>OK</v>
      </c>
      <c r="D86" s="1" t="s">
        <v>41</v>
      </c>
      <c r="E86" s="1">
        <v>7.724829469E9</v>
      </c>
      <c r="F86" s="1">
        <v>7.72601001E8</v>
      </c>
      <c r="G86" s="1">
        <v>1.127746264788E12</v>
      </c>
      <c r="H86" s="1" t="s">
        <v>717</v>
      </c>
      <c r="I86" s="3">
        <v>41009.0</v>
      </c>
      <c r="J86" s="1">
        <v>13.0</v>
      </c>
      <c r="K86" s="1" t="s">
        <v>43</v>
      </c>
      <c r="L86" s="1" t="s">
        <v>1324</v>
      </c>
      <c r="M86" s="1" t="s">
        <v>1325</v>
      </c>
      <c r="N86" s="1" t="s">
        <v>121</v>
      </c>
      <c r="O86" s="1">
        <v>117556.0</v>
      </c>
      <c r="P86" s="1" t="s">
        <v>121</v>
      </c>
      <c r="Q86" s="1" t="s">
        <v>1326</v>
      </c>
      <c r="Y86" s="1" t="s">
        <v>1327</v>
      </c>
      <c r="AE86" s="1" t="s">
        <v>1328</v>
      </c>
      <c r="AL86" s="1" t="s">
        <v>1329</v>
      </c>
      <c r="AM86" s="1" t="s">
        <v>728</v>
      </c>
      <c r="AN86" s="1">
        <v>4.63222532674E11</v>
      </c>
      <c r="AO86" s="3">
        <v>45324.0</v>
      </c>
      <c r="AP86" s="1">
        <v>1.0</v>
      </c>
    </row>
    <row r="87" ht="15.75" customHeight="1">
      <c r="A87" s="1" t="s">
        <v>105</v>
      </c>
      <c r="B87" s="1" t="str">
        <f>IFERROR(__xludf.DUMMYFUNCTION("AI(Prompt!$B$21,A87)"),"Гросшеф")</f>
        <v>Гросшеф</v>
      </c>
      <c r="C87" s="1" t="str">
        <f>IFERROR(__xludf.DUMMYFUNCTION("AI(Prompt!$B$26,A87:B87)"),"OK")</f>
        <v>OK</v>
      </c>
      <c r="D87" s="1" t="s">
        <v>41</v>
      </c>
      <c r="E87" s="1">
        <v>5.007078598E9</v>
      </c>
      <c r="F87" s="1">
        <v>5.00701001E8</v>
      </c>
      <c r="G87" s="1">
        <v>1.115007001251E12</v>
      </c>
      <c r="H87" s="1" t="s">
        <v>42</v>
      </c>
      <c r="I87" s="3">
        <v>40633.0</v>
      </c>
      <c r="J87" s="1">
        <v>14.0</v>
      </c>
      <c r="K87" s="1" t="s">
        <v>43</v>
      </c>
      <c r="L87" s="1" t="s">
        <v>106</v>
      </c>
      <c r="M87" s="1" t="s">
        <v>107</v>
      </c>
      <c r="N87" s="1" t="s">
        <v>46</v>
      </c>
      <c r="O87" s="1">
        <v>141832.0</v>
      </c>
      <c r="P87" s="1" t="s">
        <v>108</v>
      </c>
      <c r="Q87" s="1" t="s">
        <v>109</v>
      </c>
      <c r="R87" s="1" t="s">
        <v>110</v>
      </c>
      <c r="S87" s="1" t="s">
        <v>111</v>
      </c>
      <c r="T87" s="1" t="s">
        <v>112</v>
      </c>
      <c r="U87" s="1" t="s">
        <v>89</v>
      </c>
      <c r="Y87" s="1" t="s">
        <v>113</v>
      </c>
      <c r="Z87" s="1" t="s">
        <v>93</v>
      </c>
      <c r="AA87" s="1" t="s">
        <v>114</v>
      </c>
      <c r="AB87" s="1" t="s">
        <v>115</v>
      </c>
      <c r="AE87" s="1" t="s">
        <v>116</v>
      </c>
      <c r="AF87" s="1">
        <v>706101.0</v>
      </c>
      <c r="AG87" s="1">
        <v>368174.0</v>
      </c>
      <c r="AH87" s="1">
        <v>271700.0</v>
      </c>
      <c r="AI87" s="1">
        <v>25804.0</v>
      </c>
      <c r="AJ87" s="1">
        <v>7692.0</v>
      </c>
      <c r="AK87" s="1">
        <v>6175.0</v>
      </c>
      <c r="AL87" s="1" t="s">
        <v>117</v>
      </c>
      <c r="AM87" s="1" t="s">
        <v>61</v>
      </c>
      <c r="AN87" s="1">
        <v>7.72377191003E11</v>
      </c>
      <c r="AO87" s="3">
        <v>44511.0</v>
      </c>
      <c r="AP87" s="1">
        <v>1.0</v>
      </c>
    </row>
    <row r="88" ht="15.75" customHeight="1">
      <c r="A88" s="1" t="s">
        <v>1000</v>
      </c>
      <c r="B88" s="1" t="str">
        <f>IFERROR(__xludf.DUMMYFUNCTION("AI(Prompt!$B$21,A88)"),"Таллер Фуд")</f>
        <v>Таллер Фуд</v>
      </c>
      <c r="C88" s="1" t="str">
        <f>IFERROR(__xludf.DUMMYFUNCTION("AI(Prompt!$B$26,A88:B88)"),"OK")</f>
        <v>OK</v>
      </c>
      <c r="D88" s="1" t="s">
        <v>41</v>
      </c>
      <c r="E88" s="1">
        <v>5.07504385E9</v>
      </c>
      <c r="F88" s="1">
        <v>5.07501001E8</v>
      </c>
      <c r="G88" s="1">
        <v>1.25500001175E12</v>
      </c>
      <c r="H88" s="1" t="s">
        <v>42</v>
      </c>
      <c r="I88" s="3">
        <v>45698.0</v>
      </c>
      <c r="J88" s="1">
        <v>1.0</v>
      </c>
      <c r="K88" s="1" t="s">
        <v>43</v>
      </c>
      <c r="L88" s="1" t="s">
        <v>1001</v>
      </c>
      <c r="M88" s="1" t="s">
        <v>1002</v>
      </c>
      <c r="N88" s="1" t="s">
        <v>46</v>
      </c>
      <c r="O88" s="1">
        <v>143132.0</v>
      </c>
      <c r="P88" s="1" t="s">
        <v>1003</v>
      </c>
      <c r="Q88" s="1" t="s">
        <v>1004</v>
      </c>
      <c r="U88" s="1" t="s">
        <v>1005</v>
      </c>
      <c r="AE88" s="1" t="s">
        <v>1006</v>
      </c>
      <c r="AL88" s="1" t="s">
        <v>1007</v>
      </c>
      <c r="AM88" s="1" t="s">
        <v>61</v>
      </c>
      <c r="AN88" s="1">
        <v>7.72809076145E11</v>
      </c>
      <c r="AO88" s="3">
        <v>45698.0</v>
      </c>
      <c r="AP88" s="1">
        <v>1.0</v>
      </c>
    </row>
    <row r="89" ht="15.75" customHeight="1">
      <c r="A89" s="1" t="s">
        <v>847</v>
      </c>
      <c r="B89" s="1" t="str">
        <f>IFERROR(__xludf.DUMMYFUNCTION("AI(Prompt!$B$21,A89)"),"Векъ Технологий")</f>
        <v>Векъ Технологий</v>
      </c>
      <c r="C89" s="1" t="str">
        <f>IFERROR(__xludf.DUMMYFUNCTION("AI(Prompt!$B$26,A89:B89)"),"OK")</f>
        <v>OK</v>
      </c>
      <c r="D89" s="1" t="s">
        <v>215</v>
      </c>
      <c r="E89" s="1">
        <v>7.720919619E9</v>
      </c>
      <c r="F89" s="1">
        <v>7.72001001E8</v>
      </c>
      <c r="G89" s="1">
        <v>1.237700934932E12</v>
      </c>
      <c r="H89" s="1" t="s">
        <v>42</v>
      </c>
      <c r="I89" s="3">
        <v>45285.0</v>
      </c>
      <c r="J89" s="1">
        <v>2.0</v>
      </c>
      <c r="K89" s="1" t="s">
        <v>43</v>
      </c>
      <c r="L89" s="1" t="s">
        <v>848</v>
      </c>
      <c r="M89" s="1" t="s">
        <v>849</v>
      </c>
      <c r="N89" s="1" t="s">
        <v>121</v>
      </c>
      <c r="O89" s="1">
        <v>111141.0</v>
      </c>
      <c r="P89" s="1" t="s">
        <v>121</v>
      </c>
      <c r="Q89" s="1" t="s">
        <v>850</v>
      </c>
      <c r="U89" s="1" t="s">
        <v>851</v>
      </c>
      <c r="V89" s="1" t="s">
        <v>852</v>
      </c>
      <c r="W89" s="1" t="s">
        <v>853</v>
      </c>
      <c r="AF89" s="1">
        <v>0.0</v>
      </c>
      <c r="AG89" s="1">
        <v>0.0</v>
      </c>
      <c r="AI89" s="1">
        <v>-8883.0</v>
      </c>
      <c r="AJ89" s="1">
        <v>0.0</v>
      </c>
      <c r="AL89" s="1" t="s">
        <v>854</v>
      </c>
      <c r="AM89" s="1" t="s">
        <v>61</v>
      </c>
      <c r="AN89" s="1">
        <v>5.90609595059E11</v>
      </c>
      <c r="AO89" s="3">
        <v>45285.0</v>
      </c>
      <c r="AP89" s="1">
        <v>1.0</v>
      </c>
    </row>
    <row r="90" ht="15.75" customHeight="1">
      <c r="A90" s="1" t="s">
        <v>585</v>
      </c>
      <c r="B90" s="1" t="str">
        <f>IFERROR(__xludf.DUMMYFUNCTION("AI(Prompt!$B$21,A90)"),"Веста")</f>
        <v>Веста</v>
      </c>
      <c r="C90" s="1" t="str">
        <f>IFERROR(__xludf.DUMMYFUNCTION("AI(Prompt!$B$26,A90:B90)"),"OK")</f>
        <v>OK</v>
      </c>
      <c r="D90" s="1" t="s">
        <v>215</v>
      </c>
      <c r="E90" s="1">
        <v>9.722036637E9</v>
      </c>
      <c r="F90" s="1">
        <v>7.72201001E8</v>
      </c>
      <c r="G90" s="1">
        <v>1.227700891846E12</v>
      </c>
      <c r="H90" s="1" t="s">
        <v>42</v>
      </c>
      <c r="I90" s="3">
        <v>44916.0</v>
      </c>
      <c r="J90" s="1">
        <v>3.0</v>
      </c>
      <c r="K90" s="1" t="s">
        <v>43</v>
      </c>
      <c r="L90" s="1" t="s">
        <v>586</v>
      </c>
      <c r="M90" s="1" t="s">
        <v>587</v>
      </c>
      <c r="N90" s="1" t="s">
        <v>121</v>
      </c>
      <c r="O90" s="1">
        <v>111024.0</v>
      </c>
      <c r="P90" s="1" t="s">
        <v>121</v>
      </c>
      <c r="Q90" s="1" t="s">
        <v>588</v>
      </c>
      <c r="R90" s="1" t="s">
        <v>589</v>
      </c>
      <c r="S90" s="1" t="s">
        <v>590</v>
      </c>
      <c r="U90" s="1" t="s">
        <v>591</v>
      </c>
      <c r="Y90" s="1" t="s">
        <v>592</v>
      </c>
      <c r="Z90" s="1" t="s">
        <v>593</v>
      </c>
      <c r="AA90" s="1" t="s">
        <v>594</v>
      </c>
      <c r="AB90" s="1" t="s">
        <v>595</v>
      </c>
      <c r="AE90" s="1" t="s">
        <v>596</v>
      </c>
      <c r="AF90" s="1">
        <v>5420.0</v>
      </c>
      <c r="AG90" s="1">
        <v>247.0</v>
      </c>
      <c r="AH90" s="1">
        <v>0.0</v>
      </c>
      <c r="AI90" s="1">
        <v>169.0</v>
      </c>
      <c r="AJ90" s="1">
        <v>4.0</v>
      </c>
      <c r="AK90" s="1">
        <v>0.0</v>
      </c>
      <c r="AL90" s="1" t="s">
        <v>597</v>
      </c>
      <c r="AM90" s="1" t="s">
        <v>61</v>
      </c>
      <c r="AN90" s="1">
        <v>5.00707857636E11</v>
      </c>
      <c r="AO90" s="3">
        <v>44916.0</v>
      </c>
      <c r="AP90" s="1">
        <v>1.0</v>
      </c>
    </row>
    <row r="91" ht="15.75" customHeight="1">
      <c r="A91" s="1" t="s">
        <v>205</v>
      </c>
      <c r="B91" s="1" t="str">
        <f>IFERROR(__xludf.DUMMYFUNCTION("AI(Prompt!$B$21,A91)"),"Волли")</f>
        <v>Волли</v>
      </c>
      <c r="C91" s="1" t="str">
        <f>IFERROR(__xludf.DUMMYFUNCTION("AI(Prompt!$B$26,A91:B91)"),"OK")</f>
        <v>OK</v>
      </c>
      <c r="D91" s="1" t="s">
        <v>41</v>
      </c>
      <c r="E91" s="1">
        <v>7.7046692E9</v>
      </c>
      <c r="F91" s="1">
        <v>7.72001001E8</v>
      </c>
      <c r="G91" s="1">
        <v>1.07776314535E12</v>
      </c>
      <c r="H91" s="1" t="s">
        <v>42</v>
      </c>
      <c r="I91" s="3">
        <v>39414.0</v>
      </c>
      <c r="J91" s="1">
        <v>18.0</v>
      </c>
      <c r="K91" s="1" t="s">
        <v>43</v>
      </c>
      <c r="L91" s="1" t="s">
        <v>206</v>
      </c>
      <c r="M91" s="1" t="s">
        <v>207</v>
      </c>
      <c r="N91" s="1" t="s">
        <v>121</v>
      </c>
      <c r="O91" s="1">
        <v>105118.0</v>
      </c>
      <c r="P91" s="1" t="s">
        <v>121</v>
      </c>
      <c r="Q91" s="1" t="s">
        <v>208</v>
      </c>
      <c r="R91" s="1" t="s">
        <v>209</v>
      </c>
      <c r="Y91" s="1" t="s">
        <v>210</v>
      </c>
      <c r="Z91" s="1" t="s">
        <v>211</v>
      </c>
      <c r="AE91" s="1" t="s">
        <v>212</v>
      </c>
      <c r="AF91" s="1">
        <v>213476.0</v>
      </c>
      <c r="AG91" s="1">
        <v>207027.0</v>
      </c>
      <c r="AH91" s="1">
        <v>76638.0</v>
      </c>
      <c r="AI91" s="1">
        <v>3443.0</v>
      </c>
      <c r="AJ91" s="1">
        <v>40921.0</v>
      </c>
      <c r="AK91" s="1">
        <v>25980.0</v>
      </c>
      <c r="AL91" s="1" t="s">
        <v>213</v>
      </c>
      <c r="AM91" s="1" t="s">
        <v>61</v>
      </c>
      <c r="AN91" s="1">
        <v>7.72075135429E11</v>
      </c>
      <c r="AO91" s="3">
        <v>45734.0</v>
      </c>
      <c r="AP91" s="1">
        <v>1.0</v>
      </c>
    </row>
    <row r="92" ht="15.75" customHeight="1">
      <c r="A92" s="1" t="s">
        <v>648</v>
      </c>
      <c r="B92" s="1" t="str">
        <f>IFERROR(__xludf.DUMMYFUNCTION("AI(Prompt!$B$21,A92)"),"Спецдеталь")</f>
        <v>Спецдеталь</v>
      </c>
      <c r="C92" s="1" t="str">
        <f>IFERROR(__xludf.DUMMYFUNCTION("AI(Prompt!$B$26,A92:B92)"),"OK")</f>
        <v>OK</v>
      </c>
      <c r="D92" s="1" t="s">
        <v>41</v>
      </c>
      <c r="E92" s="1">
        <v>5.034057533E9</v>
      </c>
      <c r="F92" s="1">
        <v>5.03401001E8</v>
      </c>
      <c r="G92" s="1">
        <v>1.195081024742E12</v>
      </c>
      <c r="H92" s="1" t="s">
        <v>42</v>
      </c>
      <c r="I92" s="3">
        <v>43564.0</v>
      </c>
      <c r="J92" s="1">
        <v>6.0</v>
      </c>
      <c r="K92" s="1" t="s">
        <v>43</v>
      </c>
      <c r="L92" s="1" t="s">
        <v>649</v>
      </c>
      <c r="M92" s="1" t="s">
        <v>650</v>
      </c>
      <c r="N92" s="1" t="s">
        <v>46</v>
      </c>
      <c r="O92" s="1">
        <v>142600.0</v>
      </c>
      <c r="P92" s="1" t="s">
        <v>523</v>
      </c>
      <c r="Q92" s="1" t="s">
        <v>651</v>
      </c>
      <c r="AE92" s="1" t="s">
        <v>652</v>
      </c>
      <c r="AF92" s="1">
        <v>3564.0</v>
      </c>
      <c r="AG92" s="1">
        <v>1787.0</v>
      </c>
      <c r="AH92" s="1">
        <v>0.0</v>
      </c>
      <c r="AI92" s="1">
        <v>74.0</v>
      </c>
      <c r="AJ92" s="1">
        <v>83.0</v>
      </c>
      <c r="AK92" s="1">
        <v>-36.0</v>
      </c>
      <c r="AL92" s="1" t="s">
        <v>653</v>
      </c>
      <c r="AM92" s="1" t="s">
        <v>61</v>
      </c>
      <c r="AN92" s="1">
        <v>5.03410290197E11</v>
      </c>
      <c r="AO92" s="3">
        <v>44816.0</v>
      </c>
      <c r="AP92" s="1">
        <v>1.0</v>
      </c>
    </row>
    <row r="93" ht="15.75" customHeight="1">
      <c r="A93" s="1" t="s">
        <v>1409</v>
      </c>
      <c r="B93" s="1" t="str">
        <f>IFERROR(__xludf.DUMMYFUNCTION("AI(Prompt!$B$21,A93)"),"ИП Крылова")</f>
        <v>ИП Крылова</v>
      </c>
      <c r="C93" s="1" t="str">
        <f>IFERROR(__xludf.DUMMYFUNCTION("AI(Prompt!$B$26,A93:B93)"),"OK")</f>
        <v>OK</v>
      </c>
      <c r="D93" s="1" t="s">
        <v>864</v>
      </c>
      <c r="E93" s="1">
        <v>7.73602277344E11</v>
      </c>
      <c r="G93" s="1">
        <v>3.22774600309819E14</v>
      </c>
      <c r="H93" s="1" t="s">
        <v>42</v>
      </c>
      <c r="I93" s="3">
        <v>44700.0</v>
      </c>
      <c r="J93" s="1">
        <v>3.0</v>
      </c>
      <c r="K93" s="1" t="s">
        <v>43</v>
      </c>
      <c r="L93" s="1" t="s">
        <v>1410</v>
      </c>
      <c r="M93" s="1" t="s">
        <v>1411</v>
      </c>
      <c r="N93" s="1" t="s">
        <v>121</v>
      </c>
      <c r="Q93" s="1" t="s">
        <v>1412</v>
      </c>
      <c r="R93" s="1" t="s">
        <v>1413</v>
      </c>
      <c r="Y93" s="1" t="s">
        <v>1414</v>
      </c>
      <c r="AL93" s="1" t="s">
        <v>1409</v>
      </c>
      <c r="AN93" s="1">
        <v>7.73602277344E11</v>
      </c>
      <c r="AP93" s="1">
        <v>2.0</v>
      </c>
    </row>
    <row r="94" ht="15.75" customHeight="1">
      <c r="A94" s="1" t="s">
        <v>786</v>
      </c>
      <c r="B94" s="1" t="str">
        <f>IFERROR(__xludf.DUMMYFUNCTION("AI(Prompt!$B$21,A94)"),"Мерлин")</f>
        <v>Мерлин</v>
      </c>
      <c r="C94" s="1" t="str">
        <f>IFERROR(__xludf.DUMMYFUNCTION("AI(Prompt!$B$26,A94:B94)"),"OK")</f>
        <v>OK</v>
      </c>
      <c r="D94" s="1" t="s">
        <v>41</v>
      </c>
      <c r="E94" s="1">
        <v>5.012109996E9</v>
      </c>
      <c r="F94" s="1">
        <v>5.01201001E8</v>
      </c>
      <c r="G94" s="1">
        <v>1.23500004451E12</v>
      </c>
      <c r="H94" s="1" t="s">
        <v>42</v>
      </c>
      <c r="I94" s="3">
        <v>45027.0</v>
      </c>
      <c r="J94" s="1">
        <v>2.0</v>
      </c>
      <c r="K94" s="1" t="s">
        <v>43</v>
      </c>
      <c r="L94" s="1" t="s">
        <v>787</v>
      </c>
      <c r="M94" s="1" t="s">
        <v>788</v>
      </c>
      <c r="N94" s="1" t="s">
        <v>46</v>
      </c>
      <c r="O94" s="1">
        <v>143988.0</v>
      </c>
      <c r="P94" s="1" t="s">
        <v>694</v>
      </c>
      <c r="Q94" s="1" t="s">
        <v>789</v>
      </c>
      <c r="AE94" s="1" t="s">
        <v>790</v>
      </c>
      <c r="AF94" s="1">
        <v>0.0</v>
      </c>
      <c r="AG94" s="1">
        <v>0.0</v>
      </c>
      <c r="AH94" s="1">
        <v>0.0</v>
      </c>
      <c r="AI94" s="1">
        <v>0.0</v>
      </c>
      <c r="AJ94" s="1">
        <v>-3.0</v>
      </c>
      <c r="AK94" s="1">
        <v>0.0</v>
      </c>
      <c r="AL94" s="1" t="s">
        <v>791</v>
      </c>
      <c r="AM94" s="1" t="s">
        <v>61</v>
      </c>
      <c r="AN94" s="1">
        <v>2.80123033997E11</v>
      </c>
      <c r="AO94" s="3">
        <v>45027.0</v>
      </c>
      <c r="AP94" s="1">
        <v>1.0</v>
      </c>
    </row>
    <row r="95" ht="15.75" customHeight="1">
      <c r="A95" s="1" t="s">
        <v>1210</v>
      </c>
      <c r="B95" s="1" t="str">
        <f>IFERROR(__xludf.DUMMYFUNCTION("AI(Prompt!$B$21,A95)"),"ИП Пужайкина")</f>
        <v>ИП Пужайкина</v>
      </c>
      <c r="C95" s="1" t="str">
        <f>IFERROR(__xludf.DUMMYFUNCTION("AI(Prompt!$B$26,A95:B95)"),"OK")</f>
        <v>OK</v>
      </c>
      <c r="D95" s="1" t="s">
        <v>864</v>
      </c>
      <c r="E95" s="1">
        <v>7.71805665902E11</v>
      </c>
      <c r="G95" s="1">
        <v>3.23774600155696E14</v>
      </c>
      <c r="H95" s="1" t="s">
        <v>42</v>
      </c>
      <c r="I95" s="3">
        <v>44998.0</v>
      </c>
      <c r="J95" s="1">
        <v>2.0</v>
      </c>
      <c r="K95" s="1" t="s">
        <v>43</v>
      </c>
      <c r="L95" s="1" t="s">
        <v>1211</v>
      </c>
      <c r="M95" s="1" t="s">
        <v>1212</v>
      </c>
      <c r="N95" s="1" t="s">
        <v>121</v>
      </c>
      <c r="Q95" s="1" t="s">
        <v>1213</v>
      </c>
      <c r="AL95" s="1" t="s">
        <v>1210</v>
      </c>
      <c r="AN95" s="1">
        <v>7.71805665902E11</v>
      </c>
      <c r="AP95" s="1">
        <v>2.0</v>
      </c>
    </row>
    <row r="96" ht="15.75" customHeight="1">
      <c r="A96" s="1" t="s">
        <v>1299</v>
      </c>
      <c r="B96" s="1" t="str">
        <f>IFERROR(__xludf.DUMMYFUNCTION("AI(Prompt!$B$21,A96)"),"ИП Дмитриевский")</f>
        <v>ИП Дмитриевский</v>
      </c>
      <c r="C96" s="1" t="str">
        <f>IFERROR(__xludf.DUMMYFUNCTION("AI(Prompt!$B$26,A96:B96)"),"OK")</f>
        <v>OK</v>
      </c>
      <c r="D96" s="1" t="s">
        <v>864</v>
      </c>
      <c r="E96" s="1">
        <v>7.72782449453E11</v>
      </c>
      <c r="G96" s="1">
        <v>3.1677460038936E14</v>
      </c>
      <c r="H96" s="1" t="s">
        <v>42</v>
      </c>
      <c r="I96" s="3">
        <v>42619.0</v>
      </c>
      <c r="J96" s="1">
        <v>9.0</v>
      </c>
      <c r="K96" s="1" t="s">
        <v>43</v>
      </c>
      <c r="L96" s="1" t="s">
        <v>1300</v>
      </c>
      <c r="M96" s="1" t="s">
        <v>1301</v>
      </c>
      <c r="N96" s="1" t="s">
        <v>121</v>
      </c>
      <c r="Q96" s="1" t="s">
        <v>1302</v>
      </c>
      <c r="R96" s="1" t="s">
        <v>1303</v>
      </c>
      <c r="S96" s="1" t="s">
        <v>1304</v>
      </c>
      <c r="U96" s="1" t="s">
        <v>1305</v>
      </c>
      <c r="Y96" s="1" t="s">
        <v>1306</v>
      </c>
      <c r="Z96" s="1" t="s">
        <v>1307</v>
      </c>
      <c r="AL96" s="1" t="s">
        <v>1299</v>
      </c>
      <c r="AN96" s="1">
        <v>7.72782449453E11</v>
      </c>
      <c r="AP96" s="1">
        <v>1.0</v>
      </c>
    </row>
    <row r="97" ht="15.75" customHeight="1">
      <c r="A97" s="1" t="s">
        <v>869</v>
      </c>
      <c r="B97" s="1" t="str">
        <f>IFERROR(__xludf.DUMMYFUNCTION("AI(Prompt!$B$21,A97)"),"ИП Гамонин")</f>
        <v>ИП Гамонин</v>
      </c>
      <c r="C97" s="1" t="str">
        <f>IFERROR(__xludf.DUMMYFUNCTION("AI(Prompt!$B$26,A97:B97)"),"OK")</f>
        <v>OK</v>
      </c>
      <c r="D97" s="1" t="s">
        <v>864</v>
      </c>
      <c r="E97" s="1">
        <v>5.01808813718E11</v>
      </c>
      <c r="G97" s="1">
        <v>3.17502900042673E14</v>
      </c>
      <c r="H97" s="1" t="s">
        <v>42</v>
      </c>
      <c r="I97" s="3">
        <v>42964.0</v>
      </c>
      <c r="J97" s="1">
        <v>8.0</v>
      </c>
      <c r="K97" s="1" t="s">
        <v>43</v>
      </c>
      <c r="L97" s="1" t="s">
        <v>870</v>
      </c>
      <c r="M97" s="1" t="s">
        <v>871</v>
      </c>
      <c r="N97" s="1" t="s">
        <v>46</v>
      </c>
      <c r="P97" s="1" t="s">
        <v>428</v>
      </c>
      <c r="Q97" s="1" t="s">
        <v>872</v>
      </c>
      <c r="AL97" s="1" t="s">
        <v>869</v>
      </c>
      <c r="AN97" s="1">
        <v>5.01808813718E11</v>
      </c>
      <c r="AP97" s="1">
        <v>1.0</v>
      </c>
    </row>
    <row r="98" ht="15.75" customHeight="1">
      <c r="A98" s="1" t="s">
        <v>948</v>
      </c>
      <c r="B98" s="1" t="str">
        <f>IFERROR(__xludf.DUMMYFUNCTION("AI(Prompt!$B$21,A98)"),"ИП Иванникова")</f>
        <v>ИП Иванникова</v>
      </c>
      <c r="C98" s="1" t="str">
        <f>IFERROR(__xludf.DUMMYFUNCTION("AI(Prompt!$B$26,A98:B98)"),"OK")</f>
        <v>OK</v>
      </c>
      <c r="D98" s="1" t="s">
        <v>864</v>
      </c>
      <c r="E98" s="1">
        <v>5.03609923389E11</v>
      </c>
      <c r="G98" s="1">
        <v>3.22508100298205E14</v>
      </c>
      <c r="H98" s="1" t="s">
        <v>42</v>
      </c>
      <c r="I98" s="3">
        <v>44722.0</v>
      </c>
      <c r="J98" s="1">
        <v>3.0</v>
      </c>
      <c r="K98" s="1" t="s">
        <v>43</v>
      </c>
      <c r="L98" s="1" t="s">
        <v>949</v>
      </c>
      <c r="M98" s="1" t="s">
        <v>950</v>
      </c>
      <c r="N98" s="1" t="s">
        <v>46</v>
      </c>
      <c r="P98" s="1" t="s">
        <v>951</v>
      </c>
      <c r="Q98" s="1" t="s">
        <v>952</v>
      </c>
      <c r="AL98" s="1" t="s">
        <v>948</v>
      </c>
      <c r="AN98" s="1">
        <v>5.03609923389E11</v>
      </c>
      <c r="AP98" s="1">
        <v>2.0</v>
      </c>
    </row>
    <row r="99" ht="15.75" customHeight="1">
      <c r="A99" s="1" t="s">
        <v>1285</v>
      </c>
      <c r="B99" s="1" t="str">
        <f>IFERROR(__xludf.DUMMYFUNCTION("AI(Prompt!$B$21,A99)"),"ИП Серебро")</f>
        <v>ИП Серебро</v>
      </c>
      <c r="C99" s="1" t="str">
        <f>IFERROR(__xludf.DUMMYFUNCTION("AI(Prompt!$B$26,A99:B99)"),"OK")</f>
        <v>OK</v>
      </c>
      <c r="D99" s="1" t="s">
        <v>864</v>
      </c>
      <c r="E99" s="1">
        <v>7.72326077091E11</v>
      </c>
      <c r="G99" s="1">
        <v>3.20774600044287E14</v>
      </c>
      <c r="H99" s="1" t="s">
        <v>42</v>
      </c>
      <c r="I99" s="3">
        <v>43859.0</v>
      </c>
      <c r="J99" s="1">
        <v>6.0</v>
      </c>
      <c r="K99" s="1" t="s">
        <v>43</v>
      </c>
      <c r="L99" s="1" t="s">
        <v>1286</v>
      </c>
      <c r="M99" s="1" t="s">
        <v>1287</v>
      </c>
      <c r="N99" s="1" t="s">
        <v>121</v>
      </c>
      <c r="Q99" s="1" t="s">
        <v>1288</v>
      </c>
      <c r="AL99" s="1" t="s">
        <v>1285</v>
      </c>
      <c r="AN99" s="1">
        <v>7.72326077091E11</v>
      </c>
      <c r="AP99" s="1">
        <v>2.0</v>
      </c>
    </row>
    <row r="100" ht="15.75" customHeight="1">
      <c r="A100" s="1" t="s">
        <v>256</v>
      </c>
      <c r="B100" s="1" t="str">
        <f>IFERROR(__xludf.DUMMYFUNCTION("AI(Prompt!$B$21,A100)"),"Лайф")</f>
        <v>Лайф</v>
      </c>
      <c r="C100" s="1" t="str">
        <f>IFERROR(__xludf.DUMMYFUNCTION("AI(Prompt!$B$26,A100:B100)"),"OK")</f>
        <v>OK</v>
      </c>
      <c r="D100" s="1" t="s">
        <v>41</v>
      </c>
      <c r="E100" s="1">
        <v>9.725063822E9</v>
      </c>
      <c r="F100" s="1">
        <v>7.72501001E8</v>
      </c>
      <c r="G100" s="1">
        <v>1.21770050918E12</v>
      </c>
      <c r="H100" s="1" t="s">
        <v>42</v>
      </c>
      <c r="I100" s="3">
        <v>44491.0</v>
      </c>
      <c r="J100" s="1">
        <v>4.0</v>
      </c>
      <c r="K100" s="1" t="s">
        <v>43</v>
      </c>
      <c r="L100" s="1" t="s">
        <v>257</v>
      </c>
      <c r="M100" s="1" t="s">
        <v>258</v>
      </c>
      <c r="N100" s="1" t="s">
        <v>121</v>
      </c>
      <c r="O100" s="1">
        <v>115114.0</v>
      </c>
      <c r="P100" s="1" t="s">
        <v>121</v>
      </c>
      <c r="Q100" s="1" t="s">
        <v>259</v>
      </c>
      <c r="R100" s="1" t="s">
        <v>260</v>
      </c>
      <c r="S100" s="1" t="s">
        <v>261</v>
      </c>
      <c r="Y100" s="1" t="s">
        <v>262</v>
      </c>
      <c r="Z100" s="1" t="s">
        <v>263</v>
      </c>
      <c r="AE100" s="1" t="s">
        <v>264</v>
      </c>
      <c r="AF100" s="1">
        <v>149223.0</v>
      </c>
      <c r="AG100" s="1">
        <v>90641.0</v>
      </c>
      <c r="AH100" s="1">
        <v>12227.0</v>
      </c>
      <c r="AI100" s="1">
        <v>27081.0</v>
      </c>
      <c r="AJ100" s="1">
        <v>4493.0</v>
      </c>
      <c r="AK100" s="1">
        <v>4858.0</v>
      </c>
      <c r="AL100" s="1" t="s">
        <v>265</v>
      </c>
      <c r="AM100" s="1" t="s">
        <v>61</v>
      </c>
      <c r="AN100" s="1">
        <v>7.61204956403E11</v>
      </c>
      <c r="AO100" s="3">
        <v>44491.0</v>
      </c>
      <c r="AP100" s="1">
        <v>1.0</v>
      </c>
    </row>
    <row r="101" ht="15.75" customHeight="1">
      <c r="A101" s="1" t="s">
        <v>160</v>
      </c>
      <c r="B101" s="1" t="str">
        <f>IFERROR(__xludf.DUMMYFUNCTION("AI(Prompt!$B$21,A101)"),"Фаворит")</f>
        <v>Фаворит</v>
      </c>
      <c r="C101" s="1" t="str">
        <f>IFERROR(__xludf.DUMMYFUNCTION("AI(Prompt!$B$26,A101:B101)"),"OK")</f>
        <v>OK</v>
      </c>
      <c r="D101" s="1" t="s">
        <v>41</v>
      </c>
      <c r="E101" s="1">
        <v>5.042151748E9</v>
      </c>
      <c r="F101" s="1">
        <v>5.04201001E8</v>
      </c>
      <c r="G101" s="1">
        <v>1.195081045598E12</v>
      </c>
      <c r="H101" s="1" t="s">
        <v>42</v>
      </c>
      <c r="I101" s="3">
        <v>43648.0</v>
      </c>
      <c r="J101" s="1">
        <v>6.0</v>
      </c>
      <c r="K101" s="1" t="s">
        <v>43</v>
      </c>
      <c r="L101" s="1" t="s">
        <v>161</v>
      </c>
      <c r="M101" s="1" t="s">
        <v>162</v>
      </c>
      <c r="N101" s="1" t="s">
        <v>46</v>
      </c>
      <c r="O101" s="1">
        <v>141304.0</v>
      </c>
      <c r="P101" s="1" t="s">
        <v>163</v>
      </c>
      <c r="Q101" s="1" t="s">
        <v>164</v>
      </c>
      <c r="R101" s="1" t="s">
        <v>165</v>
      </c>
      <c r="S101" s="1" t="s">
        <v>166</v>
      </c>
      <c r="T101" s="1" t="s">
        <v>167</v>
      </c>
      <c r="U101" s="1" t="s">
        <v>168</v>
      </c>
      <c r="V101" s="1" t="s">
        <v>169</v>
      </c>
      <c r="Y101" s="1" t="s">
        <v>170</v>
      </c>
      <c r="Z101" s="1" t="s">
        <v>171</v>
      </c>
      <c r="AA101" s="1" t="s">
        <v>172</v>
      </c>
      <c r="AB101" s="1" t="s">
        <v>173</v>
      </c>
      <c r="AE101" s="1" t="s">
        <v>174</v>
      </c>
      <c r="AF101" s="1">
        <v>389773.0</v>
      </c>
      <c r="AG101" s="1">
        <v>384376.0</v>
      </c>
      <c r="AH101" s="1">
        <v>278096.0</v>
      </c>
      <c r="AI101" s="1">
        <v>28668.0</v>
      </c>
      <c r="AJ101" s="1">
        <v>53313.0</v>
      </c>
      <c r="AK101" s="1">
        <v>36335.0</v>
      </c>
      <c r="AL101" s="1" t="s">
        <v>175</v>
      </c>
      <c r="AM101" s="1" t="s">
        <v>61</v>
      </c>
      <c r="AN101" s="1">
        <v>1.50601029979E11</v>
      </c>
      <c r="AO101" s="3">
        <v>44181.0</v>
      </c>
      <c r="AP101" s="1">
        <v>1.0</v>
      </c>
    </row>
    <row r="102" ht="15.75" customHeight="1">
      <c r="A102" s="1" t="s">
        <v>145</v>
      </c>
      <c r="B102" s="1" t="str">
        <f>IFERROR(__xludf.DUMMYFUNCTION("AI(Prompt!$B$21,A102)"),"Продконтрактинвест")</f>
        <v>Продконтрактинвест</v>
      </c>
      <c r="C102" s="1" t="str">
        <f>IFERROR(__xludf.DUMMYFUNCTION("AI(Prompt!$B$26,A102:B102)"),"OK")</f>
        <v>OK</v>
      </c>
      <c r="D102" s="1" t="s">
        <v>41</v>
      </c>
      <c r="E102" s="1">
        <v>6.147020504E9</v>
      </c>
      <c r="F102" s="1">
        <v>7.72401001E8</v>
      </c>
      <c r="G102" s="1">
        <v>1.026102110605E12</v>
      </c>
      <c r="H102" s="1" t="s">
        <v>42</v>
      </c>
      <c r="I102" s="3">
        <v>37118.0</v>
      </c>
      <c r="J102" s="1">
        <v>24.0</v>
      </c>
      <c r="K102" s="1" t="s">
        <v>43</v>
      </c>
      <c r="L102" s="1" t="s">
        <v>146</v>
      </c>
      <c r="M102" s="1" t="s">
        <v>147</v>
      </c>
      <c r="N102" s="1" t="s">
        <v>121</v>
      </c>
      <c r="O102" s="1">
        <v>115304.0</v>
      </c>
      <c r="P102" s="1" t="s">
        <v>121</v>
      </c>
      <c r="Q102" s="1" t="s">
        <v>148</v>
      </c>
      <c r="R102" s="1" t="s">
        <v>149</v>
      </c>
      <c r="S102" s="1" t="s">
        <v>150</v>
      </c>
      <c r="T102" s="1" t="s">
        <v>151</v>
      </c>
      <c r="U102" s="1" t="s">
        <v>152</v>
      </c>
      <c r="V102" s="1" t="s">
        <v>153</v>
      </c>
      <c r="Y102" s="1" t="s">
        <v>154</v>
      </c>
      <c r="Z102" s="1" t="s">
        <v>155</v>
      </c>
      <c r="AA102" s="1" t="s">
        <v>156</v>
      </c>
      <c r="AB102" s="1" t="s">
        <v>157</v>
      </c>
      <c r="AE102" s="1" t="s">
        <v>158</v>
      </c>
      <c r="AF102" s="1">
        <v>467480.0</v>
      </c>
      <c r="AG102" s="1">
        <v>496719.0</v>
      </c>
      <c r="AH102" s="1">
        <v>820323.0</v>
      </c>
      <c r="AI102" s="1">
        <v>527.0</v>
      </c>
      <c r="AJ102" s="1">
        <v>636.0</v>
      </c>
      <c r="AK102" s="1">
        <v>1025.0</v>
      </c>
      <c r="AL102" s="1" t="s">
        <v>159</v>
      </c>
      <c r="AM102" s="1" t="s">
        <v>61</v>
      </c>
      <c r="AN102" s="1">
        <v>6.14200020572E11</v>
      </c>
      <c r="AO102" s="3">
        <v>41478.0</v>
      </c>
      <c r="AP102" s="1">
        <v>1.0</v>
      </c>
    </row>
    <row r="103" ht="15.75" customHeight="1">
      <c r="A103" s="1" t="s">
        <v>1013</v>
      </c>
      <c r="B103" s="1" t="str">
        <f>IFERROR(__xludf.DUMMYFUNCTION("AI(Prompt!$B$21,A103)"),"ИП Данилова")</f>
        <v>ИП Данилова</v>
      </c>
      <c r="C103" s="1" t="str">
        <f>IFERROR(__xludf.DUMMYFUNCTION("AI(Prompt!$B$26,A103:B103)"),"OK")</f>
        <v>OK</v>
      </c>
      <c r="D103" s="1" t="s">
        <v>864</v>
      </c>
      <c r="E103" s="1">
        <v>2.3090380585E11</v>
      </c>
      <c r="G103" s="1">
        <v>3.2350810060426E14</v>
      </c>
      <c r="H103" s="1" t="s">
        <v>42</v>
      </c>
      <c r="I103" s="3">
        <v>45238.0</v>
      </c>
      <c r="J103" s="1">
        <v>2.0</v>
      </c>
      <c r="K103" s="1" t="s">
        <v>43</v>
      </c>
      <c r="L103" s="1" t="s">
        <v>1014</v>
      </c>
      <c r="M103" s="1" t="s">
        <v>1015</v>
      </c>
      <c r="N103" s="1" t="s">
        <v>46</v>
      </c>
      <c r="P103" s="1" t="s">
        <v>1016</v>
      </c>
      <c r="Q103" s="1" t="s">
        <v>1017</v>
      </c>
      <c r="Y103" s="1" t="s">
        <v>1018</v>
      </c>
      <c r="AL103" s="1" t="s">
        <v>1013</v>
      </c>
      <c r="AN103" s="1">
        <v>2.3090380585E11</v>
      </c>
      <c r="AP103" s="1">
        <v>2.0</v>
      </c>
    </row>
    <row r="104" ht="15.75" customHeight="1">
      <c r="A104" s="1" t="s">
        <v>1277</v>
      </c>
      <c r="B104" s="1" t="str">
        <f>IFERROR(__xludf.DUMMYFUNCTION("AI(Prompt!$B$21,A104)"),"ИП Бусловская")</f>
        <v>ИП Бусловская</v>
      </c>
      <c r="C104" s="1" t="str">
        <f>IFERROR(__xludf.DUMMYFUNCTION("AI(Prompt!$B$26,A104:B104)"),"OK")</f>
        <v>OK</v>
      </c>
      <c r="D104" s="1" t="s">
        <v>864</v>
      </c>
      <c r="E104" s="1">
        <v>7.72072275805E11</v>
      </c>
      <c r="G104" s="1">
        <v>3.22774600439418E14</v>
      </c>
      <c r="H104" s="1" t="s">
        <v>42</v>
      </c>
      <c r="I104" s="3">
        <v>44762.0</v>
      </c>
      <c r="J104" s="1">
        <v>3.0</v>
      </c>
      <c r="K104" s="1" t="s">
        <v>43</v>
      </c>
      <c r="L104" s="1" t="s">
        <v>1278</v>
      </c>
      <c r="M104" s="1" t="s">
        <v>1279</v>
      </c>
      <c r="N104" s="1" t="s">
        <v>121</v>
      </c>
      <c r="Q104" s="1" t="s">
        <v>1280</v>
      </c>
      <c r="AL104" s="1" t="s">
        <v>1277</v>
      </c>
      <c r="AN104" s="1">
        <v>7.72072275805E11</v>
      </c>
      <c r="AP104" s="1">
        <v>2.0</v>
      </c>
    </row>
    <row r="105" ht="15.75" customHeight="1">
      <c r="A105" s="1" t="s">
        <v>404</v>
      </c>
      <c r="B105" s="1" t="str">
        <f>IFERROR(__xludf.DUMMYFUNCTION("AI(Prompt!$B$21,A105)"),"Мособлторг")</f>
        <v>Мособлторг</v>
      </c>
      <c r="C105" s="1" t="str">
        <f>IFERROR(__xludf.DUMMYFUNCTION("AI(Prompt!$B$26,A105:B105)"),"OK")</f>
        <v>OK</v>
      </c>
      <c r="D105" s="1" t="s">
        <v>41</v>
      </c>
      <c r="E105" s="1">
        <v>5.027160226E9</v>
      </c>
      <c r="F105" s="1">
        <v>5.02701001E8</v>
      </c>
      <c r="G105" s="1">
        <v>1.10502700406E12</v>
      </c>
      <c r="H105" s="1" t="s">
        <v>42</v>
      </c>
      <c r="I105" s="3">
        <v>40269.0</v>
      </c>
      <c r="J105" s="1">
        <v>15.0</v>
      </c>
      <c r="K105" s="1" t="s">
        <v>43</v>
      </c>
      <c r="L105" s="1" t="s">
        <v>405</v>
      </c>
      <c r="M105" s="1" t="s">
        <v>406</v>
      </c>
      <c r="N105" s="1" t="s">
        <v>46</v>
      </c>
      <c r="O105" s="1">
        <v>140000.0</v>
      </c>
      <c r="P105" s="1" t="s">
        <v>407</v>
      </c>
      <c r="Q105" s="1" t="s">
        <v>408</v>
      </c>
      <c r="AE105" s="1" t="s">
        <v>409</v>
      </c>
      <c r="AF105" s="1">
        <v>14512.0</v>
      </c>
      <c r="AG105" s="1">
        <v>18358.0</v>
      </c>
      <c r="AH105" s="1">
        <v>20083.0</v>
      </c>
      <c r="AI105" s="1">
        <v>-6476.0</v>
      </c>
      <c r="AJ105" s="1">
        <v>874.0</v>
      </c>
      <c r="AK105" s="1">
        <v>2866.0</v>
      </c>
      <c r="AL105" s="1" t="s">
        <v>410</v>
      </c>
      <c r="AM105" s="1" t="s">
        <v>61</v>
      </c>
      <c r="AN105" s="1">
        <v>6.14206736404E11</v>
      </c>
      <c r="AO105" s="3">
        <v>42478.0</v>
      </c>
      <c r="AP105" s="1">
        <v>1.0</v>
      </c>
    </row>
    <row r="106" ht="15.75" customHeight="1">
      <c r="A106" s="1" t="s">
        <v>1214</v>
      </c>
      <c r="B106" s="1" t="str">
        <f>IFERROR(__xludf.DUMMYFUNCTION("AI(Prompt!$B$21,A106)"),"ИП Катеринич")</f>
        <v>ИП Катеринич</v>
      </c>
      <c r="C106" s="1" t="str">
        <f>IFERROR(__xludf.DUMMYFUNCTION("AI(Prompt!$B$26,A106:B106)"),"OK")</f>
        <v>OK</v>
      </c>
      <c r="D106" s="1" t="s">
        <v>864</v>
      </c>
      <c r="E106" s="1">
        <v>4.63306940327E11</v>
      </c>
      <c r="G106" s="1">
        <v>3.24774600067602E14</v>
      </c>
      <c r="H106" s="1" t="s">
        <v>42</v>
      </c>
      <c r="I106" s="3">
        <v>45323.0</v>
      </c>
      <c r="J106" s="1">
        <v>2.0</v>
      </c>
      <c r="K106" s="1" t="s">
        <v>43</v>
      </c>
      <c r="L106" s="1" t="s">
        <v>1215</v>
      </c>
      <c r="M106" s="1" t="s">
        <v>1216</v>
      </c>
      <c r="N106" s="1" t="s">
        <v>121</v>
      </c>
      <c r="Q106" s="1" t="s">
        <v>1217</v>
      </c>
      <c r="AL106" s="1" t="s">
        <v>1214</v>
      </c>
      <c r="AN106" s="1">
        <v>4.63306940327E11</v>
      </c>
      <c r="AP106" s="1">
        <v>1.0</v>
      </c>
    </row>
    <row r="107" ht="15.75" customHeight="1">
      <c r="A107" s="1" t="s">
        <v>293</v>
      </c>
      <c r="B107" s="1" t="str">
        <f>IFERROR(__xludf.DUMMYFUNCTION("AI(Prompt!$B$21,A107)"),"Корм.сом")</f>
        <v>Корм.сом</v>
      </c>
      <c r="C107" s="1" t="str">
        <f>IFERROR(__xludf.DUMMYFUNCTION("AI(Prompt!$B$26,A107:B107)"),"OK")</f>
        <v>OK</v>
      </c>
      <c r="D107" s="1" t="s">
        <v>41</v>
      </c>
      <c r="E107" s="1">
        <v>5.042080705E9</v>
      </c>
      <c r="F107" s="1">
        <v>7.71501001E8</v>
      </c>
      <c r="G107" s="1">
        <v>1.055008007471E12</v>
      </c>
      <c r="H107" s="1" t="s">
        <v>42</v>
      </c>
      <c r="I107" s="3">
        <v>38457.0</v>
      </c>
      <c r="J107" s="1">
        <v>20.0</v>
      </c>
      <c r="K107" s="1" t="s">
        <v>43</v>
      </c>
      <c r="L107" s="1" t="s">
        <v>294</v>
      </c>
      <c r="M107" s="1" t="s">
        <v>295</v>
      </c>
      <c r="N107" s="1" t="s">
        <v>121</v>
      </c>
      <c r="O107" s="1">
        <v>127282.0</v>
      </c>
      <c r="P107" s="1" t="s">
        <v>121</v>
      </c>
      <c r="Q107" s="1" t="s">
        <v>296</v>
      </c>
      <c r="R107" s="1" t="s">
        <v>297</v>
      </c>
      <c r="S107" s="1" t="s">
        <v>298</v>
      </c>
      <c r="T107" s="1" t="s">
        <v>299</v>
      </c>
      <c r="U107" s="1" t="s">
        <v>300</v>
      </c>
      <c r="Y107" s="1" t="s">
        <v>301</v>
      </c>
      <c r="Z107" s="1" t="s">
        <v>302</v>
      </c>
      <c r="AE107" s="1" t="s">
        <v>303</v>
      </c>
      <c r="AF107" s="1">
        <v>83772.0</v>
      </c>
      <c r="AG107" s="1">
        <v>38579.0</v>
      </c>
      <c r="AH107" s="1">
        <v>0.0</v>
      </c>
      <c r="AI107" s="1">
        <v>637.0</v>
      </c>
      <c r="AJ107" s="1">
        <v>1149.0</v>
      </c>
      <c r="AK107" s="1">
        <v>-2083.0</v>
      </c>
      <c r="AL107" s="1" t="s">
        <v>304</v>
      </c>
      <c r="AM107" s="1" t="s">
        <v>61</v>
      </c>
      <c r="AN107" s="1">
        <v>5.042177571E11</v>
      </c>
      <c r="AO107" s="3">
        <v>40700.0</v>
      </c>
      <c r="AP107" s="1">
        <v>1.0</v>
      </c>
    </row>
    <row r="108" ht="15.75" customHeight="1">
      <c r="A108" s="1" t="s">
        <v>411</v>
      </c>
      <c r="B108" s="1" t="str">
        <f>IFERROR(__xludf.DUMMYFUNCTION("AI(Prompt!$B$21,A108)"),"Канэгато")</f>
        <v>Канэгато</v>
      </c>
      <c r="C108" s="1" t="str">
        <f>IFERROR(__xludf.DUMMYFUNCTION("AI(Prompt!$B$26,A108:B108)"),"OK")</f>
        <v>OK</v>
      </c>
      <c r="D108" s="1" t="s">
        <v>41</v>
      </c>
      <c r="E108" s="1">
        <v>7.734453342E9</v>
      </c>
      <c r="F108" s="1">
        <v>5.01001001E8</v>
      </c>
      <c r="G108" s="1">
        <v>1.22770020724E12</v>
      </c>
      <c r="H108" s="1" t="s">
        <v>42</v>
      </c>
      <c r="I108" s="3">
        <v>44662.0</v>
      </c>
      <c r="J108" s="1">
        <v>3.0</v>
      </c>
      <c r="K108" s="1" t="s">
        <v>43</v>
      </c>
      <c r="L108" s="1" t="s">
        <v>412</v>
      </c>
      <c r="M108" s="1" t="s">
        <v>413</v>
      </c>
      <c r="N108" s="1" t="s">
        <v>46</v>
      </c>
      <c r="O108" s="1">
        <v>141980.0</v>
      </c>
      <c r="P108" s="1" t="s">
        <v>414</v>
      </c>
      <c r="Q108" s="1" t="s">
        <v>415</v>
      </c>
      <c r="R108" s="1" t="s">
        <v>416</v>
      </c>
      <c r="S108" s="1" t="s">
        <v>417</v>
      </c>
      <c r="U108" s="1" t="s">
        <v>418</v>
      </c>
      <c r="Y108" s="1" t="s">
        <v>419</v>
      </c>
      <c r="Z108" s="1" t="s">
        <v>420</v>
      </c>
      <c r="AA108" s="1" t="s">
        <v>421</v>
      </c>
      <c r="AB108" s="1" t="s">
        <v>422</v>
      </c>
      <c r="AE108" s="1" t="s">
        <v>423</v>
      </c>
      <c r="AF108" s="1">
        <v>14319.0</v>
      </c>
      <c r="AG108" s="1">
        <v>11886.0</v>
      </c>
      <c r="AH108" s="1">
        <v>233.0</v>
      </c>
      <c r="AI108" s="1">
        <v>-5018.0</v>
      </c>
      <c r="AJ108" s="1">
        <v>-5281.0</v>
      </c>
      <c r="AK108" s="1">
        <v>-1089.0</v>
      </c>
      <c r="AL108" s="1" t="s">
        <v>424</v>
      </c>
      <c r="AM108" s="1" t="s">
        <v>61</v>
      </c>
      <c r="AN108" s="1">
        <v>3.52803265618E11</v>
      </c>
      <c r="AO108" s="3">
        <v>44662.0</v>
      </c>
      <c r="AP108" s="1">
        <v>1.0</v>
      </c>
    </row>
    <row r="109" ht="15.75" customHeight="1">
      <c r="A109" s="1" t="s">
        <v>556</v>
      </c>
      <c r="B109" s="1" t="str">
        <f>IFERROR(__xludf.DUMMYFUNCTION("AI(Prompt!$B$21,A109)"),"Лакомство")</f>
        <v>Лакомство</v>
      </c>
      <c r="C109" s="1" t="str">
        <f>IFERROR(__xludf.DUMMYFUNCTION("AI(Prompt!$B$26,A109:B109)"),"OK")</f>
        <v>OK</v>
      </c>
      <c r="D109" s="1" t="s">
        <v>41</v>
      </c>
      <c r="E109" s="1">
        <v>5.038181764E9</v>
      </c>
      <c r="F109" s="1">
        <v>5.03801001E8</v>
      </c>
      <c r="G109" s="1">
        <v>1.235000101896E12</v>
      </c>
      <c r="H109" s="1" t="s">
        <v>42</v>
      </c>
      <c r="I109" s="3">
        <v>45154.0</v>
      </c>
      <c r="J109" s="1">
        <v>2.0</v>
      </c>
      <c r="K109" s="1" t="s">
        <v>43</v>
      </c>
      <c r="L109" s="1" t="s">
        <v>557</v>
      </c>
      <c r="M109" s="1" t="s">
        <v>558</v>
      </c>
      <c r="N109" s="1" t="s">
        <v>46</v>
      </c>
      <c r="O109" s="1">
        <v>141292.0</v>
      </c>
      <c r="P109" s="1" t="s">
        <v>308</v>
      </c>
      <c r="Q109" s="1" t="s">
        <v>559</v>
      </c>
      <c r="Y109" s="1" t="s">
        <v>315</v>
      </c>
      <c r="Z109" s="1" t="s">
        <v>560</v>
      </c>
      <c r="AE109" s="1" t="s">
        <v>561</v>
      </c>
      <c r="AF109" s="1">
        <v>6869.0</v>
      </c>
      <c r="AG109" s="1">
        <v>1784.0</v>
      </c>
      <c r="AH109" s="1">
        <v>0.0</v>
      </c>
      <c r="AI109" s="1">
        <v>-183.0</v>
      </c>
      <c r="AJ109" s="1">
        <v>200.0</v>
      </c>
      <c r="AK109" s="1">
        <v>0.0</v>
      </c>
      <c r="AL109" s="1" t="s">
        <v>562</v>
      </c>
      <c r="AM109" s="1" t="s">
        <v>61</v>
      </c>
      <c r="AN109" s="1">
        <v>5.02300879076E11</v>
      </c>
      <c r="AO109" s="3">
        <v>45154.0</v>
      </c>
      <c r="AP109" s="1">
        <v>1.0</v>
      </c>
    </row>
    <row r="110" ht="15.75" customHeight="1">
      <c r="A110" s="1" t="s">
        <v>1439</v>
      </c>
      <c r="B110" s="1" t="str">
        <f>IFERROR(__xludf.DUMMYFUNCTION("AI(Prompt!$B$21,A110)"),"ИП Лапаева")</f>
        <v>ИП Лапаева</v>
      </c>
      <c r="C110" s="1" t="str">
        <f>IFERROR(__xludf.DUMMYFUNCTION("AI(Prompt!$B$26,A110:B110)"),"OK")</f>
        <v>OK</v>
      </c>
      <c r="D110" s="1" t="s">
        <v>864</v>
      </c>
      <c r="E110" s="1">
        <v>7.72443100756E11</v>
      </c>
      <c r="G110" s="1">
        <v>3.23774600649555E14</v>
      </c>
      <c r="H110" s="1" t="s">
        <v>42</v>
      </c>
      <c r="I110" s="3">
        <v>45205.0</v>
      </c>
      <c r="J110" s="1">
        <v>2.0</v>
      </c>
      <c r="K110" s="1" t="s">
        <v>43</v>
      </c>
      <c r="L110" s="1" t="s">
        <v>1440</v>
      </c>
      <c r="M110" s="1" t="s">
        <v>1441</v>
      </c>
      <c r="N110" s="1" t="s">
        <v>121</v>
      </c>
      <c r="Q110" s="1" t="s">
        <v>1442</v>
      </c>
      <c r="Y110" s="1" t="s">
        <v>1443</v>
      </c>
      <c r="AL110" s="1" t="s">
        <v>1439</v>
      </c>
      <c r="AN110" s="1">
        <v>7.72443100756E11</v>
      </c>
      <c r="AP110" s="1">
        <v>2.0</v>
      </c>
    </row>
    <row r="111" ht="15.75" customHeight="1">
      <c r="A111" s="1" t="s">
        <v>545</v>
      </c>
      <c r="B111" s="1" t="str">
        <f>IFERROR(__xludf.DUMMYFUNCTION("AI(Prompt!$B$21,A111)"),"Квадро")</f>
        <v>Квадро</v>
      </c>
      <c r="C111" s="1" t="str">
        <f>IFERROR(__xludf.DUMMYFUNCTION("AI(Prompt!$B$26,A111:B111)"),"OK")</f>
        <v>OK</v>
      </c>
      <c r="D111" s="1" t="s">
        <v>41</v>
      </c>
      <c r="E111" s="1">
        <v>5.017136866E9</v>
      </c>
      <c r="F111" s="1">
        <v>5.01701001E8</v>
      </c>
      <c r="G111" s="1">
        <v>1.245000066409E12</v>
      </c>
      <c r="H111" s="1" t="s">
        <v>42</v>
      </c>
      <c r="I111" s="3">
        <v>45449.0</v>
      </c>
      <c r="J111" s="1">
        <v>1.0</v>
      </c>
      <c r="K111" s="1" t="s">
        <v>43</v>
      </c>
      <c r="L111" s="1" t="s">
        <v>546</v>
      </c>
      <c r="M111" s="1" t="s">
        <v>547</v>
      </c>
      <c r="N111" s="1" t="s">
        <v>46</v>
      </c>
      <c r="O111" s="1">
        <v>143712.0</v>
      </c>
      <c r="P111" s="1" t="s">
        <v>548</v>
      </c>
      <c r="Q111" s="1" t="s">
        <v>549</v>
      </c>
      <c r="U111" s="1" t="s">
        <v>550</v>
      </c>
      <c r="Y111" s="1" t="s">
        <v>551</v>
      </c>
      <c r="Z111" s="1" t="s">
        <v>552</v>
      </c>
      <c r="AA111" s="1" t="s">
        <v>553</v>
      </c>
      <c r="AE111" s="1" t="s">
        <v>554</v>
      </c>
      <c r="AF111" s="1">
        <v>6903.0</v>
      </c>
      <c r="AG111" s="1">
        <v>0.0</v>
      </c>
      <c r="AI111" s="1">
        <v>-15445.0</v>
      </c>
      <c r="AJ111" s="1">
        <v>0.0</v>
      </c>
      <c r="AL111" s="1" t="s">
        <v>555</v>
      </c>
      <c r="AM111" s="1" t="s">
        <v>61</v>
      </c>
      <c r="AN111" s="1">
        <v>5.0040875265E11</v>
      </c>
      <c r="AO111" s="3">
        <v>45539.0</v>
      </c>
      <c r="AP111" s="1">
        <v>2.0</v>
      </c>
    </row>
    <row r="112" ht="15.75" customHeight="1">
      <c r="A112" s="1" t="s">
        <v>1008</v>
      </c>
      <c r="B112" s="1" t="str">
        <f>IFERROR(__xludf.DUMMYFUNCTION("AI(Prompt!$B$21,A112)"),"ИП Гончаренко")</f>
        <v>ИП Гончаренко</v>
      </c>
      <c r="C112" s="1" t="str">
        <f>IFERROR(__xludf.DUMMYFUNCTION("AI(Prompt!$B$26,A112:B112)"),"OK")</f>
        <v>OK</v>
      </c>
      <c r="D112" s="1" t="s">
        <v>864</v>
      </c>
      <c r="E112" s="1">
        <v>2.63604657817E11</v>
      </c>
      <c r="G112" s="1">
        <v>3.20508100188089E14</v>
      </c>
      <c r="H112" s="1" t="s">
        <v>42</v>
      </c>
      <c r="I112" s="3">
        <v>44011.0</v>
      </c>
      <c r="J112" s="1">
        <v>5.0</v>
      </c>
      <c r="K112" s="1" t="s">
        <v>43</v>
      </c>
      <c r="L112" s="1" t="s">
        <v>1009</v>
      </c>
      <c r="M112" s="1" t="s">
        <v>1010</v>
      </c>
      <c r="N112" s="1" t="s">
        <v>46</v>
      </c>
      <c r="P112" s="1" t="s">
        <v>1011</v>
      </c>
      <c r="Q112" s="1" t="s">
        <v>1012</v>
      </c>
      <c r="AL112" s="1" t="s">
        <v>1008</v>
      </c>
      <c r="AN112" s="1">
        <v>2.63604657817E11</v>
      </c>
      <c r="AP112" s="1">
        <v>2.0</v>
      </c>
    </row>
    <row r="113" ht="15.75" customHeight="1">
      <c r="A113" s="1" t="s">
        <v>1236</v>
      </c>
      <c r="B113" s="1" t="str">
        <f>IFERROR(__xludf.DUMMYFUNCTION("AI(Prompt!$B$21,A113)"),"ИП Афанасьев")</f>
        <v>ИП Афанасьев</v>
      </c>
      <c r="C113" s="1" t="str">
        <f>IFERROR(__xludf.DUMMYFUNCTION("AI(Prompt!$B$26,A113:B113)"),"OK")</f>
        <v>OK</v>
      </c>
      <c r="D113" s="1" t="s">
        <v>864</v>
      </c>
      <c r="E113" s="1">
        <v>7.74321129906E11</v>
      </c>
      <c r="G113" s="1">
        <v>3.25774600364311E14</v>
      </c>
      <c r="H113" s="1" t="s">
        <v>42</v>
      </c>
      <c r="I113" s="3">
        <v>45817.0</v>
      </c>
      <c r="J113" s="1">
        <v>0.0</v>
      </c>
      <c r="K113" s="1" t="s">
        <v>43</v>
      </c>
      <c r="L113" s="1" t="s">
        <v>1237</v>
      </c>
      <c r="M113" s="1" t="s">
        <v>1238</v>
      </c>
      <c r="N113" s="1" t="s">
        <v>121</v>
      </c>
      <c r="Q113" s="1" t="s">
        <v>1239</v>
      </c>
      <c r="AL113" s="1" t="s">
        <v>1236</v>
      </c>
      <c r="AN113" s="1">
        <v>7.74321129906E11</v>
      </c>
      <c r="AP113" s="1">
        <v>1.0</v>
      </c>
    </row>
    <row r="114" ht="15.75" customHeight="1">
      <c r="A114" s="1" t="s">
        <v>345</v>
      </c>
      <c r="B114" s="1" t="str">
        <f>IFERROR(__xludf.DUMMYFUNCTION("AI(Prompt!$B$21,A114)"),"Лилас Петфуд")</f>
        <v>Лилас Петфуд</v>
      </c>
      <c r="C114" s="1" t="str">
        <f>IFERROR(__xludf.DUMMYFUNCTION("AI(Prompt!$B$26,A114:B114)"),"OK")</f>
        <v>OK</v>
      </c>
      <c r="D114" s="1" t="s">
        <v>41</v>
      </c>
      <c r="E114" s="1">
        <v>9.718206903E9</v>
      </c>
      <c r="F114" s="1">
        <v>7.71801001E8</v>
      </c>
      <c r="G114" s="1">
        <v>1.227700696134E12</v>
      </c>
      <c r="H114" s="1" t="s">
        <v>42</v>
      </c>
      <c r="I114" s="3">
        <v>44861.0</v>
      </c>
      <c r="J114" s="1">
        <v>3.0</v>
      </c>
      <c r="K114" s="1" t="s">
        <v>43</v>
      </c>
      <c r="L114" s="1" t="s">
        <v>346</v>
      </c>
      <c r="M114" s="1" t="s">
        <v>347</v>
      </c>
      <c r="N114" s="1" t="s">
        <v>121</v>
      </c>
      <c r="O114" s="1">
        <v>107564.0</v>
      </c>
      <c r="P114" s="1" t="s">
        <v>121</v>
      </c>
      <c r="Q114" s="1" t="s">
        <v>348</v>
      </c>
      <c r="R114" s="1" t="s">
        <v>349</v>
      </c>
      <c r="Y114" s="1" t="s">
        <v>350</v>
      </c>
      <c r="AE114" s="1" t="s">
        <v>351</v>
      </c>
      <c r="AF114" s="1">
        <v>37392.0</v>
      </c>
      <c r="AG114" s="1">
        <v>0.0</v>
      </c>
      <c r="AH114" s="1">
        <v>0.0</v>
      </c>
      <c r="AI114" s="1">
        <v>-120024.0</v>
      </c>
      <c r="AJ114" s="1">
        <v>-1476.0</v>
      </c>
      <c r="AK114" s="1">
        <v>0.0</v>
      </c>
      <c r="AL114" s="1" t="s">
        <v>352</v>
      </c>
      <c r="AM114" s="1" t="s">
        <v>61</v>
      </c>
      <c r="AN114" s="1">
        <v>5.03210349598E11</v>
      </c>
      <c r="AO114" s="3">
        <v>45971.0</v>
      </c>
      <c r="AP114" s="1">
        <v>1.0</v>
      </c>
    </row>
    <row r="115" ht="15.75" customHeight="1">
      <c r="A115" s="1" t="s">
        <v>305</v>
      </c>
      <c r="B115" s="1" t="str">
        <f>IFERROR(__xludf.DUMMYFUNCTION("AI(Prompt!$B$21,A115)"),"Ассортимент-Агро")</f>
        <v>Ассортимент-Агро</v>
      </c>
      <c r="C115" s="1" t="str">
        <f>IFERROR(__xludf.DUMMYFUNCTION("AI(Prompt!$B$26,A115:B115)"),"OK")</f>
        <v>OK</v>
      </c>
      <c r="D115" s="1" t="s">
        <v>41</v>
      </c>
      <c r="E115" s="1">
        <v>5.038153083E9</v>
      </c>
      <c r="F115" s="1">
        <v>5.03801001E8</v>
      </c>
      <c r="G115" s="1">
        <v>1.205000028628E12</v>
      </c>
      <c r="H115" s="1" t="s">
        <v>42</v>
      </c>
      <c r="I115" s="3">
        <v>43910.0</v>
      </c>
      <c r="J115" s="1">
        <v>5.0</v>
      </c>
      <c r="K115" s="1" t="s">
        <v>43</v>
      </c>
      <c r="L115" s="1" t="s">
        <v>306</v>
      </c>
      <c r="M115" s="1" t="s">
        <v>307</v>
      </c>
      <c r="N115" s="1" t="s">
        <v>46</v>
      </c>
      <c r="O115" s="1">
        <v>141290.0</v>
      </c>
      <c r="P115" s="1" t="s">
        <v>308</v>
      </c>
      <c r="Q115" s="1" t="s">
        <v>309</v>
      </c>
      <c r="R115" s="1" t="s">
        <v>310</v>
      </c>
      <c r="U115" s="1" t="s">
        <v>311</v>
      </c>
      <c r="V115" s="1" t="s">
        <v>312</v>
      </c>
      <c r="W115" s="1" t="s">
        <v>313</v>
      </c>
      <c r="Y115" s="1" t="s">
        <v>314</v>
      </c>
      <c r="Z115" s="1" t="s">
        <v>315</v>
      </c>
      <c r="AA115" s="1" t="s">
        <v>316</v>
      </c>
      <c r="AE115" s="1" t="s">
        <v>317</v>
      </c>
      <c r="AF115" s="1">
        <v>71803.0</v>
      </c>
      <c r="AG115" s="1">
        <v>91391.0</v>
      </c>
      <c r="AH115" s="1">
        <v>74146.0</v>
      </c>
      <c r="AI115" s="1">
        <v>-23711.0</v>
      </c>
      <c r="AJ115" s="1">
        <v>17.0</v>
      </c>
      <c r="AK115" s="1">
        <v>2985.0</v>
      </c>
      <c r="AL115" s="1" t="s">
        <v>318</v>
      </c>
      <c r="AM115" s="1" t="s">
        <v>61</v>
      </c>
      <c r="AN115" s="1">
        <v>7.71605086256E11</v>
      </c>
      <c r="AO115" s="3">
        <v>45317.0</v>
      </c>
      <c r="AP115" s="1">
        <v>1.0</v>
      </c>
    </row>
    <row r="116" ht="15.75" customHeight="1">
      <c r="A116" s="1" t="s">
        <v>1042</v>
      </c>
      <c r="B116" s="1" t="str">
        <f>IFERROR(__xludf.DUMMYFUNCTION("AI(Prompt!$B$21,A116)"),"ИП Арутюнян")</f>
        <v>ИП Арутюнян</v>
      </c>
      <c r="C116" s="1" t="str">
        <f>IFERROR(__xludf.DUMMYFUNCTION("AI(Prompt!$B$26,A116:B116)"),"OK")</f>
        <v>OK</v>
      </c>
      <c r="D116" s="1" t="s">
        <v>864</v>
      </c>
      <c r="E116" s="1">
        <v>5.03233935373E11</v>
      </c>
      <c r="G116" s="1">
        <v>3.24508100418494E14</v>
      </c>
      <c r="H116" s="1" t="s">
        <v>42</v>
      </c>
      <c r="I116" s="3">
        <v>45498.0</v>
      </c>
      <c r="J116" s="1">
        <v>1.0</v>
      </c>
      <c r="K116" s="1" t="s">
        <v>43</v>
      </c>
      <c r="L116" s="1" t="s">
        <v>1043</v>
      </c>
      <c r="M116" s="1" t="s">
        <v>1044</v>
      </c>
      <c r="N116" s="1" t="s">
        <v>46</v>
      </c>
      <c r="P116" s="1" t="s">
        <v>1045</v>
      </c>
      <c r="Q116" s="1" t="s">
        <v>1046</v>
      </c>
      <c r="AL116" s="1" t="s">
        <v>1042</v>
      </c>
      <c r="AN116" s="1">
        <v>5.03233935373E11</v>
      </c>
      <c r="AP116" s="1">
        <v>2.0</v>
      </c>
    </row>
    <row r="117" ht="15.75" customHeight="1">
      <c r="A117" s="1" t="s">
        <v>1027</v>
      </c>
      <c r="B117" s="1" t="str">
        <f>IFERROR(__xludf.DUMMYFUNCTION("AI(Prompt!$B$21,A117)"),"Рускан")</f>
        <v>Рускан</v>
      </c>
      <c r="C117" s="1" t="str">
        <f>IFERROR(__xludf.DUMMYFUNCTION("AI(Prompt!$B$26,A117:B117)"),"OK")</f>
        <v>OK</v>
      </c>
      <c r="D117" s="1" t="s">
        <v>215</v>
      </c>
      <c r="E117" s="1">
        <v>5.007040019E9</v>
      </c>
      <c r="F117" s="1">
        <v>5.00701001E8</v>
      </c>
      <c r="G117" s="1">
        <v>1.025001099133E12</v>
      </c>
      <c r="H117" s="1" t="s">
        <v>42</v>
      </c>
      <c r="I117" s="3">
        <v>37435.0</v>
      </c>
      <c r="J117" s="1">
        <v>23.0</v>
      </c>
      <c r="K117" s="1" t="s">
        <v>43</v>
      </c>
      <c r="L117" s="1" t="s">
        <v>1028</v>
      </c>
      <c r="M117" s="1" t="s">
        <v>1029</v>
      </c>
      <c r="N117" s="1" t="s">
        <v>46</v>
      </c>
      <c r="O117" s="1">
        <v>141870.0</v>
      </c>
      <c r="P117" s="1" t="s">
        <v>1030</v>
      </c>
      <c r="Q117" s="1" t="s">
        <v>1031</v>
      </c>
      <c r="R117" s="1" t="s">
        <v>1032</v>
      </c>
      <c r="S117" s="1" t="s">
        <v>1033</v>
      </c>
      <c r="T117" s="1" t="s">
        <v>1034</v>
      </c>
      <c r="U117" s="1" t="s">
        <v>1035</v>
      </c>
      <c r="V117" s="1" t="s">
        <v>1036</v>
      </c>
      <c r="Y117" s="1" t="s">
        <v>1037</v>
      </c>
      <c r="Z117" s="1" t="s">
        <v>1038</v>
      </c>
      <c r="AA117" s="1" t="s">
        <v>1039</v>
      </c>
      <c r="AB117" s="1" t="s">
        <v>1040</v>
      </c>
      <c r="AH117" s="1">
        <v>1.7456037E7</v>
      </c>
      <c r="AK117" s="1">
        <v>2445878.0</v>
      </c>
      <c r="AL117" s="1" t="s">
        <v>1041</v>
      </c>
      <c r="AM117" s="1" t="s">
        <v>61</v>
      </c>
      <c r="AN117" s="1">
        <v>2.46008387182E11</v>
      </c>
      <c r="AO117" s="3">
        <v>44652.0</v>
      </c>
      <c r="AP117" s="1">
        <v>1.0</v>
      </c>
    </row>
    <row r="118" ht="15.75" customHeight="1">
      <c r="A118" s="1" t="s">
        <v>1199</v>
      </c>
      <c r="B118" s="1" t="str">
        <f>IFERROR(__xludf.DUMMYFUNCTION("AI(Prompt!$B$21,A118)"),"ИП Балабан")</f>
        <v>ИП Балабан</v>
      </c>
      <c r="C118" s="1" t="str">
        <f>IFERROR(__xludf.DUMMYFUNCTION("AI(Prompt!$B$26,A118:B118)"),"OK")</f>
        <v>OK</v>
      </c>
      <c r="D118" s="1" t="s">
        <v>864</v>
      </c>
      <c r="E118" s="1">
        <v>3.32762087304E11</v>
      </c>
      <c r="G118" s="1">
        <v>3.17332800029982E14</v>
      </c>
      <c r="H118" s="1" t="s">
        <v>42</v>
      </c>
      <c r="I118" s="3">
        <v>42886.0</v>
      </c>
      <c r="J118" s="1">
        <v>8.0</v>
      </c>
      <c r="K118" s="1" t="s">
        <v>43</v>
      </c>
      <c r="L118" s="1" t="s">
        <v>1200</v>
      </c>
      <c r="M118" s="1" t="s">
        <v>1201</v>
      </c>
      <c r="N118" s="1" t="s">
        <v>121</v>
      </c>
      <c r="Q118" s="1" t="s">
        <v>1202</v>
      </c>
      <c r="Y118" s="1" t="s">
        <v>1203</v>
      </c>
      <c r="AL118" s="1" t="s">
        <v>1199</v>
      </c>
      <c r="AN118" s="1">
        <v>3.32762087304E11</v>
      </c>
      <c r="AP118" s="1">
        <v>2.0</v>
      </c>
    </row>
    <row r="119" ht="15.75" customHeight="1">
      <c r="A119" s="1" t="s">
        <v>665</v>
      </c>
      <c r="B119" s="1" t="str">
        <f>IFERROR(__xludf.DUMMYFUNCTION("AI(Prompt!$B$21,A119)"),"ЭТС")</f>
        <v>ЭТС</v>
      </c>
      <c r="C119" s="1" t="str">
        <f>IFERROR(__xludf.DUMMYFUNCTION("AI(Prompt!$B$26,A119:B119)"),"OK")</f>
        <v>OK</v>
      </c>
      <c r="D119" s="1" t="s">
        <v>41</v>
      </c>
      <c r="E119" s="1">
        <v>5.027304943E9</v>
      </c>
      <c r="F119" s="1">
        <v>5.02701001E8</v>
      </c>
      <c r="G119" s="1">
        <v>1.225000033994E12</v>
      </c>
      <c r="H119" s="1" t="s">
        <v>42</v>
      </c>
      <c r="I119" s="3">
        <v>44662.0</v>
      </c>
      <c r="J119" s="1">
        <v>3.0</v>
      </c>
      <c r="K119" s="1" t="s">
        <v>43</v>
      </c>
      <c r="L119" s="1" t="s">
        <v>666</v>
      </c>
      <c r="M119" s="1" t="s">
        <v>667</v>
      </c>
      <c r="N119" s="1" t="s">
        <v>46</v>
      </c>
      <c r="O119" s="1">
        <v>140060.0</v>
      </c>
      <c r="P119" s="1" t="s">
        <v>668</v>
      </c>
      <c r="Q119" s="1" t="s">
        <v>669</v>
      </c>
      <c r="R119" s="1" t="s">
        <v>670</v>
      </c>
      <c r="S119" s="1" t="s">
        <v>671</v>
      </c>
      <c r="Y119" s="1" t="s">
        <v>672</v>
      </c>
      <c r="Z119" s="1" t="s">
        <v>673</v>
      </c>
      <c r="AE119" s="1" t="s">
        <v>674</v>
      </c>
      <c r="AF119" s="1">
        <v>2964.0</v>
      </c>
      <c r="AG119" s="1">
        <v>100.0</v>
      </c>
      <c r="AH119" s="1">
        <v>0.0</v>
      </c>
      <c r="AI119" s="1">
        <v>-17728.0</v>
      </c>
      <c r="AJ119" s="1">
        <v>-15392.0</v>
      </c>
      <c r="AK119" s="1">
        <v>-17.0</v>
      </c>
      <c r="AL119" s="1" t="s">
        <v>675</v>
      </c>
      <c r="AM119" s="1" t="s">
        <v>61</v>
      </c>
      <c r="AN119" s="1">
        <v>5.02726491853E11</v>
      </c>
      <c r="AO119" s="3">
        <v>46065.0</v>
      </c>
      <c r="AP119" s="1">
        <v>1.0</v>
      </c>
    </row>
    <row r="120" ht="15.75" customHeight="1">
      <c r="A120" s="1" t="s">
        <v>286</v>
      </c>
      <c r="B120" s="1" t="str">
        <f>IFERROR(__xludf.DUMMYFUNCTION("AI(Prompt!$B$21,A120)"),"Максима")</f>
        <v>Максима</v>
      </c>
      <c r="C120" s="1" t="str">
        <f>IFERROR(__xludf.DUMMYFUNCTION("AI(Prompt!$B$26,A120:B120)"),"OK")</f>
        <v>OK</v>
      </c>
      <c r="D120" s="1" t="s">
        <v>41</v>
      </c>
      <c r="E120" s="1">
        <v>7.719857252E9</v>
      </c>
      <c r="F120" s="1">
        <v>7.71801001E8</v>
      </c>
      <c r="G120" s="1">
        <v>1.137746909508E12</v>
      </c>
      <c r="H120" s="1" t="s">
        <v>42</v>
      </c>
      <c r="I120" s="3">
        <v>41550.0</v>
      </c>
      <c r="J120" s="1">
        <v>12.0</v>
      </c>
      <c r="K120" s="1" t="s">
        <v>43</v>
      </c>
      <c r="L120" s="1" t="s">
        <v>287</v>
      </c>
      <c r="M120" s="1" t="s">
        <v>288</v>
      </c>
      <c r="N120" s="1" t="s">
        <v>121</v>
      </c>
      <c r="O120" s="1">
        <v>107564.0</v>
      </c>
      <c r="P120" s="1" t="s">
        <v>121</v>
      </c>
      <c r="Q120" s="1" t="s">
        <v>289</v>
      </c>
      <c r="Y120" s="1" t="s">
        <v>290</v>
      </c>
      <c r="AE120" s="1" t="s">
        <v>291</v>
      </c>
      <c r="AF120" s="1">
        <v>105853.0</v>
      </c>
      <c r="AG120" s="1">
        <v>112339.0</v>
      </c>
      <c r="AH120" s="1">
        <v>59128.0</v>
      </c>
      <c r="AI120" s="1">
        <v>2987.0</v>
      </c>
      <c r="AJ120" s="1">
        <v>6328.0</v>
      </c>
      <c r="AK120" s="1">
        <v>4517.0</v>
      </c>
      <c r="AL120" s="1" t="s">
        <v>292</v>
      </c>
      <c r="AM120" s="1" t="s">
        <v>61</v>
      </c>
      <c r="AN120" s="1">
        <v>8.90303574211E11</v>
      </c>
      <c r="AO120" s="3">
        <v>46010.0</v>
      </c>
      <c r="AP120" s="1">
        <v>1.0</v>
      </c>
    </row>
    <row r="121" ht="15.75" customHeight="1">
      <c r="A121" s="1" t="s">
        <v>1431</v>
      </c>
      <c r="B121" s="1" t="str">
        <f>IFERROR(__xludf.DUMMYFUNCTION("AI(Prompt!$B$21,A121)"),"ИП Мельников")</f>
        <v>ИП Мельников</v>
      </c>
      <c r="C121" s="1" t="str">
        <f>IFERROR(__xludf.DUMMYFUNCTION("AI(Prompt!$B$26,A121:B121)"),"OK")</f>
        <v>OK</v>
      </c>
      <c r="D121" s="1" t="s">
        <v>864</v>
      </c>
      <c r="E121" s="1">
        <v>7.73315524198E11</v>
      </c>
      <c r="G121" s="1">
        <v>3.23774600280062E14</v>
      </c>
      <c r="H121" s="1" t="s">
        <v>42</v>
      </c>
      <c r="I121" s="3">
        <v>45044.0</v>
      </c>
      <c r="J121" s="1">
        <v>2.0</v>
      </c>
      <c r="K121" s="1" t="s">
        <v>43</v>
      </c>
      <c r="L121" s="1" t="s">
        <v>1432</v>
      </c>
      <c r="M121" s="1" t="s">
        <v>1433</v>
      </c>
      <c r="N121" s="1" t="s">
        <v>121</v>
      </c>
      <c r="Q121" s="1" t="s">
        <v>1434</v>
      </c>
      <c r="R121" s="1" t="s">
        <v>1435</v>
      </c>
      <c r="Y121" s="1" t="s">
        <v>1436</v>
      </c>
      <c r="AL121" s="1" t="s">
        <v>1431</v>
      </c>
      <c r="AN121" s="1">
        <v>7.73315524198E11</v>
      </c>
      <c r="AP121" s="1">
        <v>1.0</v>
      </c>
    </row>
    <row r="122" ht="15.75" customHeight="1">
      <c r="A122" s="1" t="s">
        <v>231</v>
      </c>
      <c r="B122" s="1" t="str">
        <f>IFERROR(__xludf.DUMMYFUNCTION("AI(Prompt!$B$21,A122)"),"М-БИ-СИ")</f>
        <v>М-БИ-СИ</v>
      </c>
      <c r="C122" s="1" t="str">
        <f>IFERROR(__xludf.DUMMYFUNCTION("AI(Prompt!$B$26,A122:B122)"),"OK")</f>
        <v>OK</v>
      </c>
      <c r="D122" s="1" t="s">
        <v>41</v>
      </c>
      <c r="E122" s="1">
        <v>5.034019859E9</v>
      </c>
      <c r="F122" s="1">
        <v>5.03401001E8</v>
      </c>
      <c r="G122" s="1">
        <v>1.045007011565E12</v>
      </c>
      <c r="H122" s="1" t="s">
        <v>42</v>
      </c>
      <c r="I122" s="3">
        <v>38309.0</v>
      </c>
      <c r="J122" s="1">
        <v>21.0</v>
      </c>
      <c r="K122" s="1" t="s">
        <v>43</v>
      </c>
      <c r="L122" s="1" t="s">
        <v>232</v>
      </c>
      <c r="M122" s="1" t="s">
        <v>233</v>
      </c>
      <c r="N122" s="1" t="s">
        <v>46</v>
      </c>
      <c r="O122" s="1">
        <v>142631.0</v>
      </c>
      <c r="P122" s="1" t="s">
        <v>234</v>
      </c>
      <c r="Q122" s="1" t="s">
        <v>235</v>
      </c>
      <c r="R122" s="1" t="s">
        <v>236</v>
      </c>
      <c r="S122" s="1" t="s">
        <v>237</v>
      </c>
      <c r="U122" s="1" t="s">
        <v>238</v>
      </c>
      <c r="Y122" s="1" t="s">
        <v>239</v>
      </c>
      <c r="Z122" s="1" t="s">
        <v>240</v>
      </c>
      <c r="AA122" s="1" t="s">
        <v>241</v>
      </c>
      <c r="AB122" s="1" t="s">
        <v>242</v>
      </c>
      <c r="AE122" s="1" t="s">
        <v>243</v>
      </c>
      <c r="AF122" s="1">
        <v>186008.0</v>
      </c>
      <c r="AG122" s="1">
        <v>180799.0</v>
      </c>
      <c r="AH122" s="1">
        <v>157083.0</v>
      </c>
      <c r="AI122" s="1">
        <v>1254.0</v>
      </c>
      <c r="AJ122" s="1">
        <v>2924.0</v>
      </c>
      <c r="AK122" s="1">
        <v>2122.0</v>
      </c>
      <c r="AL122" s="1" t="s">
        <v>244</v>
      </c>
      <c r="AM122" s="1" t="s">
        <v>245</v>
      </c>
      <c r="AN122" s="1">
        <v>7.72274417442E11</v>
      </c>
      <c r="AO122" s="3">
        <v>43244.0</v>
      </c>
      <c r="AP122" s="1">
        <v>1.0</v>
      </c>
    </row>
    <row r="123" ht="15.75" customHeight="1">
      <c r="A123" s="1" t="s">
        <v>1460</v>
      </c>
      <c r="B123" s="1" t="str">
        <f>IFERROR(__xludf.DUMMYFUNCTION("AI(Prompt!$B$21,A123)"),"ИП Гарипова")</f>
        <v>ИП Гарипова</v>
      </c>
      <c r="C123" s="1" t="str">
        <f>IFERROR(__xludf.DUMMYFUNCTION("AI(Prompt!$B$26,A123:B123)"),"OK")</f>
        <v>OK</v>
      </c>
      <c r="D123" s="1" t="s">
        <v>864</v>
      </c>
      <c r="E123" s="1">
        <v>4.30707496697E11</v>
      </c>
      <c r="G123" s="1">
        <v>3.2243500000608E14</v>
      </c>
      <c r="H123" s="1" t="s">
        <v>42</v>
      </c>
      <c r="I123" s="3">
        <v>44594.0</v>
      </c>
      <c r="J123" s="1">
        <v>4.0</v>
      </c>
      <c r="K123" s="1" t="s">
        <v>43</v>
      </c>
      <c r="L123" s="1" t="s">
        <v>1461</v>
      </c>
      <c r="M123" s="1" t="s">
        <v>1462</v>
      </c>
      <c r="N123" s="1" t="s">
        <v>121</v>
      </c>
      <c r="Q123" s="1" t="s">
        <v>1463</v>
      </c>
      <c r="R123" s="1" t="s">
        <v>1464</v>
      </c>
      <c r="Y123" s="1" t="s">
        <v>1465</v>
      </c>
      <c r="AL123" s="1" t="s">
        <v>1460</v>
      </c>
      <c r="AN123" s="1">
        <v>4.30707496697E11</v>
      </c>
      <c r="AP123" s="1">
        <v>2.0</v>
      </c>
    </row>
    <row r="124" ht="15.75" customHeight="1">
      <c r="A124" s="1" t="s">
        <v>988</v>
      </c>
      <c r="B124" s="1" t="str">
        <f>IFERROR(__xludf.DUMMYFUNCTION("AI(Prompt!$B$21,A124)"),"ИП Мухина")</f>
        <v>ИП Мухина</v>
      </c>
      <c r="C124" s="1" t="str">
        <f>IFERROR(__xludf.DUMMYFUNCTION("AI(Prompt!$B$26,A124:B124)"),"OK")</f>
        <v>OK</v>
      </c>
      <c r="D124" s="1" t="s">
        <v>864</v>
      </c>
      <c r="E124" s="1">
        <v>7.72074372353E11</v>
      </c>
      <c r="G124" s="1">
        <v>3.2550810039212E14</v>
      </c>
      <c r="H124" s="1" t="s">
        <v>42</v>
      </c>
      <c r="I124" s="3">
        <v>45862.0</v>
      </c>
      <c r="J124" s="1">
        <v>0.0</v>
      </c>
      <c r="K124" s="1" t="s">
        <v>43</v>
      </c>
      <c r="L124" s="1" t="s">
        <v>901</v>
      </c>
      <c r="N124" s="1" t="s">
        <v>46</v>
      </c>
      <c r="Q124" s="1" t="s">
        <v>989</v>
      </c>
      <c r="Y124" s="1" t="s">
        <v>990</v>
      </c>
      <c r="AL124" s="1" t="s">
        <v>988</v>
      </c>
      <c r="AN124" s="1">
        <v>7.72074372353E11</v>
      </c>
      <c r="AP124" s="1">
        <v>2.0</v>
      </c>
    </row>
    <row r="125" ht="15.75" customHeight="1">
      <c r="A125" s="1" t="s">
        <v>1155</v>
      </c>
      <c r="B125" s="1" t="str">
        <f>IFERROR(__xludf.DUMMYFUNCTION("AI(Prompt!$B$21,A125)"),"ИП Заскокина")</f>
        <v>ИП Заскокина</v>
      </c>
      <c r="C125" s="1" t="str">
        <f>IFERROR(__xludf.DUMMYFUNCTION("AI(Prompt!$B$26,A125:B125)"),"OK")</f>
        <v>OK</v>
      </c>
      <c r="D125" s="1" t="s">
        <v>864</v>
      </c>
      <c r="E125" s="1">
        <v>5.26022515829E11</v>
      </c>
      <c r="G125" s="1">
        <v>3.2150810042504E14</v>
      </c>
      <c r="H125" s="1" t="s">
        <v>42</v>
      </c>
      <c r="I125" s="3">
        <v>44441.0</v>
      </c>
      <c r="J125" s="1">
        <v>4.0</v>
      </c>
      <c r="K125" s="1" t="s">
        <v>43</v>
      </c>
      <c r="L125" s="1" t="s">
        <v>1156</v>
      </c>
      <c r="M125" s="1" t="s">
        <v>1157</v>
      </c>
      <c r="N125" s="1" t="s">
        <v>121</v>
      </c>
      <c r="Q125" s="1" t="s">
        <v>1158</v>
      </c>
      <c r="AL125" s="1" t="s">
        <v>1155</v>
      </c>
      <c r="AN125" s="1">
        <v>5.26022515829E11</v>
      </c>
      <c r="AP125" s="1">
        <v>2.0</v>
      </c>
    </row>
    <row r="126" ht="15.75" customHeight="1">
      <c r="A126" s="1" t="s">
        <v>873</v>
      </c>
      <c r="B126" s="1" t="str">
        <f>IFERROR(__xludf.DUMMYFUNCTION("AI(Prompt!$B$21,A126)"),"ИП Новикова")</f>
        <v>ИП Новикова</v>
      </c>
      <c r="C126" s="1" t="str">
        <f>IFERROR(__xludf.DUMMYFUNCTION("AI(Prompt!$B$26,A126:B126)"),"OK")</f>
        <v>OK</v>
      </c>
      <c r="D126" s="1" t="s">
        <v>864</v>
      </c>
      <c r="E126" s="1">
        <v>5.0423148232E11</v>
      </c>
      <c r="G126" s="1">
        <v>3.23508100061034E14</v>
      </c>
      <c r="H126" s="1" t="s">
        <v>42</v>
      </c>
      <c r="I126" s="3">
        <v>44963.0</v>
      </c>
      <c r="J126" s="1">
        <v>3.0</v>
      </c>
      <c r="K126" s="1" t="s">
        <v>43</v>
      </c>
      <c r="L126" s="1" t="s">
        <v>874</v>
      </c>
      <c r="M126" s="1" t="s">
        <v>875</v>
      </c>
      <c r="N126" s="1" t="s">
        <v>46</v>
      </c>
      <c r="P126" s="1" t="s">
        <v>876</v>
      </c>
      <c r="Q126" s="1" t="s">
        <v>877</v>
      </c>
      <c r="AL126" s="1" t="s">
        <v>873</v>
      </c>
      <c r="AN126" s="1">
        <v>5.0423148232E11</v>
      </c>
      <c r="AP126" s="1">
        <v>2.0</v>
      </c>
    </row>
    <row r="127" ht="15.75" customHeight="1">
      <c r="A127" s="1" t="s">
        <v>995</v>
      </c>
      <c r="B127" s="1" t="str">
        <f>IFERROR(__xludf.DUMMYFUNCTION("AI(Prompt!$B$21,A127)"),"ИП Мурашов")</f>
        <v>ИП Мурашов</v>
      </c>
      <c r="C127" s="1" t="str">
        <f>IFERROR(__xludf.DUMMYFUNCTION("AI(Prompt!$B$26,A127:B127)"),"OK")</f>
        <v>OK</v>
      </c>
      <c r="D127" s="1" t="s">
        <v>864</v>
      </c>
      <c r="E127" s="1">
        <v>5.00509968302E11</v>
      </c>
      <c r="G127" s="1">
        <v>3.22508100357812E14</v>
      </c>
      <c r="H127" s="1" t="s">
        <v>42</v>
      </c>
      <c r="I127" s="3">
        <v>44757.0</v>
      </c>
      <c r="J127" s="1">
        <v>3.0</v>
      </c>
      <c r="K127" s="1" t="s">
        <v>43</v>
      </c>
      <c r="L127" s="1" t="s">
        <v>996</v>
      </c>
      <c r="M127" s="1" t="s">
        <v>997</v>
      </c>
      <c r="N127" s="1" t="s">
        <v>46</v>
      </c>
      <c r="P127" s="1" t="s">
        <v>998</v>
      </c>
      <c r="Q127" s="1" t="s">
        <v>999</v>
      </c>
      <c r="AL127" s="1" t="s">
        <v>995</v>
      </c>
      <c r="AN127" s="1">
        <v>5.00509968302E11</v>
      </c>
      <c r="AP127" s="1">
        <v>1.0</v>
      </c>
    </row>
    <row r="128" ht="15.75" customHeight="1">
      <c r="A128" s="1" t="s">
        <v>1090</v>
      </c>
      <c r="B128" s="1" t="str">
        <f>IFERROR(__xludf.DUMMYFUNCTION("AI(Prompt!$B$21,A128)"),"ИП Овсянников")</f>
        <v>ИП Овсянников</v>
      </c>
      <c r="C128" s="1" t="str">
        <f>IFERROR(__xludf.DUMMYFUNCTION("AI(Prompt!$B$26,A128:B128)"),"OK")</f>
        <v>OK</v>
      </c>
      <c r="D128" s="1" t="s">
        <v>864</v>
      </c>
      <c r="E128" s="1">
        <v>5.04721008293E11</v>
      </c>
      <c r="G128" s="1">
        <v>3.23508100705184E14</v>
      </c>
      <c r="H128" s="1" t="s">
        <v>42</v>
      </c>
      <c r="I128" s="3">
        <v>45287.0</v>
      </c>
      <c r="J128" s="1">
        <v>2.0</v>
      </c>
      <c r="K128" s="1" t="s">
        <v>43</v>
      </c>
      <c r="L128" s="1" t="s">
        <v>1091</v>
      </c>
      <c r="M128" s="1" t="s">
        <v>1092</v>
      </c>
      <c r="N128" s="1" t="s">
        <v>46</v>
      </c>
      <c r="P128" s="1" t="s">
        <v>1093</v>
      </c>
      <c r="Q128" s="1" t="s">
        <v>1094</v>
      </c>
      <c r="R128" s="1" t="s">
        <v>1095</v>
      </c>
      <c r="S128" s="1" t="s">
        <v>1096</v>
      </c>
      <c r="Y128" s="1" t="s">
        <v>1097</v>
      </c>
      <c r="AL128" s="1" t="s">
        <v>1090</v>
      </c>
      <c r="AN128" s="1">
        <v>5.04721008293E11</v>
      </c>
      <c r="AP128" s="1">
        <v>1.0</v>
      </c>
    </row>
    <row r="129" ht="15.75" customHeight="1">
      <c r="A129" s="1" t="s">
        <v>676</v>
      </c>
      <c r="B129" s="1" t="str">
        <f>IFERROR(__xludf.DUMMYFUNCTION("AI(Prompt!$B$21,A129)"),"Кормотема")</f>
        <v>Кормотема</v>
      </c>
      <c r="C129" s="1" t="str">
        <f>IFERROR(__xludf.DUMMYFUNCTION("AI(Prompt!$B$26,A129:B129)"),"OK")</f>
        <v>OK</v>
      </c>
      <c r="D129" s="1" t="s">
        <v>41</v>
      </c>
      <c r="E129" s="1">
        <v>9.704198106E9</v>
      </c>
      <c r="F129" s="1">
        <v>7.70401001E8</v>
      </c>
      <c r="G129" s="1">
        <v>1.237700089241E12</v>
      </c>
      <c r="H129" s="1" t="s">
        <v>42</v>
      </c>
      <c r="I129" s="3">
        <v>44960.0</v>
      </c>
      <c r="J129" s="1">
        <v>3.0</v>
      </c>
      <c r="K129" s="1" t="s">
        <v>43</v>
      </c>
      <c r="L129" s="1" t="s">
        <v>677</v>
      </c>
      <c r="M129" s="1" t="s">
        <v>678</v>
      </c>
      <c r="N129" s="1" t="s">
        <v>121</v>
      </c>
      <c r="O129" s="1">
        <v>119019.0</v>
      </c>
      <c r="P129" s="1" t="s">
        <v>121</v>
      </c>
      <c r="Q129" s="1" t="s">
        <v>679</v>
      </c>
      <c r="Y129" s="1" t="s">
        <v>680</v>
      </c>
      <c r="AE129" s="1" t="s">
        <v>681</v>
      </c>
      <c r="AF129" s="1">
        <v>1564.0</v>
      </c>
      <c r="AG129" s="1">
        <v>18539.0</v>
      </c>
      <c r="AH129" s="1">
        <v>0.0</v>
      </c>
      <c r="AI129" s="1">
        <v>-90.0</v>
      </c>
      <c r="AJ129" s="1">
        <v>303.0</v>
      </c>
      <c r="AK129" s="1">
        <v>0.0</v>
      </c>
      <c r="AL129" s="1" t="s">
        <v>682</v>
      </c>
      <c r="AM129" s="1" t="s">
        <v>61</v>
      </c>
      <c r="AN129" s="1">
        <v>7.73007942634E11</v>
      </c>
      <c r="AO129" s="3">
        <v>44960.0</v>
      </c>
      <c r="AP129" s="1">
        <v>1.0</v>
      </c>
    </row>
    <row r="130" ht="15.75" customHeight="1">
      <c r="A130" s="1" t="s">
        <v>1289</v>
      </c>
      <c r="B130" s="1" t="str">
        <f>IFERROR(__xludf.DUMMYFUNCTION("AI(Prompt!$B$21,A130)"),"Пёсландия")</f>
        <v>Пёсландия</v>
      </c>
      <c r="C130" s="1" t="str">
        <f>IFERROR(__xludf.DUMMYFUNCTION("AI(Prompt!$B$26,A130:B130)"),"OK")</f>
        <v>OK</v>
      </c>
      <c r="D130" s="1" t="s">
        <v>41</v>
      </c>
      <c r="E130" s="1">
        <v>9.703224515E9</v>
      </c>
      <c r="F130" s="1">
        <v>7.70301001E8</v>
      </c>
      <c r="G130" s="1">
        <v>1.25770042375E12</v>
      </c>
      <c r="H130" s="1" t="s">
        <v>42</v>
      </c>
      <c r="I130" s="3">
        <v>45924.0</v>
      </c>
      <c r="J130" s="1">
        <v>0.0</v>
      </c>
      <c r="K130" s="1" t="s">
        <v>43</v>
      </c>
      <c r="L130" s="1" t="s">
        <v>1290</v>
      </c>
      <c r="M130" s="1" t="s">
        <v>1291</v>
      </c>
      <c r="N130" s="1" t="s">
        <v>121</v>
      </c>
      <c r="O130" s="1">
        <v>123112.0</v>
      </c>
      <c r="P130" s="1" t="s">
        <v>121</v>
      </c>
      <c r="Q130" s="1" t="s">
        <v>1292</v>
      </c>
      <c r="AE130" s="1" t="s">
        <v>1293</v>
      </c>
      <c r="AL130" s="1" t="s">
        <v>1294</v>
      </c>
      <c r="AM130" s="1" t="s">
        <v>61</v>
      </c>
      <c r="AN130" s="1">
        <v>7.73405132798E11</v>
      </c>
      <c r="AO130" s="3">
        <v>46052.0</v>
      </c>
      <c r="AP130" s="1">
        <v>1.0</v>
      </c>
    </row>
    <row r="131" ht="15.75" customHeight="1">
      <c r="A131" s="1" t="s">
        <v>981</v>
      </c>
      <c r="B131" s="1" t="str">
        <f>IFERROR(__xludf.DUMMYFUNCTION("AI(Prompt!$B$21,A131)"),"Натурпет")</f>
        <v>Натурпет</v>
      </c>
      <c r="C131" s="1" t="str">
        <f>IFERROR(__xludf.DUMMYFUNCTION("AI(Prompt!$B$26,A131:B131)"),"OK")</f>
        <v>OK</v>
      </c>
      <c r="D131" s="1" t="s">
        <v>41</v>
      </c>
      <c r="E131" s="1">
        <v>5.050168625E9</v>
      </c>
      <c r="F131" s="1">
        <v>5.05001001E8</v>
      </c>
      <c r="G131" s="1">
        <v>1.255000058994E12</v>
      </c>
      <c r="H131" s="1" t="s">
        <v>42</v>
      </c>
      <c r="I131" s="3">
        <v>45831.0</v>
      </c>
      <c r="J131" s="1">
        <v>0.0</v>
      </c>
      <c r="K131" s="1" t="s">
        <v>43</v>
      </c>
      <c r="L131" s="1" t="s">
        <v>982</v>
      </c>
      <c r="M131" s="1" t="s">
        <v>983</v>
      </c>
      <c r="N131" s="1" t="s">
        <v>46</v>
      </c>
      <c r="O131" s="1">
        <v>141107.0</v>
      </c>
      <c r="P131" s="1" t="s">
        <v>984</v>
      </c>
      <c r="Q131" s="1" t="s">
        <v>985</v>
      </c>
      <c r="AE131" s="1" t="s">
        <v>986</v>
      </c>
      <c r="AL131" s="1" t="s">
        <v>987</v>
      </c>
      <c r="AM131" s="1" t="s">
        <v>61</v>
      </c>
      <c r="AN131" s="1">
        <v>7.7198876748E11</v>
      </c>
      <c r="AO131" s="3">
        <v>45831.0</v>
      </c>
      <c r="AP131" s="1">
        <v>1.0</v>
      </c>
    </row>
    <row r="132" ht="15.75" customHeight="1">
      <c r="A132" s="1" t="s">
        <v>1415</v>
      </c>
      <c r="B132" s="1" t="str">
        <f>IFERROR(__xludf.DUMMYFUNCTION("AI(Prompt!$B$21,A132)"),"ИП Русакова")</f>
        <v>ИП Русакова</v>
      </c>
      <c r="C132" s="1" t="str">
        <f>IFERROR(__xludf.DUMMYFUNCTION("AI(Prompt!$B$26,A132:B132)"),"OK")</f>
        <v>OK</v>
      </c>
      <c r="D132" s="1" t="s">
        <v>864</v>
      </c>
      <c r="E132" s="1">
        <v>7.71536721345E11</v>
      </c>
      <c r="G132" s="1">
        <v>3.227746003989E14</v>
      </c>
      <c r="H132" s="1" t="s">
        <v>42</v>
      </c>
      <c r="I132" s="3">
        <v>44742.0</v>
      </c>
      <c r="J132" s="1">
        <v>3.0</v>
      </c>
      <c r="K132" s="1" t="s">
        <v>43</v>
      </c>
      <c r="L132" s="1" t="s">
        <v>1416</v>
      </c>
      <c r="M132" s="1" t="s">
        <v>1157</v>
      </c>
      <c r="N132" s="1" t="s">
        <v>121</v>
      </c>
      <c r="Q132" s="1" t="s">
        <v>1417</v>
      </c>
      <c r="Y132" s="1" t="s">
        <v>1418</v>
      </c>
      <c r="AL132" s="1" t="s">
        <v>1415</v>
      </c>
      <c r="AN132" s="1">
        <v>7.71536721345E11</v>
      </c>
      <c r="AP132" s="1">
        <v>2.0</v>
      </c>
    </row>
    <row r="133" ht="15.75" customHeight="1">
      <c r="A133" s="1" t="s">
        <v>746</v>
      </c>
      <c r="B133" s="1" t="str">
        <f>IFERROR(__xludf.DUMMYFUNCTION("AI(Prompt!$B$21,A133)"),"Неон")</f>
        <v>Неон</v>
      </c>
      <c r="C133" s="1" t="str">
        <f>IFERROR(__xludf.DUMMYFUNCTION("AI(Prompt!$B$26,A133:B133)"),"OK")</f>
        <v>OK</v>
      </c>
      <c r="D133" s="1" t="s">
        <v>41</v>
      </c>
      <c r="E133" s="1">
        <v>7.720373062E9</v>
      </c>
      <c r="F133" s="1">
        <v>7.72001001E8</v>
      </c>
      <c r="G133" s="1">
        <v>1.177746230045E12</v>
      </c>
      <c r="H133" s="1" t="s">
        <v>747</v>
      </c>
      <c r="I133" s="3">
        <v>42803.0</v>
      </c>
      <c r="J133" s="1">
        <v>8.0</v>
      </c>
      <c r="K133" s="1" t="s">
        <v>43</v>
      </c>
      <c r="L133" s="1" t="s">
        <v>748</v>
      </c>
      <c r="M133" s="1" t="s">
        <v>749</v>
      </c>
      <c r="N133" s="1" t="s">
        <v>121</v>
      </c>
      <c r="O133" s="1">
        <v>111402.0</v>
      </c>
      <c r="P133" s="1" t="s">
        <v>121</v>
      </c>
      <c r="Q133" s="1" t="s">
        <v>750</v>
      </c>
      <c r="Y133" s="1" t="s">
        <v>751</v>
      </c>
      <c r="Z133" s="1" t="s">
        <v>752</v>
      </c>
      <c r="AE133" s="1" t="s">
        <v>753</v>
      </c>
      <c r="AF133" s="1">
        <v>146.0</v>
      </c>
      <c r="AG133" s="1">
        <v>0.0</v>
      </c>
      <c r="AH133" s="1">
        <v>6426.0</v>
      </c>
      <c r="AI133" s="1">
        <v>-3465.0</v>
      </c>
      <c r="AJ133" s="1">
        <v>-1027.0</v>
      </c>
      <c r="AK133" s="1">
        <v>-1651.0</v>
      </c>
      <c r="AL133" s="1" t="s">
        <v>754</v>
      </c>
      <c r="AM133" s="1" t="s">
        <v>755</v>
      </c>
      <c r="AN133" s="1">
        <v>7.70706101597E11</v>
      </c>
      <c r="AO133" s="3">
        <v>45925.0</v>
      </c>
      <c r="AP133" s="1">
        <v>2.0</v>
      </c>
    </row>
    <row r="134" ht="15.75" customHeight="1">
      <c r="A134" s="1" t="s">
        <v>118</v>
      </c>
      <c r="B134" s="1" t="str">
        <f>IFERROR(__xludf.DUMMYFUNCTION("AI(Prompt!$B$21,A134)"),"Компания Орис")</f>
        <v>Компания Орис</v>
      </c>
      <c r="C134" s="1" t="str">
        <f>IFERROR(__xludf.DUMMYFUNCTION("AI(Prompt!$B$26,A134:B134)"),"OK")</f>
        <v>OK</v>
      </c>
      <c r="D134" s="1" t="s">
        <v>41</v>
      </c>
      <c r="E134" s="1">
        <v>7.726220721E9</v>
      </c>
      <c r="F134" s="1">
        <v>7.71501001E8</v>
      </c>
      <c r="G134" s="1">
        <v>1.02770026821E12</v>
      </c>
      <c r="H134" s="1" t="s">
        <v>42</v>
      </c>
      <c r="I134" s="3">
        <v>35367.0</v>
      </c>
      <c r="J134" s="1">
        <v>29.0</v>
      </c>
      <c r="K134" s="1" t="s">
        <v>43</v>
      </c>
      <c r="L134" s="1" t="s">
        <v>119</v>
      </c>
      <c r="M134" s="1" t="s">
        <v>120</v>
      </c>
      <c r="N134" s="1" t="s">
        <v>121</v>
      </c>
      <c r="O134" s="1">
        <v>127282.0</v>
      </c>
      <c r="P134" s="1" t="s">
        <v>121</v>
      </c>
      <c r="Q134" s="1" t="s">
        <v>122</v>
      </c>
      <c r="R134" s="1" t="s">
        <v>123</v>
      </c>
      <c r="U134" s="1" t="s">
        <v>124</v>
      </c>
      <c r="Y134" s="1" t="s">
        <v>125</v>
      </c>
      <c r="AE134" s="1" t="s">
        <v>126</v>
      </c>
      <c r="AF134" s="1">
        <v>605561.0</v>
      </c>
      <c r="AG134" s="1">
        <v>631082.0</v>
      </c>
      <c r="AH134" s="1">
        <v>713926.0</v>
      </c>
      <c r="AI134" s="1">
        <v>-3504.0</v>
      </c>
      <c r="AJ134" s="1">
        <v>2112.0</v>
      </c>
      <c r="AK134" s="1">
        <v>30148.0</v>
      </c>
      <c r="AL134" s="1" t="s">
        <v>127</v>
      </c>
      <c r="AM134" s="1" t="s">
        <v>61</v>
      </c>
      <c r="AN134" s="1">
        <v>7.72861279701E11</v>
      </c>
      <c r="AO134" s="3">
        <v>37531.0</v>
      </c>
      <c r="AP134" s="1">
        <v>1.0</v>
      </c>
    </row>
    <row r="135" ht="15.75" customHeight="1">
      <c r="A135" s="1" t="s">
        <v>1240</v>
      </c>
      <c r="B135" s="1" t="str">
        <f>IFERROR(__xludf.DUMMYFUNCTION("AI(Prompt!$B$21,A135)"),"ИП Большакова")</f>
        <v>ИП Большакова</v>
      </c>
      <c r="C135" s="1" t="str">
        <f>IFERROR(__xludf.DUMMYFUNCTION("AI(Prompt!$B$26,A135:B135)"),"OK")</f>
        <v>OK</v>
      </c>
      <c r="D135" s="1" t="s">
        <v>864</v>
      </c>
      <c r="E135" s="1">
        <v>7.72850881262E11</v>
      </c>
      <c r="G135" s="1">
        <v>3.25774600549873E14</v>
      </c>
      <c r="H135" s="1" t="s">
        <v>42</v>
      </c>
      <c r="I135" s="3">
        <v>45891.0</v>
      </c>
      <c r="J135" s="1">
        <v>0.0</v>
      </c>
      <c r="K135" s="1" t="s">
        <v>43</v>
      </c>
      <c r="L135" s="1" t="s">
        <v>1241</v>
      </c>
      <c r="N135" s="1" t="s">
        <v>121</v>
      </c>
      <c r="Q135" s="1" t="s">
        <v>1242</v>
      </c>
      <c r="AL135" s="1" t="s">
        <v>1240</v>
      </c>
      <c r="AN135" s="1">
        <v>7.72850881262E11</v>
      </c>
      <c r="AP135" s="1">
        <v>2.0</v>
      </c>
    </row>
    <row r="136" ht="15.75" customHeight="1">
      <c r="A136" s="1" t="s">
        <v>1258</v>
      </c>
      <c r="B136" s="1" t="str">
        <f>IFERROR(__xludf.DUMMYFUNCTION("AI(Prompt!$B$21,A136)"),"ИП Кондратьева")</f>
        <v>ИП Кондратьева</v>
      </c>
      <c r="C136" s="1" t="str">
        <f>IFERROR(__xludf.DUMMYFUNCTION("AI(Prompt!$B$26,A136:B136)"),"OK")</f>
        <v>OK</v>
      </c>
      <c r="D136" s="1" t="s">
        <v>864</v>
      </c>
      <c r="E136" s="1">
        <v>7.7360180532E11</v>
      </c>
      <c r="G136" s="1">
        <v>3.23774600344965E14</v>
      </c>
      <c r="H136" s="1" t="s">
        <v>42</v>
      </c>
      <c r="I136" s="3">
        <v>45077.0</v>
      </c>
      <c r="J136" s="1">
        <v>2.0</v>
      </c>
      <c r="K136" s="1" t="s">
        <v>43</v>
      </c>
      <c r="L136" s="1" t="s">
        <v>1259</v>
      </c>
      <c r="M136" s="1" t="s">
        <v>1260</v>
      </c>
      <c r="N136" s="1" t="s">
        <v>121</v>
      </c>
      <c r="Q136" s="1" t="s">
        <v>1261</v>
      </c>
      <c r="AL136" s="1" t="s">
        <v>1258</v>
      </c>
      <c r="AN136" s="1">
        <v>7.7360180532E11</v>
      </c>
      <c r="AP136" s="1">
        <v>2.0</v>
      </c>
    </row>
    <row r="137" ht="15.75" customHeight="1">
      <c r="A137" s="1" t="s">
        <v>497</v>
      </c>
      <c r="B137" s="1" t="str">
        <f>IFERROR(__xludf.DUMMYFUNCTION("AI(Prompt!$B$21,A137)"),"Общепитпром")</f>
        <v>Общепитпром</v>
      </c>
      <c r="C137" s="1" t="str">
        <f>IFERROR(__xludf.DUMMYFUNCTION("AI(Prompt!$B$26,A137:B137)"),"OK")</f>
        <v>OK</v>
      </c>
      <c r="D137" s="1" t="s">
        <v>41</v>
      </c>
      <c r="E137" s="1">
        <v>7.703708537E9</v>
      </c>
      <c r="F137" s="1">
        <v>7.71001001E8</v>
      </c>
      <c r="G137" s="1">
        <v>1.097746630607E12</v>
      </c>
      <c r="H137" s="1" t="s">
        <v>42</v>
      </c>
      <c r="I137" s="3">
        <v>40102.0</v>
      </c>
      <c r="J137" s="1">
        <v>16.0</v>
      </c>
      <c r="K137" s="1" t="s">
        <v>43</v>
      </c>
      <c r="L137" s="1" t="s">
        <v>498</v>
      </c>
      <c r="M137" s="1" t="s">
        <v>499</v>
      </c>
      <c r="N137" s="1" t="s">
        <v>121</v>
      </c>
      <c r="O137" s="1">
        <v>125047.0</v>
      </c>
      <c r="P137" s="1" t="s">
        <v>121</v>
      </c>
      <c r="Q137" s="1" t="s">
        <v>500</v>
      </c>
      <c r="Y137" s="1" t="s">
        <v>501</v>
      </c>
      <c r="AE137" s="1" t="s">
        <v>502</v>
      </c>
      <c r="AF137" s="1">
        <v>9576.0</v>
      </c>
      <c r="AG137" s="1">
        <v>424.0</v>
      </c>
      <c r="AH137" s="1">
        <v>0.0</v>
      </c>
      <c r="AI137" s="1">
        <v>-199.0</v>
      </c>
      <c r="AJ137" s="1">
        <v>-3473.0</v>
      </c>
      <c r="AK137" s="1">
        <v>-3532.0</v>
      </c>
      <c r="AL137" s="1" t="s">
        <v>503</v>
      </c>
      <c r="AM137" s="1" t="s">
        <v>61</v>
      </c>
      <c r="AN137" s="1">
        <v>7.7317913409E11</v>
      </c>
      <c r="AO137" s="3">
        <v>40102.0</v>
      </c>
      <c r="AP137" s="1">
        <v>1.0</v>
      </c>
    </row>
    <row r="138" ht="15.75" customHeight="1">
      <c r="A138" s="1" t="s">
        <v>246</v>
      </c>
      <c r="B138" s="1" t="str">
        <f>IFERROR(__xludf.DUMMYFUNCTION("AI(Prompt!$B$21,A138)"),"Формула")</f>
        <v>Формула</v>
      </c>
      <c r="C138" s="1" t="str">
        <f>IFERROR(__xludf.DUMMYFUNCTION("AI(Prompt!$B$26,A138:B138)"),"OK")</f>
        <v>OK</v>
      </c>
      <c r="D138" s="1" t="s">
        <v>41</v>
      </c>
      <c r="E138" s="1">
        <v>5.044107494E9</v>
      </c>
      <c r="F138" s="1">
        <v>5.00701001E8</v>
      </c>
      <c r="G138" s="1">
        <v>1.175007001454E12</v>
      </c>
      <c r="H138" s="1" t="s">
        <v>42</v>
      </c>
      <c r="I138" s="3">
        <v>42765.0</v>
      </c>
      <c r="J138" s="1">
        <v>9.0</v>
      </c>
      <c r="K138" s="1" t="s">
        <v>43</v>
      </c>
      <c r="L138" s="1" t="s">
        <v>247</v>
      </c>
      <c r="M138" s="1" t="s">
        <v>248</v>
      </c>
      <c r="N138" s="1" t="s">
        <v>46</v>
      </c>
      <c r="O138" s="1">
        <v>141850.0</v>
      </c>
      <c r="P138" s="1" t="s">
        <v>249</v>
      </c>
      <c r="Q138" s="1" t="s">
        <v>250</v>
      </c>
      <c r="U138" s="1" t="s">
        <v>251</v>
      </c>
      <c r="Y138" s="1" t="s">
        <v>252</v>
      </c>
      <c r="Z138" s="1" t="s">
        <v>253</v>
      </c>
      <c r="AE138" s="1" t="s">
        <v>254</v>
      </c>
      <c r="AF138" s="1">
        <v>164196.0</v>
      </c>
      <c r="AG138" s="1">
        <v>131886.0</v>
      </c>
      <c r="AH138" s="1">
        <v>102698.0</v>
      </c>
      <c r="AI138" s="1">
        <v>16919.0</v>
      </c>
      <c r="AJ138" s="1">
        <v>16317.0</v>
      </c>
      <c r="AK138" s="1">
        <v>14384.0</v>
      </c>
      <c r="AL138" s="1" t="s">
        <v>255</v>
      </c>
      <c r="AM138" s="1" t="s">
        <v>61</v>
      </c>
      <c r="AN138" s="1">
        <v>3.0180865803E11</v>
      </c>
      <c r="AO138" s="3">
        <v>45588.0</v>
      </c>
      <c r="AP138" s="1">
        <v>2.0</v>
      </c>
    </row>
    <row r="139" ht="15.75" customHeight="1">
      <c r="A139" s="1" t="s">
        <v>1229</v>
      </c>
      <c r="B139" s="1" t="str">
        <f>IFERROR(__xludf.DUMMYFUNCTION("AI(Prompt!$B$21,A139)"),"ИП Геращенко")</f>
        <v>ИП Геращенко</v>
      </c>
      <c r="C139" s="1" t="str">
        <f>IFERROR(__xludf.DUMMYFUNCTION("AI(Prompt!$B$26,A139:B139)"),"OK")</f>
        <v>OK</v>
      </c>
      <c r="D139" s="1" t="s">
        <v>864</v>
      </c>
      <c r="E139" s="1">
        <v>2.45802031927E11</v>
      </c>
      <c r="G139" s="1">
        <v>3.25774600155594E14</v>
      </c>
      <c r="H139" s="1" t="s">
        <v>42</v>
      </c>
      <c r="I139" s="3">
        <v>45723.0</v>
      </c>
      <c r="J139" s="1">
        <v>0.0</v>
      </c>
      <c r="K139" s="1" t="s">
        <v>43</v>
      </c>
      <c r="L139" s="1" t="s">
        <v>1230</v>
      </c>
      <c r="M139" s="1" t="s">
        <v>1231</v>
      </c>
      <c r="N139" s="1" t="s">
        <v>121</v>
      </c>
      <c r="Q139" s="1" t="s">
        <v>1232</v>
      </c>
      <c r="AL139" s="1" t="s">
        <v>1229</v>
      </c>
      <c r="AN139" s="1">
        <v>2.45802031927E11</v>
      </c>
      <c r="AP139" s="1">
        <v>2.0</v>
      </c>
    </row>
    <row r="140" ht="15.75" customHeight="1">
      <c r="A140" s="1" t="s">
        <v>1454</v>
      </c>
      <c r="B140" s="1" t="str">
        <f>IFERROR(__xludf.DUMMYFUNCTION("AI(Prompt!$B$21,A140)"),"ИП Охрименко")</f>
        <v>ИП Охрименко</v>
      </c>
      <c r="C140" s="1" t="str">
        <f>IFERROR(__xludf.DUMMYFUNCTION("AI(Prompt!$B$26,A140:B140)"),"OK")</f>
        <v>OK</v>
      </c>
      <c r="D140" s="1" t="s">
        <v>864</v>
      </c>
      <c r="E140" s="1">
        <v>7.7300833191E11</v>
      </c>
      <c r="G140" s="1">
        <v>3.21774600755488E14</v>
      </c>
      <c r="H140" s="1" t="s">
        <v>42</v>
      </c>
      <c r="I140" s="3">
        <v>44536.0</v>
      </c>
      <c r="J140" s="1">
        <v>4.0</v>
      </c>
      <c r="K140" s="1" t="s">
        <v>43</v>
      </c>
      <c r="L140" s="1" t="s">
        <v>1455</v>
      </c>
      <c r="M140" s="1" t="s">
        <v>1456</v>
      </c>
      <c r="N140" s="1" t="s">
        <v>121</v>
      </c>
      <c r="Q140" s="1" t="s">
        <v>1457</v>
      </c>
      <c r="R140" s="1" t="s">
        <v>1458</v>
      </c>
      <c r="Y140" s="1" t="s">
        <v>1459</v>
      </c>
      <c r="AL140" s="1" t="s">
        <v>1454</v>
      </c>
      <c r="AN140" s="1">
        <v>7.7300833191E11</v>
      </c>
      <c r="AP140" s="1">
        <v>2.0</v>
      </c>
    </row>
    <row r="141" ht="15.75" customHeight="1">
      <c r="A141" s="1" t="s">
        <v>1022</v>
      </c>
      <c r="B141" s="1" t="str">
        <f>IFERROR(__xludf.DUMMYFUNCTION("AI(Prompt!$B$21,A141)"),"ИП Эльбиева")</f>
        <v>ИП Эльбиева</v>
      </c>
      <c r="C141" s="1" t="str">
        <f>IFERROR(__xludf.DUMMYFUNCTION("AI(Prompt!$B$26,A141:B141)"),"OK")</f>
        <v>OK</v>
      </c>
      <c r="D141" s="1" t="s">
        <v>864</v>
      </c>
      <c r="E141" s="1">
        <v>5.83406269309E11</v>
      </c>
      <c r="G141" s="1">
        <v>3.24508100705838E14</v>
      </c>
      <c r="H141" s="1" t="s">
        <v>42</v>
      </c>
      <c r="I141" s="3">
        <v>45637.0</v>
      </c>
      <c r="J141" s="1">
        <v>1.0</v>
      </c>
      <c r="K141" s="1" t="s">
        <v>43</v>
      </c>
      <c r="L141" s="1" t="s">
        <v>1023</v>
      </c>
      <c r="M141" s="1" t="s">
        <v>1024</v>
      </c>
      <c r="N141" s="1" t="s">
        <v>46</v>
      </c>
      <c r="P141" s="1" t="s">
        <v>1025</v>
      </c>
      <c r="Q141" s="1" t="s">
        <v>1026</v>
      </c>
      <c r="AL141" s="1" t="s">
        <v>1022</v>
      </c>
      <c r="AN141" s="1">
        <v>5.83406269309E11</v>
      </c>
      <c r="AP141" s="1">
        <v>2.0</v>
      </c>
    </row>
    <row r="142" ht="15.75" customHeight="1">
      <c r="A142" s="1" t="s">
        <v>904</v>
      </c>
      <c r="B142" s="1" t="str">
        <f>IFERROR(__xludf.DUMMYFUNCTION("AI(Prompt!$B$21,A142)"),"ИП Зинова")</f>
        <v>ИП Зинова</v>
      </c>
      <c r="C142" s="1" t="str">
        <f>IFERROR(__xludf.DUMMYFUNCTION("AI(Prompt!$B$26,A142:B142)"),"OK")</f>
        <v>OK</v>
      </c>
      <c r="D142" s="1" t="s">
        <v>864</v>
      </c>
      <c r="E142" s="1">
        <v>7.72325901887E11</v>
      </c>
      <c r="G142" s="1">
        <v>3.18502700064479E14</v>
      </c>
      <c r="H142" s="1" t="s">
        <v>42</v>
      </c>
      <c r="I142" s="3">
        <v>43334.0</v>
      </c>
      <c r="J142" s="1">
        <v>7.0</v>
      </c>
      <c r="K142" s="1" t="s">
        <v>43</v>
      </c>
      <c r="L142" s="1" t="s">
        <v>905</v>
      </c>
      <c r="M142" s="1" t="s">
        <v>906</v>
      </c>
      <c r="N142" s="1" t="s">
        <v>46</v>
      </c>
      <c r="P142" s="1" t="s">
        <v>768</v>
      </c>
      <c r="Q142" s="1" t="s">
        <v>907</v>
      </c>
      <c r="R142" s="1" t="s">
        <v>908</v>
      </c>
      <c r="Y142" s="1" t="s">
        <v>909</v>
      </c>
      <c r="Z142" s="1" t="s">
        <v>910</v>
      </c>
      <c r="AL142" s="1" t="s">
        <v>904</v>
      </c>
      <c r="AN142" s="1">
        <v>7.72325901887E11</v>
      </c>
      <c r="AP142" s="1">
        <v>2.0</v>
      </c>
    </row>
    <row r="143" ht="15.75" customHeight="1">
      <c r="A143" s="1" t="s">
        <v>1393</v>
      </c>
      <c r="B143" s="1" t="str">
        <f>IFERROR(__xludf.DUMMYFUNCTION("AI(Prompt!$B$21,A143)"),"ИП Стукало")</f>
        <v>ИП Стукало</v>
      </c>
      <c r="C143" s="1" t="str">
        <f>IFERROR(__xludf.DUMMYFUNCTION("AI(Prompt!$B$26,A143:B143)"),"OK")</f>
        <v>OK</v>
      </c>
      <c r="D143" s="1" t="s">
        <v>864</v>
      </c>
      <c r="E143" s="1">
        <v>7.7201953307E11</v>
      </c>
      <c r="G143" s="1">
        <v>3.2277460026055E14</v>
      </c>
      <c r="H143" s="1" t="s">
        <v>42</v>
      </c>
      <c r="I143" s="3">
        <v>44672.0</v>
      </c>
      <c r="J143" s="1">
        <v>3.0</v>
      </c>
      <c r="K143" s="1" t="s">
        <v>43</v>
      </c>
      <c r="L143" s="1" t="s">
        <v>1394</v>
      </c>
      <c r="M143" s="1" t="s">
        <v>1395</v>
      </c>
      <c r="N143" s="1" t="s">
        <v>121</v>
      </c>
      <c r="Q143" s="1" t="s">
        <v>1396</v>
      </c>
      <c r="R143" s="1" t="s">
        <v>1397</v>
      </c>
      <c r="U143" s="1" t="s">
        <v>1398</v>
      </c>
      <c r="Y143" s="1" t="s">
        <v>1399</v>
      </c>
      <c r="AL143" s="1" t="s">
        <v>1393</v>
      </c>
      <c r="AN143" s="1">
        <v>7.7201953307E11</v>
      </c>
      <c r="AP143" s="1">
        <v>2.0</v>
      </c>
    </row>
    <row r="144" ht="15.75" customHeight="1">
      <c r="A144" s="1" t="s">
        <v>425</v>
      </c>
      <c r="B144" s="1" t="str">
        <f>IFERROR(__xludf.DUMMYFUNCTION("AI(Prompt!$B$21,A144)"),"Ортипо")</f>
        <v>Ортипо</v>
      </c>
      <c r="C144" s="1" t="str">
        <f>IFERROR(__xludf.DUMMYFUNCTION("AI(Prompt!$B$26,A144:B144)"),"OK")</f>
        <v>OK</v>
      </c>
      <c r="D144" s="1" t="s">
        <v>41</v>
      </c>
      <c r="E144" s="1">
        <v>5.018214838E9</v>
      </c>
      <c r="F144" s="1">
        <v>5.01801001E8</v>
      </c>
      <c r="G144" s="1">
        <v>1.235000062274E12</v>
      </c>
      <c r="H144" s="1" t="s">
        <v>42</v>
      </c>
      <c r="I144" s="3">
        <v>45063.0</v>
      </c>
      <c r="J144" s="1">
        <v>2.0</v>
      </c>
      <c r="K144" s="1" t="s">
        <v>43</v>
      </c>
      <c r="L144" s="1" t="s">
        <v>426</v>
      </c>
      <c r="M144" s="1" t="s">
        <v>427</v>
      </c>
      <c r="N144" s="1" t="s">
        <v>46</v>
      </c>
      <c r="O144" s="1">
        <v>141070.0</v>
      </c>
      <c r="P144" s="1" t="s">
        <v>428</v>
      </c>
      <c r="Q144" s="1" t="s">
        <v>429</v>
      </c>
      <c r="R144" s="1" t="s">
        <v>430</v>
      </c>
      <c r="S144" s="1" t="s">
        <v>431</v>
      </c>
      <c r="Y144" s="1" t="s">
        <v>432</v>
      </c>
      <c r="Z144" s="1" t="s">
        <v>433</v>
      </c>
      <c r="AE144" s="1" t="s">
        <v>434</v>
      </c>
      <c r="AF144" s="1">
        <v>13785.0</v>
      </c>
      <c r="AG144" s="1">
        <v>0.0</v>
      </c>
      <c r="AH144" s="1">
        <v>0.0</v>
      </c>
      <c r="AI144" s="1">
        <v>-10620.0</v>
      </c>
      <c r="AJ144" s="1">
        <v>-1274.0</v>
      </c>
      <c r="AK144" s="1">
        <v>0.0</v>
      </c>
      <c r="AL144" s="1" t="s">
        <v>435</v>
      </c>
      <c r="AM144" s="1" t="s">
        <v>61</v>
      </c>
      <c r="AN144" s="1">
        <v>7.72807295529E11</v>
      </c>
      <c r="AO144" s="3">
        <v>45772.0</v>
      </c>
      <c r="AP144" s="1">
        <v>1.0</v>
      </c>
    </row>
    <row r="145" ht="15.75" customHeight="1">
      <c r="A145" s="1" t="s">
        <v>392</v>
      </c>
      <c r="B145" s="1" t="str">
        <f>IFERROR(__xludf.DUMMYFUNCTION("AI(Prompt!$B$21,A145)"),"Экспорт Паритет")</f>
        <v>Экспорт Паритет</v>
      </c>
      <c r="C145" s="1" t="str">
        <f>IFERROR(__xludf.DUMMYFUNCTION("AI(Prompt!$B$26,A145:B145)"),"OK")</f>
        <v>OK</v>
      </c>
      <c r="D145" s="1" t="s">
        <v>41</v>
      </c>
      <c r="E145" s="1">
        <v>7.726365205E9</v>
      </c>
      <c r="F145" s="1">
        <v>7.72701001E8</v>
      </c>
      <c r="G145" s="1">
        <v>5.157746208747E12</v>
      </c>
      <c r="H145" s="1" t="s">
        <v>42</v>
      </c>
      <c r="I145" s="3">
        <v>42362.0</v>
      </c>
      <c r="J145" s="1">
        <v>10.0</v>
      </c>
      <c r="K145" s="1" t="s">
        <v>43</v>
      </c>
      <c r="L145" s="1" t="s">
        <v>393</v>
      </c>
      <c r="M145" s="1" t="s">
        <v>394</v>
      </c>
      <c r="N145" s="1" t="s">
        <v>121</v>
      </c>
      <c r="O145" s="1">
        <v>117216.0</v>
      </c>
      <c r="P145" s="1" t="s">
        <v>121</v>
      </c>
      <c r="Q145" s="1" t="s">
        <v>395</v>
      </c>
      <c r="R145" s="1" t="s">
        <v>396</v>
      </c>
      <c r="S145" s="1" t="s">
        <v>397</v>
      </c>
      <c r="Y145" s="1" t="s">
        <v>398</v>
      </c>
      <c r="Z145" s="1" t="s">
        <v>399</v>
      </c>
      <c r="AA145" s="1" t="s">
        <v>400</v>
      </c>
      <c r="AB145" s="1" t="s">
        <v>401</v>
      </c>
      <c r="AE145" s="1" t="s">
        <v>402</v>
      </c>
      <c r="AF145" s="1">
        <v>20170.0</v>
      </c>
      <c r="AG145" s="1">
        <v>22656.0</v>
      </c>
      <c r="AH145" s="1">
        <v>30045.0</v>
      </c>
      <c r="AI145" s="1">
        <v>169.0</v>
      </c>
      <c r="AJ145" s="1">
        <v>359.0</v>
      </c>
      <c r="AK145" s="1">
        <v>2642.0</v>
      </c>
      <c r="AL145" s="1" t="s">
        <v>403</v>
      </c>
      <c r="AM145" s="1" t="s">
        <v>61</v>
      </c>
      <c r="AN145" s="1">
        <v>4.70407694326E11</v>
      </c>
      <c r="AO145" s="3">
        <v>42362.0</v>
      </c>
      <c r="AP145" s="1">
        <v>2.0</v>
      </c>
    </row>
    <row r="146" ht="15.75" customHeight="1">
      <c r="A146" s="6" t="s">
        <v>833</v>
      </c>
      <c r="B146" s="1" t="str">
        <f>IFERROR(__xludf.DUMMYFUNCTION("AI(Prompt!$B$21,A146)"),"Производственная Фирма Агротехно")</f>
        <v>Производственная Фирма Агротехно</v>
      </c>
      <c r="C146" s="1" t="str">
        <f>IFERROR(__xludf.DUMMYFUNCTION("AI(Prompt!$B$26,A146:B146)"),"OK")</f>
        <v>OK</v>
      </c>
      <c r="D146" s="1" t="s">
        <v>41</v>
      </c>
      <c r="E146" s="1">
        <v>7.723462546E9</v>
      </c>
      <c r="F146" s="1">
        <v>7.72301001E8</v>
      </c>
      <c r="G146" s="1">
        <v>1.167746717115E12</v>
      </c>
      <c r="H146" s="1" t="s">
        <v>42</v>
      </c>
      <c r="I146" s="3">
        <v>42583.0</v>
      </c>
      <c r="J146" s="1">
        <v>9.0</v>
      </c>
      <c r="K146" s="1" t="s">
        <v>43</v>
      </c>
      <c r="L146" s="1" t="s">
        <v>834</v>
      </c>
      <c r="M146" s="1" t="s">
        <v>835</v>
      </c>
      <c r="N146" s="1" t="s">
        <v>121</v>
      </c>
      <c r="O146" s="1">
        <v>109129.0</v>
      </c>
      <c r="P146" s="1" t="s">
        <v>121</v>
      </c>
      <c r="Q146" s="1" t="s">
        <v>836</v>
      </c>
      <c r="Y146" s="1" t="s">
        <v>837</v>
      </c>
      <c r="AE146" s="1" t="s">
        <v>838</v>
      </c>
      <c r="AF146" s="1">
        <v>0.0</v>
      </c>
      <c r="AG146" s="1">
        <v>0.0</v>
      </c>
      <c r="AH146" s="1">
        <v>0.0</v>
      </c>
      <c r="AI146" s="1">
        <v>0.0</v>
      </c>
      <c r="AJ146" s="1">
        <v>0.0</v>
      </c>
      <c r="AK146" s="1">
        <v>-77.0</v>
      </c>
      <c r="AL146" s="1" t="s">
        <v>839</v>
      </c>
      <c r="AM146" s="1" t="s">
        <v>61</v>
      </c>
      <c r="AN146" s="1">
        <v>7.72380078505E11</v>
      </c>
      <c r="AO146" s="3">
        <v>42583.0</v>
      </c>
      <c r="AP146" s="1">
        <v>1.0</v>
      </c>
    </row>
    <row r="147" ht="15.75" customHeight="1">
      <c r="A147" s="1" t="s">
        <v>1074</v>
      </c>
      <c r="B147" s="1" t="str">
        <f>IFERROR(__xludf.DUMMYFUNCTION("AI(Prompt!$B$21,A147)"),"ИП Галактионов")</f>
        <v>ИП Галактионов</v>
      </c>
      <c r="C147" s="1" t="str">
        <f>IFERROR(__xludf.DUMMYFUNCTION("AI(Prompt!$B$26,A147:B147)"),"OK")</f>
        <v>OK</v>
      </c>
      <c r="D147" s="1" t="s">
        <v>864</v>
      </c>
      <c r="E147" s="1">
        <v>7.71601523057E11</v>
      </c>
      <c r="G147" s="1">
        <v>3.2050810043977E14</v>
      </c>
      <c r="H147" s="1" t="s">
        <v>42</v>
      </c>
      <c r="I147" s="3">
        <v>44194.0</v>
      </c>
      <c r="J147" s="1">
        <v>5.0</v>
      </c>
      <c r="K147" s="1" t="s">
        <v>43</v>
      </c>
      <c r="L147" s="1" t="s">
        <v>1075</v>
      </c>
      <c r="M147" s="1" t="s">
        <v>902</v>
      </c>
      <c r="N147" s="1" t="s">
        <v>46</v>
      </c>
      <c r="P147" s="1" t="s">
        <v>82</v>
      </c>
      <c r="Q147" s="1" t="s">
        <v>1076</v>
      </c>
      <c r="AL147" s="1" t="s">
        <v>1074</v>
      </c>
      <c r="AN147" s="1">
        <v>7.71601523057E11</v>
      </c>
      <c r="AP147" s="1">
        <v>1.0</v>
      </c>
    </row>
    <row r="148" ht="15.75" customHeight="1">
      <c r="A148" s="1" t="s">
        <v>900</v>
      </c>
      <c r="B148" s="1" t="str">
        <f>IFERROR(__xludf.DUMMYFUNCTION("AI(Prompt!$B$21,A148)"),"ИП Багинский")</f>
        <v>ИП Багинский</v>
      </c>
      <c r="C148" s="1" t="str">
        <f>IFERROR(__xludf.DUMMYFUNCTION("AI(Prompt!$B$26,A148:B148)"),"OK")</f>
        <v>OK</v>
      </c>
      <c r="D148" s="1" t="s">
        <v>864</v>
      </c>
      <c r="E148" s="1">
        <v>5.00721592325E11</v>
      </c>
      <c r="G148" s="1">
        <v>3.255081003149E14</v>
      </c>
      <c r="H148" s="1" t="s">
        <v>42</v>
      </c>
      <c r="I148" s="3">
        <v>45825.0</v>
      </c>
      <c r="J148" s="1">
        <v>0.0</v>
      </c>
      <c r="K148" s="1" t="s">
        <v>43</v>
      </c>
      <c r="L148" s="1" t="s">
        <v>901</v>
      </c>
      <c r="M148" s="1" t="s">
        <v>902</v>
      </c>
      <c r="N148" s="1" t="s">
        <v>46</v>
      </c>
      <c r="P148" s="1" t="s">
        <v>82</v>
      </c>
      <c r="Q148" s="1" t="s">
        <v>903</v>
      </c>
      <c r="AL148" s="1" t="s">
        <v>900</v>
      </c>
      <c r="AN148" s="1">
        <v>5.00721592325E11</v>
      </c>
      <c r="AP148" s="1">
        <v>1.0</v>
      </c>
    </row>
    <row r="149" ht="15.75" customHeight="1">
      <c r="A149" s="1" t="s">
        <v>1369</v>
      </c>
      <c r="B149" s="1" t="str">
        <f>IFERROR(__xludf.DUMMYFUNCTION("AI(Prompt!$B$21,A149)"),"ИП Пономарев")</f>
        <v>ИП Пономарев</v>
      </c>
      <c r="C149" s="1" t="str">
        <f>IFERROR(__xludf.DUMMYFUNCTION("AI(Prompt!$B$26,A149:B149)"),"OK")</f>
        <v>OK</v>
      </c>
      <c r="D149" s="1" t="s">
        <v>864</v>
      </c>
      <c r="E149" s="1">
        <v>7.71573449458E11</v>
      </c>
      <c r="G149" s="1">
        <v>3.21774600114232E14</v>
      </c>
      <c r="H149" s="1" t="s">
        <v>42</v>
      </c>
      <c r="I149" s="3">
        <v>44256.0</v>
      </c>
      <c r="J149" s="1">
        <v>4.0</v>
      </c>
      <c r="K149" s="1" t="s">
        <v>43</v>
      </c>
      <c r="L149" s="1" t="s">
        <v>1370</v>
      </c>
      <c r="M149" s="1" t="s">
        <v>1157</v>
      </c>
      <c r="N149" s="1" t="s">
        <v>121</v>
      </c>
      <c r="Q149" s="1" t="s">
        <v>1371</v>
      </c>
      <c r="R149" s="1" t="s">
        <v>1372</v>
      </c>
      <c r="Y149" s="1" t="s">
        <v>1373</v>
      </c>
      <c r="AL149" s="1" t="s">
        <v>1369</v>
      </c>
      <c r="AN149" s="1">
        <v>7.71573449458E11</v>
      </c>
      <c r="AP149" s="1">
        <v>1.0</v>
      </c>
    </row>
    <row r="150" ht="15.75" customHeight="1">
      <c r="A150" s="1" t="s">
        <v>40</v>
      </c>
      <c r="B150" s="1" t="str">
        <f>IFERROR(__xludf.DUMMYFUNCTION("AI(Prompt!$B$21,A150)"),"НПЦКТ")</f>
        <v>НПЦКТ</v>
      </c>
      <c r="C150" s="1" t="str">
        <f>IFERROR(__xludf.DUMMYFUNCTION("AI(Prompt!$B$26,A150:B150)"),"OK")</f>
        <v>OK</v>
      </c>
      <c r="D150" s="1" t="s">
        <v>41</v>
      </c>
      <c r="E150" s="1">
        <v>5.047200974E9</v>
      </c>
      <c r="F150" s="1">
        <v>5.00701001E8</v>
      </c>
      <c r="G150" s="1">
        <v>1.175029019032E12</v>
      </c>
      <c r="H150" s="1" t="s">
        <v>42</v>
      </c>
      <c r="I150" s="3">
        <v>42941.0</v>
      </c>
      <c r="J150" s="1">
        <v>8.0</v>
      </c>
      <c r="K150" s="1" t="s">
        <v>43</v>
      </c>
      <c r="L150" s="1" t="s">
        <v>44</v>
      </c>
      <c r="M150" s="1" t="s">
        <v>45</v>
      </c>
      <c r="N150" s="1" t="s">
        <v>46</v>
      </c>
      <c r="O150" s="1">
        <v>141862.0</v>
      </c>
      <c r="P150" s="1" t="s">
        <v>47</v>
      </c>
      <c r="Q150" s="1" t="s">
        <v>48</v>
      </c>
      <c r="R150" s="1" t="s">
        <v>49</v>
      </c>
      <c r="S150" s="1" t="s">
        <v>50</v>
      </c>
      <c r="T150" s="1" t="s">
        <v>51</v>
      </c>
      <c r="U150" s="1" t="s">
        <v>52</v>
      </c>
      <c r="V150" s="1" t="s">
        <v>53</v>
      </c>
      <c r="W150" s="1" t="s">
        <v>54</v>
      </c>
      <c r="Y150" s="1" t="s">
        <v>55</v>
      </c>
      <c r="Z150" s="1" t="s">
        <v>56</v>
      </c>
      <c r="AA150" s="1" t="s">
        <v>57</v>
      </c>
      <c r="AB150" s="1" t="s">
        <v>58</v>
      </c>
      <c r="AE150" s="1" t="s">
        <v>59</v>
      </c>
      <c r="AF150" s="1">
        <v>4888993.0</v>
      </c>
      <c r="AG150" s="1">
        <v>2062602.0</v>
      </c>
      <c r="AH150" s="1">
        <v>632153.0</v>
      </c>
      <c r="AI150" s="1">
        <v>1175959.0</v>
      </c>
      <c r="AJ150" s="1">
        <v>310301.0</v>
      </c>
      <c r="AK150" s="1">
        <v>-109049.0</v>
      </c>
      <c r="AL150" s="1" t="s">
        <v>60</v>
      </c>
      <c r="AM150" s="1" t="s">
        <v>61</v>
      </c>
      <c r="AN150" s="1">
        <v>7.72150011538E11</v>
      </c>
      <c r="AO150" s="3">
        <v>42941.0</v>
      </c>
      <c r="AP150" s="1">
        <v>1.0</v>
      </c>
    </row>
    <row r="151" ht="15.75" customHeight="1">
      <c r="A151" s="1" t="s">
        <v>598</v>
      </c>
      <c r="B151" s="1" t="str">
        <f>IFERROR(__xludf.DUMMYFUNCTION("AI(Prompt!$B$21,A151)"),"Энифуд")</f>
        <v>Энифуд</v>
      </c>
      <c r="C151" s="1" t="str">
        <f>IFERROR(__xludf.DUMMYFUNCTION("AI(Prompt!$B$26,A151:B151)"),"OK")</f>
        <v>OK</v>
      </c>
      <c r="D151" s="1" t="s">
        <v>41</v>
      </c>
      <c r="E151" s="1">
        <v>5.030098722E9</v>
      </c>
      <c r="F151" s="1">
        <v>5.03001001E8</v>
      </c>
      <c r="G151" s="1">
        <v>1.205000063949E12</v>
      </c>
      <c r="H151" s="1" t="s">
        <v>42</v>
      </c>
      <c r="I151" s="3">
        <v>44042.0</v>
      </c>
      <c r="J151" s="1">
        <v>5.0</v>
      </c>
      <c r="K151" s="1" t="s">
        <v>43</v>
      </c>
      <c r="L151" s="1" t="s">
        <v>599</v>
      </c>
      <c r="M151" s="1" t="s">
        <v>600</v>
      </c>
      <c r="N151" s="1" t="s">
        <v>46</v>
      </c>
      <c r="O151" s="1">
        <v>143316.0</v>
      </c>
      <c r="P151" s="1" t="s">
        <v>601</v>
      </c>
      <c r="Q151" s="1" t="s">
        <v>602</v>
      </c>
      <c r="R151" s="1" t="s">
        <v>603</v>
      </c>
      <c r="Y151" s="1" t="s">
        <v>604</v>
      </c>
      <c r="Z151" s="1" t="s">
        <v>605</v>
      </c>
      <c r="AA151" s="1" t="s">
        <v>606</v>
      </c>
      <c r="AB151" s="1" t="s">
        <v>607</v>
      </c>
      <c r="AE151" s="1" t="s">
        <v>608</v>
      </c>
      <c r="AF151" s="1">
        <v>5215.0</v>
      </c>
      <c r="AG151" s="1">
        <v>6291.0</v>
      </c>
      <c r="AH151" s="1">
        <v>8320.0</v>
      </c>
      <c r="AI151" s="1">
        <v>-490.0</v>
      </c>
      <c r="AJ151" s="1">
        <v>21.0</v>
      </c>
      <c r="AK151" s="1">
        <v>1074.0</v>
      </c>
      <c r="AL151" s="1" t="s">
        <v>609</v>
      </c>
      <c r="AM151" s="1" t="s">
        <v>61</v>
      </c>
      <c r="AN151" s="1">
        <v>9.10221335969E11</v>
      </c>
      <c r="AO151" s="3">
        <v>44992.0</v>
      </c>
      <c r="AP151" s="1">
        <v>1.0</v>
      </c>
    </row>
    <row r="152" ht="15.75" customHeight="1">
      <c r="A152" s="1" t="s">
        <v>1246</v>
      </c>
      <c r="B152" s="1" t="str">
        <f>IFERROR(__xludf.DUMMYFUNCTION("AI(Prompt!$B$21,A152)"),"ИП Абалаева")</f>
        <v>ИП Абалаева</v>
      </c>
      <c r="C152" s="1" t="str">
        <f>IFERROR(__xludf.DUMMYFUNCTION("AI(Prompt!$B$26,A152:B152)"),"OK")</f>
        <v>OK</v>
      </c>
      <c r="D152" s="1" t="s">
        <v>864</v>
      </c>
      <c r="E152" s="1">
        <v>7.72748281539E11</v>
      </c>
      <c r="G152" s="1">
        <v>3.247746002294E14</v>
      </c>
      <c r="H152" s="1" t="s">
        <v>42</v>
      </c>
      <c r="I152" s="3">
        <v>45386.0</v>
      </c>
      <c r="J152" s="1">
        <v>1.0</v>
      </c>
      <c r="K152" s="1" t="s">
        <v>43</v>
      </c>
      <c r="L152" s="1" t="s">
        <v>901</v>
      </c>
      <c r="M152" s="1" t="s">
        <v>1223</v>
      </c>
      <c r="N152" s="1" t="s">
        <v>121</v>
      </c>
      <c r="Q152" s="1" t="s">
        <v>1247</v>
      </c>
      <c r="Y152" s="1" t="s">
        <v>1248</v>
      </c>
      <c r="AL152" s="1" t="s">
        <v>1246</v>
      </c>
      <c r="AN152" s="1">
        <v>7.72748281539E11</v>
      </c>
      <c r="AP152" s="1">
        <v>2.0</v>
      </c>
    </row>
    <row r="153" ht="15.75" customHeight="1">
      <c r="A153" s="1" t="s">
        <v>1254</v>
      </c>
      <c r="B153" s="1" t="str">
        <f>IFERROR(__xludf.DUMMYFUNCTION("AI(Prompt!$B$21,A153)"),"ИП Пустарнаков")</f>
        <v>ИП Пустарнаков</v>
      </c>
      <c r="C153" s="1" t="str">
        <f>IFERROR(__xludf.DUMMYFUNCTION("AI(Prompt!$B$26,A153:B153)"),"OK")</f>
        <v>OK</v>
      </c>
      <c r="D153" s="1" t="s">
        <v>864</v>
      </c>
      <c r="E153" s="1">
        <v>5.40363588579E11</v>
      </c>
      <c r="G153" s="1">
        <v>3.22774600568768E14</v>
      </c>
      <c r="H153" s="1" t="s">
        <v>42</v>
      </c>
      <c r="I153" s="3">
        <v>44823.0</v>
      </c>
      <c r="J153" s="1">
        <v>3.0</v>
      </c>
      <c r="K153" s="1" t="s">
        <v>43</v>
      </c>
      <c r="L153" s="1" t="s">
        <v>1255</v>
      </c>
      <c r="M153" s="1" t="s">
        <v>1256</v>
      </c>
      <c r="N153" s="1" t="s">
        <v>121</v>
      </c>
      <c r="Q153" s="1" t="s">
        <v>1257</v>
      </c>
      <c r="AL153" s="1" t="s">
        <v>1254</v>
      </c>
      <c r="AN153" s="1">
        <v>5.40363588579E11</v>
      </c>
      <c r="AP153" s="1">
        <v>1.0</v>
      </c>
    </row>
    <row r="154" ht="15.75" customHeight="1">
      <c r="A154" s="1" t="s">
        <v>1384</v>
      </c>
      <c r="B154" s="1" t="str">
        <f>IFERROR(__xludf.DUMMYFUNCTION("AI(Prompt!$B$21,A154)"),"ИП Копылова")</f>
        <v>ИП Копылова</v>
      </c>
      <c r="C154" s="1" t="str">
        <f>IFERROR(__xludf.DUMMYFUNCTION("AI(Prompt!$B$26,A154:B154)"),"OK")</f>
        <v>OK</v>
      </c>
      <c r="D154" s="1" t="s">
        <v>864</v>
      </c>
      <c r="E154" s="1">
        <v>7.70373300804E11</v>
      </c>
      <c r="G154" s="1">
        <v>3.22774600053991E14</v>
      </c>
      <c r="H154" s="1" t="s">
        <v>42</v>
      </c>
      <c r="I154" s="3">
        <v>44587.0</v>
      </c>
      <c r="J154" s="1">
        <v>4.0</v>
      </c>
      <c r="K154" s="1" t="s">
        <v>43</v>
      </c>
      <c r="L154" s="1" t="s">
        <v>901</v>
      </c>
      <c r="M154" s="1" t="s">
        <v>1385</v>
      </c>
      <c r="N154" s="1" t="s">
        <v>121</v>
      </c>
      <c r="Q154" s="1" t="s">
        <v>1386</v>
      </c>
      <c r="Y154" s="1" t="s">
        <v>1387</v>
      </c>
      <c r="AL154" s="1" t="s">
        <v>1384</v>
      </c>
      <c r="AN154" s="1">
        <v>7.70373300804E11</v>
      </c>
      <c r="AP154" s="1">
        <v>2.0</v>
      </c>
    </row>
    <row r="155" ht="15.75" customHeight="1">
      <c r="A155" s="1" t="s">
        <v>855</v>
      </c>
      <c r="B155" s="1" t="str">
        <f>IFERROR(__xludf.DUMMYFUNCTION("AI(Prompt!$B$21,A155)"),"Глобал Гудс")</f>
        <v>Глобал Гудс</v>
      </c>
      <c r="C155" s="1" t="str">
        <f>IFERROR(__xludf.DUMMYFUNCTION("AI(Prompt!$B$26,A155:B155)"),"OK")</f>
        <v>OK</v>
      </c>
      <c r="D155" s="1" t="s">
        <v>41</v>
      </c>
      <c r="E155" s="1">
        <v>5.003138398E9</v>
      </c>
      <c r="F155" s="1">
        <v>5.00301001E8</v>
      </c>
      <c r="G155" s="1">
        <v>1.205000022314E12</v>
      </c>
      <c r="H155" s="1" t="s">
        <v>42</v>
      </c>
      <c r="I155" s="3">
        <v>43894.0</v>
      </c>
      <c r="J155" s="1">
        <v>5.0</v>
      </c>
      <c r="K155" s="1" t="s">
        <v>43</v>
      </c>
      <c r="L155" s="1" t="s">
        <v>856</v>
      </c>
      <c r="M155" s="1" t="s">
        <v>857</v>
      </c>
      <c r="N155" s="1" t="s">
        <v>46</v>
      </c>
      <c r="O155" s="1">
        <v>142701.0</v>
      </c>
      <c r="P155" s="1" t="s">
        <v>858</v>
      </c>
      <c r="Q155" s="1" t="s">
        <v>859</v>
      </c>
      <c r="Y155" s="1" t="s">
        <v>860</v>
      </c>
      <c r="AE155" s="1" t="s">
        <v>861</v>
      </c>
      <c r="AH155" s="1">
        <v>32608.0</v>
      </c>
      <c r="AK155" s="1">
        <v>1557.0</v>
      </c>
      <c r="AL155" s="1" t="s">
        <v>862</v>
      </c>
      <c r="AM155" s="1" t="s">
        <v>61</v>
      </c>
      <c r="AN155" s="1">
        <v>6.14209825684E11</v>
      </c>
      <c r="AO155" s="3">
        <v>43894.0</v>
      </c>
      <c r="AP155" s="1">
        <v>1.0</v>
      </c>
    </row>
    <row r="156" ht="15.75" customHeight="1">
      <c r="A156" s="1" t="s">
        <v>1268</v>
      </c>
      <c r="B156" s="1" t="str">
        <f>IFERROR(__xludf.DUMMYFUNCTION("AI(Prompt!$B$21,A156)"),"ИП Русскова")</f>
        <v>ИП Русскова</v>
      </c>
      <c r="C156" s="1" t="str">
        <f>IFERROR(__xludf.DUMMYFUNCTION("AI(Prompt!$B$26,A156:B156)"),"OK")</f>
        <v>OK</v>
      </c>
      <c r="D156" s="1" t="s">
        <v>864</v>
      </c>
      <c r="E156" s="1">
        <v>7.72976946905E11</v>
      </c>
      <c r="G156" s="1">
        <v>3.2477460079841E14</v>
      </c>
      <c r="H156" s="1" t="s">
        <v>42</v>
      </c>
      <c r="I156" s="3">
        <v>45621.0</v>
      </c>
      <c r="J156" s="1">
        <v>1.0</v>
      </c>
      <c r="K156" s="1" t="s">
        <v>43</v>
      </c>
      <c r="L156" s="1" t="s">
        <v>1269</v>
      </c>
      <c r="M156" s="1" t="s">
        <v>1264</v>
      </c>
      <c r="N156" s="1" t="s">
        <v>121</v>
      </c>
      <c r="Q156" s="1" t="s">
        <v>1270</v>
      </c>
      <c r="U156" s="1" t="s">
        <v>1271</v>
      </c>
      <c r="Y156" s="1" t="s">
        <v>1272</v>
      </c>
      <c r="AL156" s="1" t="s">
        <v>1268</v>
      </c>
      <c r="AN156" s="1">
        <v>7.72976946905E11</v>
      </c>
      <c r="AP156" s="1">
        <v>2.0</v>
      </c>
    </row>
    <row r="157" ht="15.75" customHeight="1">
      <c r="A157" s="1" t="s">
        <v>1148</v>
      </c>
      <c r="B157" s="1" t="str">
        <f>IFERROR(__xludf.DUMMYFUNCTION("AI(Prompt!$B$21,A157)"),"ИП Чемисова")</f>
        <v>ИП Чемисова</v>
      </c>
      <c r="C157" s="1" t="str">
        <f>IFERROR(__xludf.DUMMYFUNCTION("AI(Prompt!$B$26,A157:B157)"),"OK")</f>
        <v>OK</v>
      </c>
      <c r="D157" s="1" t="s">
        <v>864</v>
      </c>
      <c r="E157" s="1">
        <v>5.04314431369E11</v>
      </c>
      <c r="G157" s="1">
        <v>3.22508100409648E14</v>
      </c>
      <c r="H157" s="1" t="s">
        <v>42</v>
      </c>
      <c r="I157" s="3">
        <v>44788.0</v>
      </c>
      <c r="J157" s="1">
        <v>3.0</v>
      </c>
      <c r="K157" s="1" t="s">
        <v>43</v>
      </c>
      <c r="L157" s="1" t="s">
        <v>1149</v>
      </c>
      <c r="M157" s="1" t="s">
        <v>1150</v>
      </c>
      <c r="N157" s="1" t="s">
        <v>46</v>
      </c>
      <c r="P157" s="1" t="s">
        <v>1151</v>
      </c>
      <c r="Q157" s="1" t="s">
        <v>1152</v>
      </c>
      <c r="R157" s="1" t="s">
        <v>1153</v>
      </c>
      <c r="Y157" s="1" t="s">
        <v>1154</v>
      </c>
      <c r="AL157" s="1" t="s">
        <v>1148</v>
      </c>
      <c r="AN157" s="1">
        <v>5.04314431369E11</v>
      </c>
      <c r="AP157" s="1">
        <v>2.0</v>
      </c>
    </row>
    <row r="158" ht="15.75" customHeight="1">
      <c r="A158" s="1" t="s">
        <v>1047</v>
      </c>
      <c r="B158" s="1" t="str">
        <f>IFERROR(__xludf.DUMMYFUNCTION("AI(Prompt!$B$21,A158)"),"ИП Цымпов")</f>
        <v>ИП Цымпов</v>
      </c>
      <c r="C158" s="1" t="str">
        <f>IFERROR(__xludf.DUMMYFUNCTION("AI(Prompt!$B$26,A158:B158)"),"OK")</f>
        <v>OK</v>
      </c>
      <c r="D158" s="1" t="s">
        <v>864</v>
      </c>
      <c r="E158" s="1">
        <v>4.02716420466E11</v>
      </c>
      <c r="G158" s="1">
        <v>3.25508100620236E14</v>
      </c>
      <c r="H158" s="1" t="s">
        <v>42</v>
      </c>
      <c r="I158" s="3">
        <v>45961.0</v>
      </c>
      <c r="J158" s="1">
        <v>0.0</v>
      </c>
      <c r="K158" s="1" t="s">
        <v>43</v>
      </c>
      <c r="L158" s="1" t="s">
        <v>1048</v>
      </c>
      <c r="N158" s="1" t="s">
        <v>46</v>
      </c>
      <c r="Q158" s="1" t="s">
        <v>1049</v>
      </c>
      <c r="AL158" s="1" t="s">
        <v>1047</v>
      </c>
      <c r="AN158" s="1">
        <v>4.02716420466E11</v>
      </c>
      <c r="AP158" s="1">
        <v>1.0</v>
      </c>
    </row>
    <row r="159" ht="15.75" customHeight="1">
      <c r="A159" s="1" t="s">
        <v>62</v>
      </c>
      <c r="B159" s="1" t="str">
        <f>IFERROR(__xludf.DUMMYFUNCTION("AI(Prompt!$B$21,A159)"),"Рубис")</f>
        <v>Рубис</v>
      </c>
      <c r="C159" s="1" t="str">
        <f>IFERROR(__xludf.DUMMYFUNCTION("AI(Prompt!$B$26,A159:B159)"),"OK")</f>
        <v>OK</v>
      </c>
      <c r="D159" s="1" t="s">
        <v>41</v>
      </c>
      <c r="E159" s="1">
        <v>5.078012096E9</v>
      </c>
      <c r="F159" s="1">
        <v>5.07801001E8</v>
      </c>
      <c r="G159" s="1">
        <v>1.02500783252E12</v>
      </c>
      <c r="H159" s="1" t="s">
        <v>42</v>
      </c>
      <c r="I159" s="3">
        <v>36808.0</v>
      </c>
      <c r="J159" s="1">
        <v>25.0</v>
      </c>
      <c r="K159" s="1" t="s">
        <v>43</v>
      </c>
      <c r="L159" s="1" t="s">
        <v>63</v>
      </c>
      <c r="M159" s="1" t="s">
        <v>64</v>
      </c>
      <c r="N159" s="1" t="s">
        <v>46</v>
      </c>
      <c r="O159" s="1">
        <v>141960.0</v>
      </c>
      <c r="P159" s="1" t="s">
        <v>65</v>
      </c>
      <c r="Q159" s="1" t="s">
        <v>66</v>
      </c>
      <c r="R159" s="1" t="s">
        <v>67</v>
      </c>
      <c r="S159" s="1" t="s">
        <v>68</v>
      </c>
      <c r="T159" s="1" t="s">
        <v>69</v>
      </c>
      <c r="U159" s="1" t="s">
        <v>70</v>
      </c>
      <c r="V159" s="1" t="s">
        <v>71</v>
      </c>
      <c r="Y159" s="1" t="s">
        <v>72</v>
      </c>
      <c r="Z159" s="1" t="s">
        <v>73</v>
      </c>
      <c r="AA159" s="1" t="s">
        <v>74</v>
      </c>
      <c r="AB159" s="1" t="s">
        <v>75</v>
      </c>
      <c r="AE159" s="1" t="s">
        <v>76</v>
      </c>
      <c r="AF159" s="1">
        <v>2565849.0</v>
      </c>
      <c r="AG159" s="1">
        <v>2264694.0</v>
      </c>
      <c r="AH159" s="1">
        <v>1951617.0</v>
      </c>
      <c r="AI159" s="1">
        <v>32054.0</v>
      </c>
      <c r="AJ159" s="1">
        <v>120464.0</v>
      </c>
      <c r="AK159" s="1">
        <v>53775.0</v>
      </c>
      <c r="AL159" s="1" t="s">
        <v>77</v>
      </c>
      <c r="AM159" s="1" t="s">
        <v>78</v>
      </c>
      <c r="AN159" s="1">
        <v>5.07802934918E11</v>
      </c>
      <c r="AO159" s="3">
        <v>43906.0</v>
      </c>
      <c r="AP159" s="1">
        <v>2.0</v>
      </c>
    </row>
    <row r="160" ht="15.75" customHeight="1">
      <c r="A160" s="1" t="s">
        <v>534</v>
      </c>
      <c r="B160" s="1" t="str">
        <f>IFERROR(__xludf.DUMMYFUNCTION("AI(Prompt!$B$21,A160)"),"Саваж")</f>
        <v>Саваж</v>
      </c>
      <c r="C160" s="1" t="str">
        <f>IFERROR(__xludf.DUMMYFUNCTION("AI(Prompt!$B$26,A160:B160)"),"OK")</f>
        <v>OK</v>
      </c>
      <c r="D160" s="1" t="s">
        <v>41</v>
      </c>
      <c r="E160" s="1">
        <v>7.713496803E9</v>
      </c>
      <c r="F160" s="1">
        <v>7.71301001E8</v>
      </c>
      <c r="G160" s="1">
        <v>1.237700121933E12</v>
      </c>
      <c r="H160" s="1" t="s">
        <v>42</v>
      </c>
      <c r="I160" s="3">
        <v>44971.0</v>
      </c>
      <c r="J160" s="1">
        <v>3.0</v>
      </c>
      <c r="K160" s="1" t="s">
        <v>43</v>
      </c>
      <c r="L160" s="1" t="s">
        <v>535</v>
      </c>
      <c r="M160" s="1" t="s">
        <v>536</v>
      </c>
      <c r="N160" s="1" t="s">
        <v>121</v>
      </c>
      <c r="O160" s="1">
        <v>127299.0</v>
      </c>
      <c r="P160" s="1" t="s">
        <v>121</v>
      </c>
      <c r="Q160" s="1" t="s">
        <v>537</v>
      </c>
      <c r="R160" s="1" t="s">
        <v>538</v>
      </c>
      <c r="U160" s="1" t="s">
        <v>539</v>
      </c>
      <c r="Y160" s="1" t="s">
        <v>540</v>
      </c>
      <c r="Z160" s="1" t="s">
        <v>541</v>
      </c>
      <c r="AA160" s="1" t="s">
        <v>542</v>
      </c>
      <c r="AE160" s="1" t="s">
        <v>543</v>
      </c>
      <c r="AF160" s="1">
        <v>8101.0</v>
      </c>
      <c r="AG160" s="1">
        <v>2894.0</v>
      </c>
      <c r="AH160" s="1">
        <v>0.0</v>
      </c>
      <c r="AI160" s="1">
        <v>42.0</v>
      </c>
      <c r="AJ160" s="1">
        <v>584.0</v>
      </c>
      <c r="AK160" s="1">
        <v>0.0</v>
      </c>
      <c r="AL160" s="1" t="s">
        <v>544</v>
      </c>
      <c r="AM160" s="1" t="s">
        <v>61</v>
      </c>
      <c r="AN160" s="1">
        <v>7.71378668167E11</v>
      </c>
      <c r="AO160" s="3">
        <v>44971.0</v>
      </c>
      <c r="AP160" s="1">
        <v>1.0</v>
      </c>
    </row>
    <row r="161" ht="15.75" customHeight="1">
      <c r="A161" s="1" t="s">
        <v>1266</v>
      </c>
      <c r="B161" s="1" t="str">
        <f>IFERROR(__xludf.DUMMYFUNCTION("AI(Prompt!$B$21,A161)"),"ИП Сенокосова")</f>
        <v>ИП Сенокосова</v>
      </c>
      <c r="C161" s="1" t="str">
        <f>IFERROR(__xludf.DUMMYFUNCTION("AI(Prompt!$B$26,A161:B161)"),"OK")</f>
        <v>OK</v>
      </c>
      <c r="D161" s="1" t="s">
        <v>864</v>
      </c>
      <c r="E161" s="1">
        <v>5.90584373573E11</v>
      </c>
      <c r="G161" s="1">
        <v>3.24774600866853E14</v>
      </c>
      <c r="H161" s="1" t="s">
        <v>42</v>
      </c>
      <c r="I161" s="3">
        <v>45649.0</v>
      </c>
      <c r="J161" s="1">
        <v>1.0</v>
      </c>
      <c r="K161" s="1" t="s">
        <v>43</v>
      </c>
      <c r="L161" s="1" t="s">
        <v>901</v>
      </c>
      <c r="M161" s="1" t="s">
        <v>1264</v>
      </c>
      <c r="N161" s="1" t="s">
        <v>121</v>
      </c>
      <c r="Q161" s="1" t="s">
        <v>1267</v>
      </c>
      <c r="AL161" s="1" t="s">
        <v>1266</v>
      </c>
      <c r="AN161" s="1">
        <v>5.90584373573E11</v>
      </c>
      <c r="AP161" s="1">
        <v>2.0</v>
      </c>
    </row>
    <row r="162" ht="15.75" customHeight="1">
      <c r="A162" s="1" t="s">
        <v>610</v>
      </c>
      <c r="B162" s="1" t="str">
        <f>IFERROR(__xludf.DUMMYFUNCTION("AI(Prompt!$B$21,A162)"),"ПФМ")</f>
        <v>ПФМ</v>
      </c>
      <c r="C162" s="1" t="str">
        <f>IFERROR(__xludf.DUMMYFUNCTION("AI(Prompt!$B$26,A162:B162)"),"OK")</f>
        <v>OK</v>
      </c>
      <c r="D162" s="1" t="s">
        <v>41</v>
      </c>
      <c r="E162" s="1">
        <v>5.038164286E9</v>
      </c>
      <c r="F162" s="1">
        <v>5.03801001E8</v>
      </c>
      <c r="G162" s="1">
        <v>1.225000048624E12</v>
      </c>
      <c r="H162" s="1" t="s">
        <v>42</v>
      </c>
      <c r="I162" s="3">
        <v>44699.0</v>
      </c>
      <c r="J162" s="1">
        <v>3.0</v>
      </c>
      <c r="K162" s="1" t="s">
        <v>43</v>
      </c>
      <c r="L162" s="1" t="s">
        <v>611</v>
      </c>
      <c r="M162" s="1" t="s">
        <v>612</v>
      </c>
      <c r="N162" s="1" t="s">
        <v>46</v>
      </c>
      <c r="O162" s="1">
        <v>141207.0</v>
      </c>
      <c r="P162" s="1" t="s">
        <v>613</v>
      </c>
      <c r="Q162" s="1" t="s">
        <v>614</v>
      </c>
      <c r="R162" s="1" t="s">
        <v>615</v>
      </c>
      <c r="U162" s="1" t="s">
        <v>616</v>
      </c>
      <c r="Y162" s="1" t="s">
        <v>617</v>
      </c>
      <c r="AE162" s="1" t="s">
        <v>618</v>
      </c>
      <c r="AF162" s="1">
        <v>5041.0</v>
      </c>
      <c r="AG162" s="1">
        <v>2675.0</v>
      </c>
      <c r="AH162" s="1">
        <v>0.0</v>
      </c>
      <c r="AI162" s="1">
        <v>-12677.0</v>
      </c>
      <c r="AJ162" s="1">
        <v>-3687.0</v>
      </c>
      <c r="AK162" s="1">
        <v>-20.0</v>
      </c>
      <c r="AL162" s="1" t="s">
        <v>619</v>
      </c>
      <c r="AM162" s="1" t="s">
        <v>61</v>
      </c>
      <c r="AN162" s="1">
        <v>7.70304165181E11</v>
      </c>
      <c r="AO162" s="3">
        <v>44699.0</v>
      </c>
      <c r="AP162" s="1">
        <v>1.0</v>
      </c>
    </row>
    <row r="163" ht="15.75" customHeight="1">
      <c r="A163" s="1" t="s">
        <v>1262</v>
      </c>
      <c r="B163" s="1" t="str">
        <f>IFERROR(__xludf.DUMMYFUNCTION("AI(Prompt!$B$21,A163)"),"ИП Панов")</f>
        <v>ИП Панов</v>
      </c>
      <c r="C163" s="1" t="str">
        <f>IFERROR(__xludf.DUMMYFUNCTION("AI(Prompt!$B$26,A163:B163)"),"OK")</f>
        <v>OK</v>
      </c>
      <c r="D163" s="1" t="s">
        <v>864</v>
      </c>
      <c r="E163" s="1">
        <v>4.21105085582E11</v>
      </c>
      <c r="G163" s="1">
        <v>3.227746004665E14</v>
      </c>
      <c r="H163" s="1" t="s">
        <v>42</v>
      </c>
      <c r="I163" s="3">
        <v>44776.0</v>
      </c>
      <c r="J163" s="1">
        <v>3.0</v>
      </c>
      <c r="K163" s="1" t="s">
        <v>43</v>
      </c>
      <c r="L163" s="1" t="s">
        <v>1263</v>
      </c>
      <c r="M163" s="1" t="s">
        <v>1264</v>
      </c>
      <c r="N163" s="1" t="s">
        <v>121</v>
      </c>
      <c r="Q163" s="1" t="s">
        <v>1265</v>
      </c>
      <c r="AL163" s="1" t="s">
        <v>1262</v>
      </c>
      <c r="AN163" s="1">
        <v>4.21105085582E11</v>
      </c>
      <c r="AP163" s="1">
        <v>1.0</v>
      </c>
    </row>
    <row r="164" ht="15.75" customHeight="1">
      <c r="A164" s="1" t="s">
        <v>79</v>
      </c>
      <c r="B164" s="1" t="str">
        <f>IFERROR(__xludf.DUMMYFUNCTION("AI(Prompt!$B$21,A164)"),"Петкорм")</f>
        <v>Петкорм</v>
      </c>
      <c r="C164" s="1" t="str">
        <f>IFERROR(__xludf.DUMMYFUNCTION("AI(Prompt!$B$26,A164:B164)"),"OK")</f>
        <v>OK</v>
      </c>
      <c r="D164" s="1" t="s">
        <v>41</v>
      </c>
      <c r="E164" s="1">
        <v>5.029183892E9</v>
      </c>
      <c r="F164" s="1">
        <v>5.00701001E8</v>
      </c>
      <c r="G164" s="1">
        <v>1.145029003349E12</v>
      </c>
      <c r="H164" s="1" t="s">
        <v>42</v>
      </c>
      <c r="I164" s="3">
        <v>41724.0</v>
      </c>
      <c r="J164" s="1">
        <v>11.0</v>
      </c>
      <c r="K164" s="1" t="s">
        <v>43</v>
      </c>
      <c r="L164" s="1" t="s">
        <v>80</v>
      </c>
      <c r="M164" s="1" t="s">
        <v>81</v>
      </c>
      <c r="N164" s="1" t="s">
        <v>46</v>
      </c>
      <c r="O164" s="1">
        <v>141825.0</v>
      </c>
      <c r="P164" s="1" t="s">
        <v>82</v>
      </c>
      <c r="Q164" s="1" t="s">
        <v>83</v>
      </c>
      <c r="R164" s="1" t="s">
        <v>84</v>
      </c>
      <c r="S164" s="1" t="s">
        <v>85</v>
      </c>
      <c r="T164" s="1" t="s">
        <v>86</v>
      </c>
      <c r="U164" s="1" t="s">
        <v>87</v>
      </c>
      <c r="V164" s="1" t="s">
        <v>88</v>
      </c>
      <c r="W164" s="1" t="s">
        <v>89</v>
      </c>
      <c r="Y164" s="1" t="s">
        <v>90</v>
      </c>
      <c r="Z164" s="1" t="s">
        <v>91</v>
      </c>
      <c r="AA164" s="1" t="s">
        <v>92</v>
      </c>
      <c r="AB164" s="1" t="s">
        <v>93</v>
      </c>
      <c r="AE164" s="1" t="s">
        <v>94</v>
      </c>
      <c r="AF164" s="1">
        <v>1326730.0</v>
      </c>
      <c r="AG164" s="1">
        <v>1056435.0</v>
      </c>
      <c r="AH164" s="1">
        <v>707619.0</v>
      </c>
      <c r="AI164" s="1">
        <v>163732.0</v>
      </c>
      <c r="AJ164" s="1">
        <v>90816.0</v>
      </c>
      <c r="AK164" s="1">
        <v>-8804.0</v>
      </c>
      <c r="AL164" s="1" t="s">
        <v>95</v>
      </c>
      <c r="AM164" s="1" t="s">
        <v>61</v>
      </c>
      <c r="AN164" s="1">
        <v>7.72817920813E11</v>
      </c>
      <c r="AO164" s="3">
        <v>44228.0</v>
      </c>
      <c r="AP164" s="1">
        <v>1.0</v>
      </c>
    </row>
    <row r="165" ht="15.75" customHeight="1">
      <c r="A165" s="1" t="s">
        <v>1050</v>
      </c>
      <c r="B165" s="1" t="str">
        <f>IFERROR(__xludf.DUMMYFUNCTION("AI(Prompt!$B$21,A165)"),"ИП Багинский")</f>
        <v>ИП Багинский</v>
      </c>
      <c r="C165" s="1" t="str">
        <f>IFERROR(__xludf.DUMMYFUNCTION("AI(Prompt!$B$26,A165:B165)"),"OK")</f>
        <v>OK</v>
      </c>
      <c r="D165" s="1" t="s">
        <v>864</v>
      </c>
      <c r="E165" s="1">
        <v>5.00721592572E11</v>
      </c>
      <c r="G165" s="1">
        <v>3.2550810063954E14</v>
      </c>
      <c r="H165" s="1" t="s">
        <v>42</v>
      </c>
      <c r="I165" s="3">
        <v>45972.0</v>
      </c>
      <c r="J165" s="1">
        <v>0.0</v>
      </c>
      <c r="K165" s="1" t="s">
        <v>43</v>
      </c>
      <c r="L165" s="1" t="s">
        <v>901</v>
      </c>
      <c r="N165" s="1" t="s">
        <v>46</v>
      </c>
      <c r="Q165" s="1" t="s">
        <v>1051</v>
      </c>
      <c r="AL165" s="1" t="s">
        <v>1050</v>
      </c>
      <c r="AN165" s="1">
        <v>5.00721592572E11</v>
      </c>
      <c r="AP165" s="1">
        <v>1.0</v>
      </c>
    </row>
    <row r="166" ht="15.75" customHeight="1">
      <c r="A166" s="1" t="s">
        <v>691</v>
      </c>
      <c r="B166" s="1" t="str">
        <f>IFERROR(__xludf.DUMMYFUNCTION("AI(Prompt!$B$21,A166)"),"ТД Арти")</f>
        <v>ТД Арти</v>
      </c>
      <c r="C166" s="1" t="str">
        <f>IFERROR(__xludf.DUMMYFUNCTION("AI(Prompt!$B$26,A166:B166)"),"OK")</f>
        <v>OK</v>
      </c>
      <c r="D166" s="1" t="s">
        <v>41</v>
      </c>
      <c r="E166" s="1">
        <v>5.012109643E9</v>
      </c>
      <c r="F166" s="1">
        <v>5.01201001E8</v>
      </c>
      <c r="G166" s="1">
        <v>1.235000019858E12</v>
      </c>
      <c r="H166" s="1" t="s">
        <v>42</v>
      </c>
      <c r="I166" s="3">
        <v>44977.0</v>
      </c>
      <c r="J166" s="1">
        <v>3.0</v>
      </c>
      <c r="K166" s="1" t="s">
        <v>43</v>
      </c>
      <c r="L166" s="1" t="s">
        <v>692</v>
      </c>
      <c r="M166" s="1" t="s">
        <v>693</v>
      </c>
      <c r="N166" s="1" t="s">
        <v>46</v>
      </c>
      <c r="O166" s="1">
        <v>143981.0</v>
      </c>
      <c r="P166" s="1" t="s">
        <v>694</v>
      </c>
      <c r="Q166" s="1" t="s">
        <v>695</v>
      </c>
      <c r="R166" s="1" t="s">
        <v>696</v>
      </c>
      <c r="Y166" s="1" t="s">
        <v>697</v>
      </c>
      <c r="AE166" s="1" t="s">
        <v>698</v>
      </c>
      <c r="AF166" s="1">
        <v>1018.0</v>
      </c>
      <c r="AG166" s="1">
        <v>255.0</v>
      </c>
      <c r="AH166" s="1">
        <v>0.0</v>
      </c>
      <c r="AI166" s="1">
        <v>-532.0</v>
      </c>
      <c r="AJ166" s="1">
        <v>-93.0</v>
      </c>
      <c r="AK166" s="1">
        <v>0.0</v>
      </c>
      <c r="AL166" s="1" t="s">
        <v>699</v>
      </c>
      <c r="AM166" s="1" t="s">
        <v>61</v>
      </c>
      <c r="AN166" s="1">
        <v>4.63255413513E11</v>
      </c>
      <c r="AO166" s="3">
        <v>44977.0</v>
      </c>
      <c r="AP166" s="1">
        <v>1.0</v>
      </c>
    </row>
    <row r="167" ht="15.75" customHeight="1">
      <c r="A167" s="1" t="s">
        <v>1187</v>
      </c>
      <c r="B167" s="1" t="str">
        <f>IFERROR(__xludf.DUMMYFUNCTION("AI(Prompt!$B$21,A167)"),"ИП Киктенко")</f>
        <v>ИП Киктенко</v>
      </c>
      <c r="C167" s="1" t="str">
        <f>IFERROR(__xludf.DUMMYFUNCTION("AI(Prompt!$B$26,A167:B167)"),"OK")</f>
        <v>OK</v>
      </c>
      <c r="D167" s="1" t="s">
        <v>864</v>
      </c>
      <c r="E167" s="1">
        <v>7.7260537651E11</v>
      </c>
      <c r="G167" s="1">
        <v>3.25774600204181E14</v>
      </c>
      <c r="H167" s="1" t="s">
        <v>42</v>
      </c>
      <c r="I167" s="3">
        <v>45743.0</v>
      </c>
      <c r="J167" s="1">
        <v>0.0</v>
      </c>
      <c r="K167" s="1" t="s">
        <v>43</v>
      </c>
      <c r="L167" s="1" t="s">
        <v>1188</v>
      </c>
      <c r="M167" s="1" t="s">
        <v>1189</v>
      </c>
      <c r="N167" s="1" t="s">
        <v>121</v>
      </c>
      <c r="Q167" s="1" t="s">
        <v>1190</v>
      </c>
      <c r="AL167" s="1" t="s">
        <v>1187</v>
      </c>
      <c r="AN167" s="1">
        <v>7.7260537651E11</v>
      </c>
      <c r="AP167" s="1">
        <v>2.0</v>
      </c>
    </row>
    <row r="168" ht="15.75" customHeight="1">
      <c r="A168" s="1" t="s">
        <v>878</v>
      </c>
      <c r="B168" s="1" t="str">
        <f>IFERROR(__xludf.DUMMYFUNCTION("AI(Prompt!$B$21,A168)"),"ИП Фролов")</f>
        <v>ИП Фролов</v>
      </c>
      <c r="C168" s="1" t="str">
        <f>IFERROR(__xludf.DUMMYFUNCTION("AI(Prompt!$B$26,A168:B168)"),"OK")</f>
        <v>OK</v>
      </c>
      <c r="D168" s="1" t="s">
        <v>864</v>
      </c>
      <c r="E168" s="1">
        <v>5.02478260246E11</v>
      </c>
      <c r="G168" s="1">
        <v>3.18505300068042E14</v>
      </c>
      <c r="H168" s="1" t="s">
        <v>42</v>
      </c>
      <c r="I168" s="3">
        <v>43280.0</v>
      </c>
      <c r="J168" s="1">
        <v>7.0</v>
      </c>
      <c r="K168" s="1" t="s">
        <v>43</v>
      </c>
      <c r="L168" s="1" t="s">
        <v>879</v>
      </c>
      <c r="M168" s="1" t="s">
        <v>880</v>
      </c>
      <c r="N168" s="1" t="s">
        <v>46</v>
      </c>
      <c r="P168" s="1" t="s">
        <v>657</v>
      </c>
      <c r="Q168" s="1" t="s">
        <v>881</v>
      </c>
      <c r="R168" s="1" t="s">
        <v>882</v>
      </c>
      <c r="Y168" s="1" t="s">
        <v>883</v>
      </c>
      <c r="AL168" s="1" t="s">
        <v>878</v>
      </c>
      <c r="AN168" s="1">
        <v>5.02478260246E11</v>
      </c>
      <c r="AP168" s="1">
        <v>1.0</v>
      </c>
    </row>
    <row r="169" ht="15.75" customHeight="1">
      <c r="A169" s="1" t="s">
        <v>1221</v>
      </c>
      <c r="B169" s="1" t="str">
        <f>IFERROR(__xludf.DUMMYFUNCTION("AI(Prompt!$B$21,A169)"),"ИП Крещук")</f>
        <v>ИП Крещук</v>
      </c>
      <c r="C169" s="1" t="str">
        <f>IFERROR(__xludf.DUMMYFUNCTION("AI(Prompt!$B$26,A169:B169)"),"OK")</f>
        <v>OK</v>
      </c>
      <c r="D169" s="1" t="s">
        <v>864</v>
      </c>
      <c r="E169" s="1">
        <v>7.70401559216E11</v>
      </c>
      <c r="G169" s="1">
        <v>3.24774600329206E14</v>
      </c>
      <c r="H169" s="1" t="s">
        <v>42</v>
      </c>
      <c r="I169" s="3">
        <v>45432.0</v>
      </c>
      <c r="J169" s="1">
        <v>1.0</v>
      </c>
      <c r="K169" s="1" t="s">
        <v>43</v>
      </c>
      <c r="L169" s="1" t="s">
        <v>1222</v>
      </c>
      <c r="M169" s="1" t="s">
        <v>1223</v>
      </c>
      <c r="N169" s="1" t="s">
        <v>121</v>
      </c>
      <c r="Q169" s="1" t="s">
        <v>1224</v>
      </c>
      <c r="AL169" s="1" t="s">
        <v>1221</v>
      </c>
      <c r="AN169" s="1">
        <v>7.70401559216E11</v>
      </c>
      <c r="AP169" s="1">
        <v>2.0</v>
      </c>
    </row>
    <row r="170" ht="15.75" customHeight="1">
      <c r="A170" s="1" t="s">
        <v>1019</v>
      </c>
      <c r="B170" s="1" t="str">
        <f>IFERROR(__xludf.DUMMYFUNCTION("AI(Prompt!$B$21,A170)"),"ИП Иванникова")</f>
        <v>ИП Иванникова</v>
      </c>
      <c r="C170" s="1" t="str">
        <f>IFERROR(__xludf.DUMMYFUNCTION("AI(Prompt!$B$26,A170:B170)"),"OK")</f>
        <v>OK</v>
      </c>
      <c r="D170" s="1" t="s">
        <v>864</v>
      </c>
      <c r="E170" s="1">
        <v>5.03610686333E11</v>
      </c>
      <c r="G170" s="1">
        <v>3.2450810070614E14</v>
      </c>
      <c r="H170" s="1" t="s">
        <v>42</v>
      </c>
      <c r="I170" s="3">
        <v>45638.0</v>
      </c>
      <c r="J170" s="1">
        <v>1.0</v>
      </c>
      <c r="K170" s="1" t="s">
        <v>43</v>
      </c>
      <c r="L170" s="1" t="s">
        <v>1020</v>
      </c>
      <c r="M170" s="1" t="s">
        <v>950</v>
      </c>
      <c r="N170" s="1" t="s">
        <v>46</v>
      </c>
      <c r="P170" s="1" t="s">
        <v>951</v>
      </c>
      <c r="Q170" s="1" t="s">
        <v>1021</v>
      </c>
      <c r="AL170" s="1" t="s">
        <v>1019</v>
      </c>
      <c r="AN170" s="1">
        <v>5.03610686333E11</v>
      </c>
      <c r="AP170" s="1">
        <v>2.0</v>
      </c>
    </row>
    <row r="171" ht="15.75" customHeight="1">
      <c r="A171" s="1" t="s">
        <v>214</v>
      </c>
      <c r="B171" s="1" t="str">
        <f>IFERROR(__xludf.DUMMYFUNCTION("AI(Prompt!$B$21,A171)"),"Свободный 20")</f>
        <v>Свободный 20</v>
      </c>
      <c r="C171" s="1" t="str">
        <f>IFERROR(__xludf.DUMMYFUNCTION("AI(Prompt!$B$26,A171:B171)"),"OK")</f>
        <v>OK</v>
      </c>
      <c r="D171" s="1" t="s">
        <v>215</v>
      </c>
      <c r="E171" s="1">
        <v>7.720127405E9</v>
      </c>
      <c r="F171" s="1">
        <v>7.72001001E8</v>
      </c>
      <c r="G171" s="1">
        <v>1.027739159568E12</v>
      </c>
      <c r="H171" s="1" t="s">
        <v>42</v>
      </c>
      <c r="I171" s="3">
        <v>34774.0</v>
      </c>
      <c r="J171" s="1">
        <v>30.0</v>
      </c>
      <c r="K171" s="1" t="s">
        <v>43</v>
      </c>
      <c r="L171" s="1" t="s">
        <v>216</v>
      </c>
      <c r="M171" s="1" t="s">
        <v>217</v>
      </c>
      <c r="N171" s="1" t="s">
        <v>121</v>
      </c>
      <c r="O171" s="1">
        <v>111123.0</v>
      </c>
      <c r="P171" s="1" t="s">
        <v>121</v>
      </c>
      <c r="Q171" s="1" t="s">
        <v>218</v>
      </c>
      <c r="R171" s="1" t="s">
        <v>219</v>
      </c>
      <c r="S171" s="1" t="s">
        <v>220</v>
      </c>
      <c r="T171" s="1" t="s">
        <v>221</v>
      </c>
      <c r="U171" s="1" t="s">
        <v>222</v>
      </c>
      <c r="V171" s="1" t="s">
        <v>223</v>
      </c>
      <c r="W171" s="1" t="s">
        <v>224</v>
      </c>
      <c r="Y171" s="1" t="s">
        <v>225</v>
      </c>
      <c r="Z171" s="1" t="s">
        <v>226</v>
      </c>
      <c r="AA171" s="1" t="s">
        <v>227</v>
      </c>
      <c r="AB171" s="1" t="s">
        <v>228</v>
      </c>
      <c r="AE171" s="1" t="s">
        <v>229</v>
      </c>
      <c r="AF171" s="1">
        <v>199284.0</v>
      </c>
      <c r="AG171" s="1">
        <v>82070.0</v>
      </c>
      <c r="AH171" s="1">
        <v>75143.0</v>
      </c>
      <c r="AI171" s="1">
        <v>1404.0</v>
      </c>
      <c r="AJ171" s="1">
        <v>-4674.0</v>
      </c>
      <c r="AK171" s="1">
        <v>-4983.0</v>
      </c>
      <c r="AL171" s="1" t="s">
        <v>230</v>
      </c>
      <c r="AM171" s="1" t="s">
        <v>61</v>
      </c>
      <c r="AN171" s="1">
        <v>7.82064976289E11</v>
      </c>
      <c r="AO171" s="3">
        <v>44322.0</v>
      </c>
      <c r="AP171" s="1">
        <v>1.0</v>
      </c>
    </row>
    <row r="172" ht="15.75" customHeight="1">
      <c r="A172" s="1" t="s">
        <v>1143</v>
      </c>
      <c r="B172" s="1" t="str">
        <f>IFERROR(__xludf.DUMMYFUNCTION("AI(Prompt!$B$21,A172)"),"ИП Чернова")</f>
        <v>ИП Чернова</v>
      </c>
      <c r="C172" s="1" t="str">
        <f>IFERROR(__xludf.DUMMYFUNCTION("AI(Prompt!$B$26,A172:B172)"),"OK")</f>
        <v>OK</v>
      </c>
      <c r="D172" s="1" t="s">
        <v>864</v>
      </c>
      <c r="E172" s="1">
        <v>5.052053952E11</v>
      </c>
      <c r="G172" s="1">
        <v>3.225081006004E14</v>
      </c>
      <c r="H172" s="1" t="s">
        <v>42</v>
      </c>
      <c r="I172" s="3">
        <v>44896.0</v>
      </c>
      <c r="J172" s="1">
        <v>3.0</v>
      </c>
      <c r="K172" s="1" t="s">
        <v>43</v>
      </c>
      <c r="L172" s="1" t="s">
        <v>982</v>
      </c>
      <c r="M172" s="1" t="s">
        <v>1144</v>
      </c>
      <c r="N172" s="1" t="s">
        <v>46</v>
      </c>
      <c r="Q172" s="1" t="s">
        <v>1145</v>
      </c>
      <c r="R172" s="1" t="s">
        <v>1146</v>
      </c>
      <c r="Y172" s="1" t="s">
        <v>1147</v>
      </c>
      <c r="AL172" s="1" t="s">
        <v>1143</v>
      </c>
      <c r="AN172" s="1">
        <v>5.052053952E11</v>
      </c>
      <c r="AP172" s="1">
        <v>2.0</v>
      </c>
    </row>
    <row r="173" ht="15.75" customHeight="1">
      <c r="A173" s="1" t="s">
        <v>1052</v>
      </c>
      <c r="B173" s="1" t="str">
        <f>IFERROR(__xludf.DUMMYFUNCTION("AI(Prompt!$B$21,A173)"),"Тейлорд")</f>
        <v>Тейлорд</v>
      </c>
      <c r="C173" s="1" t="str">
        <f>IFERROR(__xludf.DUMMYFUNCTION("AI(Prompt!$B$26,A173:B173)"),"OK")</f>
        <v>OK</v>
      </c>
      <c r="D173" s="1" t="s">
        <v>41</v>
      </c>
      <c r="E173" s="1">
        <v>5.007123603E9</v>
      </c>
      <c r="F173" s="1">
        <v>5.00701001E8</v>
      </c>
      <c r="G173" s="1">
        <v>1.245000088959E12</v>
      </c>
      <c r="H173" s="1" t="s">
        <v>42</v>
      </c>
      <c r="I173" s="3">
        <v>45510.0</v>
      </c>
      <c r="J173" s="1">
        <v>1.0</v>
      </c>
      <c r="K173" s="1" t="s">
        <v>43</v>
      </c>
      <c r="L173" s="1" t="s">
        <v>1053</v>
      </c>
      <c r="M173" s="1" t="s">
        <v>1054</v>
      </c>
      <c r="N173" s="1" t="s">
        <v>46</v>
      </c>
      <c r="O173" s="1">
        <v>141804.0</v>
      </c>
      <c r="P173" s="1" t="s">
        <v>82</v>
      </c>
      <c r="Q173" s="1" t="s">
        <v>1055</v>
      </c>
      <c r="Y173" s="1" t="s">
        <v>1056</v>
      </c>
      <c r="AE173" s="1" t="s">
        <v>1057</v>
      </c>
      <c r="AL173" s="1" t="s">
        <v>1058</v>
      </c>
      <c r="AM173" s="1" t="s">
        <v>61</v>
      </c>
      <c r="AN173" s="1">
        <v>5.02920679327E11</v>
      </c>
      <c r="AO173" s="3">
        <v>45510.0</v>
      </c>
      <c r="AP173" s="1">
        <v>2.0</v>
      </c>
    </row>
    <row r="174" ht="15.75" customHeight="1">
      <c r="A174" s="1" t="s">
        <v>1388</v>
      </c>
      <c r="B174" s="1" t="str">
        <f>IFERROR(__xludf.DUMMYFUNCTION("AI(Prompt!$B$21,A174)"),"ИП Бешлиу")</f>
        <v>ИП Бешлиу</v>
      </c>
      <c r="C174" s="1" t="str">
        <f>IFERROR(__xludf.DUMMYFUNCTION("AI(Prompt!$B$26,A174:B174)"),"OK")</f>
        <v>OK</v>
      </c>
      <c r="D174" s="1" t="s">
        <v>864</v>
      </c>
      <c r="E174" s="1">
        <v>7.74332251785E11</v>
      </c>
      <c r="G174" s="1">
        <v>3.22774600233064E14</v>
      </c>
      <c r="H174" s="1" t="s">
        <v>42</v>
      </c>
      <c r="I174" s="3">
        <v>44662.0</v>
      </c>
      <c r="J174" s="1">
        <v>3.0</v>
      </c>
      <c r="K174" s="1" t="s">
        <v>43</v>
      </c>
      <c r="L174" s="1" t="s">
        <v>1370</v>
      </c>
      <c r="M174" s="1" t="s">
        <v>1389</v>
      </c>
      <c r="N174" s="1" t="s">
        <v>121</v>
      </c>
      <c r="Q174" s="1" t="s">
        <v>1390</v>
      </c>
      <c r="R174" s="1" t="s">
        <v>1391</v>
      </c>
      <c r="Y174" s="1" t="s">
        <v>1392</v>
      </c>
      <c r="AL174" s="1" t="s">
        <v>1388</v>
      </c>
      <c r="AN174" s="1">
        <v>7.74332251785E11</v>
      </c>
      <c r="AP174" s="1">
        <v>2.0</v>
      </c>
    </row>
    <row r="175" ht="15.75" customHeight="1">
      <c r="A175" s="1" t="s">
        <v>729</v>
      </c>
      <c r="B175" s="1" t="str">
        <f>IFERROR(__xludf.DUMMYFUNCTION("AI(Prompt!$B$21,A175)"),"Босерон")</f>
        <v>Босерон</v>
      </c>
      <c r="C175" s="1" t="str">
        <f>IFERROR(__xludf.DUMMYFUNCTION("AI(Prompt!$B$26,A175:B175)"),"OK")</f>
        <v>OK</v>
      </c>
      <c r="D175" s="1" t="s">
        <v>41</v>
      </c>
      <c r="E175" s="1">
        <v>9.715416701E9</v>
      </c>
      <c r="F175" s="1">
        <v>5.00901001E8</v>
      </c>
      <c r="G175" s="1">
        <v>1.22770018679E12</v>
      </c>
      <c r="H175" s="1" t="s">
        <v>42</v>
      </c>
      <c r="I175" s="3">
        <v>44652.0</v>
      </c>
      <c r="J175" s="1">
        <v>3.0</v>
      </c>
      <c r="K175" s="1" t="s">
        <v>43</v>
      </c>
      <c r="L175" s="1" t="s">
        <v>730</v>
      </c>
      <c r="M175" s="1" t="s">
        <v>731</v>
      </c>
      <c r="N175" s="1" t="s">
        <v>46</v>
      </c>
      <c r="O175" s="1">
        <v>142050.0</v>
      </c>
      <c r="P175" s="1" t="s">
        <v>190</v>
      </c>
      <c r="Q175" s="1" t="s">
        <v>732</v>
      </c>
      <c r="R175" s="1" t="s">
        <v>733</v>
      </c>
      <c r="Y175" s="1" t="s">
        <v>734</v>
      </c>
      <c r="Z175" s="1" t="s">
        <v>735</v>
      </c>
      <c r="AE175" s="1" t="s">
        <v>736</v>
      </c>
      <c r="AF175" s="1">
        <v>219.0</v>
      </c>
      <c r="AG175" s="1">
        <v>212.0</v>
      </c>
      <c r="AH175" s="1">
        <v>0.0</v>
      </c>
      <c r="AI175" s="1">
        <v>-12280.0</v>
      </c>
      <c r="AJ175" s="1">
        <v>-15228.0</v>
      </c>
      <c r="AK175" s="1">
        <v>-6693.0</v>
      </c>
      <c r="AL175" s="1" t="s">
        <v>737</v>
      </c>
      <c r="AM175" s="1" t="s">
        <v>61</v>
      </c>
      <c r="AN175" s="1">
        <v>7.72034432528E11</v>
      </c>
      <c r="AO175" s="3">
        <v>45940.0</v>
      </c>
      <c r="AP175" s="1">
        <v>1.0</v>
      </c>
    </row>
    <row r="176" ht="15.75" customHeight="1">
      <c r="A176" s="1" t="s">
        <v>266</v>
      </c>
      <c r="B176" s="1" t="str">
        <f>IFERROR(__xludf.DUMMYFUNCTION("AI(Prompt!$B$21,A176)"),"Ресурс")</f>
        <v>Ресурс</v>
      </c>
      <c r="C176" s="1" t="str">
        <f>IFERROR(__xludf.DUMMYFUNCTION("AI(Prompt!$B$26,A176:B176)"),"OK")</f>
        <v>OK</v>
      </c>
      <c r="D176" s="1" t="s">
        <v>41</v>
      </c>
      <c r="E176" s="1">
        <v>7.730277801E9</v>
      </c>
      <c r="F176" s="1">
        <v>7.73001001E8</v>
      </c>
      <c r="G176" s="1">
        <v>1.227700236675E12</v>
      </c>
      <c r="H176" s="1" t="s">
        <v>42</v>
      </c>
      <c r="I176" s="3">
        <v>44672.0</v>
      </c>
      <c r="J176" s="1">
        <v>3.0</v>
      </c>
      <c r="K176" s="1" t="s">
        <v>43</v>
      </c>
      <c r="L176" s="1" t="s">
        <v>267</v>
      </c>
      <c r="M176" s="1" t="s">
        <v>268</v>
      </c>
      <c r="N176" s="1" t="s">
        <v>121</v>
      </c>
      <c r="O176" s="1">
        <v>121170.0</v>
      </c>
      <c r="P176" s="1" t="s">
        <v>121</v>
      </c>
      <c r="Q176" s="1" t="s">
        <v>269</v>
      </c>
      <c r="R176" s="1" t="s">
        <v>270</v>
      </c>
      <c r="S176" s="1" t="s">
        <v>271</v>
      </c>
      <c r="T176" s="1" t="s">
        <v>272</v>
      </c>
      <c r="U176" s="1" t="s">
        <v>273</v>
      </c>
      <c r="V176" s="1" t="s">
        <v>274</v>
      </c>
      <c r="Y176" s="1" t="s">
        <v>275</v>
      </c>
      <c r="Z176" s="1" t="s">
        <v>276</v>
      </c>
      <c r="AA176" s="1" t="s">
        <v>277</v>
      </c>
      <c r="AE176" s="1" t="s">
        <v>278</v>
      </c>
      <c r="AF176" s="1">
        <v>120916.0</v>
      </c>
      <c r="AG176" s="1">
        <v>101059.0</v>
      </c>
      <c r="AH176" s="1">
        <v>36170.0</v>
      </c>
      <c r="AI176" s="1">
        <v>-477.0</v>
      </c>
      <c r="AJ176" s="1">
        <v>7221.0</v>
      </c>
      <c r="AK176" s="1">
        <v>2970.0</v>
      </c>
      <c r="AL176" s="1" t="s">
        <v>279</v>
      </c>
      <c r="AM176" s="1" t="s">
        <v>61</v>
      </c>
      <c r="AN176" s="1">
        <v>7.7278396521E11</v>
      </c>
      <c r="AO176" s="3">
        <v>45409.0</v>
      </c>
      <c r="AP176" s="1">
        <v>2.0</v>
      </c>
    </row>
    <row r="177" ht="15.75" customHeight="1">
      <c r="A177" s="1" t="s">
        <v>1066</v>
      </c>
      <c r="B177" s="1" t="str">
        <f>IFERROR(__xludf.DUMMYFUNCTION("AI(Prompt!$B$21,A177)"),"ИП Малышев")</f>
        <v>ИП Малышев</v>
      </c>
      <c r="C177" s="1" t="str">
        <f>IFERROR(__xludf.DUMMYFUNCTION("AI(Prompt!$B$26,A177:B177)"),"OK")</f>
        <v>OK</v>
      </c>
      <c r="D177" s="1" t="s">
        <v>864</v>
      </c>
      <c r="E177" s="1">
        <v>6.8320976355E11</v>
      </c>
      <c r="G177" s="1">
        <v>3.23508100394094E14</v>
      </c>
      <c r="H177" s="1" t="s">
        <v>42</v>
      </c>
      <c r="I177" s="3">
        <v>45133.0</v>
      </c>
      <c r="J177" s="1">
        <v>2.0</v>
      </c>
      <c r="K177" s="1" t="s">
        <v>43</v>
      </c>
      <c r="L177" s="1" t="s">
        <v>1067</v>
      </c>
      <c r="M177" s="1" t="s">
        <v>1068</v>
      </c>
      <c r="N177" s="1" t="s">
        <v>46</v>
      </c>
      <c r="P177" s="1" t="s">
        <v>1069</v>
      </c>
      <c r="Q177" s="1" t="s">
        <v>1070</v>
      </c>
      <c r="AL177" s="1" t="s">
        <v>1066</v>
      </c>
      <c r="AN177" s="1">
        <v>6.8320976355E11</v>
      </c>
      <c r="AP177" s="1">
        <v>1.0</v>
      </c>
    </row>
    <row r="178" ht="15.75" customHeight="1">
      <c r="A178" s="1" t="s">
        <v>1479</v>
      </c>
      <c r="B178" s="1" t="str">
        <f>IFERROR(__xludf.DUMMYFUNCTION("AI(Prompt!$B$21,A178)"),"Высший Класс")</f>
        <v>Высший Класс</v>
      </c>
      <c r="C178" s="1" t="str">
        <f>IFERROR(__xludf.DUMMYFUNCTION("AI(Prompt!$B$26,A178:B178)"),"OK")</f>
        <v>OK</v>
      </c>
      <c r="D178" s="1" t="s">
        <v>41</v>
      </c>
      <c r="E178" s="1">
        <v>9.73401729E9</v>
      </c>
      <c r="F178" s="1">
        <v>7.73401001E8</v>
      </c>
      <c r="G178" s="1">
        <v>1.257700392487E12</v>
      </c>
      <c r="H178" s="1" t="s">
        <v>42</v>
      </c>
      <c r="I178" s="3">
        <v>45903.0</v>
      </c>
      <c r="J178" s="1">
        <v>0.0</v>
      </c>
      <c r="K178" s="1" t="s">
        <v>43</v>
      </c>
      <c r="L178" s="1" t="s">
        <v>1480</v>
      </c>
      <c r="M178" s="1" t="s">
        <v>1481</v>
      </c>
      <c r="N178" s="1" t="s">
        <v>121</v>
      </c>
      <c r="O178" s="1">
        <v>123060.0</v>
      </c>
      <c r="P178" s="1" t="s">
        <v>121</v>
      </c>
      <c r="Q178" s="1" t="s">
        <v>1482</v>
      </c>
      <c r="AE178" s="1" t="s">
        <v>1483</v>
      </c>
      <c r="AL178" s="1" t="s">
        <v>1484</v>
      </c>
      <c r="AM178" s="1" t="s">
        <v>61</v>
      </c>
      <c r="AN178" s="1">
        <v>6.72704921147E11</v>
      </c>
      <c r="AO178" s="3">
        <v>45903.0</v>
      </c>
      <c r="AP178" s="1">
        <v>1.0</v>
      </c>
    </row>
    <row r="179" ht="15.75" customHeight="1">
      <c r="A179" s="1" t="s">
        <v>1111</v>
      </c>
      <c r="B179" s="1" t="str">
        <f>IFERROR(__xludf.DUMMYFUNCTION("AI(Prompt!$B$21,A179)"),"ИП Трухачев")</f>
        <v>ИП Трухачев</v>
      </c>
      <c r="C179" s="1" t="str">
        <f>IFERROR(__xludf.DUMMYFUNCTION("AI(Prompt!$B$26,A179:B179)"),"OK")</f>
        <v>OK</v>
      </c>
      <c r="D179" s="1" t="s">
        <v>864</v>
      </c>
      <c r="E179" s="1">
        <v>5.01305679706E11</v>
      </c>
      <c r="G179" s="1">
        <v>3.24508100089237E14</v>
      </c>
      <c r="H179" s="1" t="s">
        <v>42</v>
      </c>
      <c r="I179" s="3">
        <v>45337.0</v>
      </c>
      <c r="J179" s="1">
        <v>2.0</v>
      </c>
      <c r="K179" s="1" t="s">
        <v>43</v>
      </c>
      <c r="L179" s="1" t="s">
        <v>1112</v>
      </c>
      <c r="M179" s="1" t="s">
        <v>1113</v>
      </c>
      <c r="N179" s="1" t="s">
        <v>46</v>
      </c>
      <c r="P179" s="1" t="s">
        <v>1114</v>
      </c>
      <c r="Q179" s="1" t="s">
        <v>1115</v>
      </c>
      <c r="Y179" s="1" t="s">
        <v>1116</v>
      </c>
      <c r="AL179" s="1" t="s">
        <v>1111</v>
      </c>
      <c r="AN179" s="1">
        <v>5.01305679706E11</v>
      </c>
      <c r="AP179" s="1">
        <v>1.0</v>
      </c>
    </row>
    <row r="180" ht="15.75" customHeight="1">
      <c r="A180" s="1" t="s">
        <v>1273</v>
      </c>
      <c r="B180" s="1" t="str">
        <f>IFERROR(__xludf.DUMMYFUNCTION("AI(Prompt!$B$21,A180)"),"ИП Максименков")</f>
        <v>ИП Максименков</v>
      </c>
      <c r="C180" s="1" t="str">
        <f>IFERROR(__xludf.DUMMYFUNCTION("AI(Prompt!$B$26,A180:B180)"),"OK")</f>
        <v>OK</v>
      </c>
      <c r="D180" s="1" t="s">
        <v>864</v>
      </c>
      <c r="E180" s="1">
        <v>7.72207674331E11</v>
      </c>
      <c r="G180" s="1">
        <v>3.2277460021131E14</v>
      </c>
      <c r="H180" s="1" t="s">
        <v>42</v>
      </c>
      <c r="I180" s="3">
        <v>44650.0</v>
      </c>
      <c r="J180" s="1">
        <v>3.0</v>
      </c>
      <c r="K180" s="1" t="s">
        <v>43</v>
      </c>
      <c r="L180" s="1" t="s">
        <v>1274</v>
      </c>
      <c r="M180" s="1" t="s">
        <v>1275</v>
      </c>
      <c r="N180" s="1" t="s">
        <v>121</v>
      </c>
      <c r="Q180" s="1" t="s">
        <v>1276</v>
      </c>
      <c r="AL180" s="1" t="s">
        <v>1273</v>
      </c>
      <c r="AN180" s="1">
        <v>7.72207674331E11</v>
      </c>
      <c r="AP180" s="1">
        <v>1.0</v>
      </c>
    </row>
    <row r="181" ht="15.75" customHeight="1">
      <c r="A181" s="1" t="s">
        <v>187</v>
      </c>
      <c r="B181" s="1" t="str">
        <f>IFERROR(__xludf.DUMMYFUNCTION("AI(Prompt!$B$21,A181)"),"Де Ново Групп")</f>
        <v>Де Ново Групп</v>
      </c>
      <c r="C181" s="1" t="str">
        <f>IFERROR(__xludf.DUMMYFUNCTION("AI(Prompt!$B$26,A181:B181)"),"OK")</f>
        <v>OK</v>
      </c>
      <c r="D181" s="1" t="s">
        <v>41</v>
      </c>
      <c r="E181" s="1">
        <v>5.0091151E9</v>
      </c>
      <c r="F181" s="1">
        <v>5.00901001E8</v>
      </c>
      <c r="G181" s="1">
        <v>1.185027011531E12</v>
      </c>
      <c r="H181" s="1" t="s">
        <v>42</v>
      </c>
      <c r="I181" s="3">
        <v>43252.0</v>
      </c>
      <c r="J181" s="1">
        <v>7.0</v>
      </c>
      <c r="K181" s="1" t="s">
        <v>43</v>
      </c>
      <c r="L181" s="1" t="s">
        <v>188</v>
      </c>
      <c r="M181" s="1" t="s">
        <v>189</v>
      </c>
      <c r="N181" s="1" t="s">
        <v>46</v>
      </c>
      <c r="O181" s="1">
        <v>142000.0</v>
      </c>
      <c r="P181" s="1" t="s">
        <v>190</v>
      </c>
      <c r="Q181" s="1" t="s">
        <v>191</v>
      </c>
      <c r="R181" s="1" t="s">
        <v>192</v>
      </c>
      <c r="S181" s="1" t="s">
        <v>193</v>
      </c>
      <c r="T181" s="1" t="s">
        <v>194</v>
      </c>
      <c r="U181" s="1" t="s">
        <v>195</v>
      </c>
      <c r="V181" s="1" t="s">
        <v>196</v>
      </c>
      <c r="W181" s="1" t="s">
        <v>197</v>
      </c>
      <c r="X181" s="1" t="s">
        <v>198</v>
      </c>
      <c r="Y181" s="1" t="s">
        <v>199</v>
      </c>
      <c r="Z181" s="1" t="s">
        <v>200</v>
      </c>
      <c r="AA181" s="1" t="s">
        <v>201</v>
      </c>
      <c r="AB181" s="1" t="s">
        <v>202</v>
      </c>
      <c r="AE181" s="1" t="s">
        <v>203</v>
      </c>
      <c r="AF181" s="1">
        <v>270647.0</v>
      </c>
      <c r="AG181" s="1">
        <v>76165.0</v>
      </c>
      <c r="AH181" s="1">
        <v>1599.0</v>
      </c>
      <c r="AI181" s="1">
        <v>-21331.0</v>
      </c>
      <c r="AJ181" s="1">
        <v>7231.0</v>
      </c>
      <c r="AK181" s="1">
        <v>42.0</v>
      </c>
      <c r="AL181" s="1" t="s">
        <v>204</v>
      </c>
      <c r="AM181" s="1" t="s">
        <v>61</v>
      </c>
      <c r="AN181" s="1">
        <v>5.00915413416E11</v>
      </c>
      <c r="AO181" s="3">
        <v>43252.0</v>
      </c>
      <c r="AP181" s="1">
        <v>1.0</v>
      </c>
    </row>
    <row r="182" ht="15.75" customHeight="1">
      <c r="A182" s="1" t="s">
        <v>911</v>
      </c>
      <c r="B182" s="1" t="str">
        <f>IFERROR(__xludf.DUMMYFUNCTION("AI(Prompt!$B$21,A182)"),"ИП Ватаманюк")</f>
        <v>ИП Ватаманюк</v>
      </c>
      <c r="C182" s="1" t="str">
        <f>IFERROR(__xludf.DUMMYFUNCTION("AI(Prompt!$B$26,A182:B182)"),"OK")</f>
        <v>OK</v>
      </c>
      <c r="D182" s="1" t="s">
        <v>864</v>
      </c>
      <c r="E182" s="1">
        <v>9.71507391112E11</v>
      </c>
      <c r="G182" s="1">
        <v>3.18505300177383E14</v>
      </c>
      <c r="H182" s="1" t="s">
        <v>42</v>
      </c>
      <c r="I182" s="3">
        <v>43453.0</v>
      </c>
      <c r="J182" s="1">
        <v>7.0</v>
      </c>
      <c r="K182" s="1" t="s">
        <v>43</v>
      </c>
      <c r="L182" s="1" t="s">
        <v>912</v>
      </c>
      <c r="M182" s="1" t="s">
        <v>913</v>
      </c>
      <c r="N182" s="1" t="s">
        <v>46</v>
      </c>
      <c r="P182" s="1" t="s">
        <v>914</v>
      </c>
      <c r="Q182" s="1" t="s">
        <v>915</v>
      </c>
      <c r="R182" s="1" t="s">
        <v>916</v>
      </c>
      <c r="S182" s="1" t="s">
        <v>917</v>
      </c>
      <c r="U182" s="1" t="s">
        <v>918</v>
      </c>
      <c r="Y182" s="1" t="s">
        <v>919</v>
      </c>
      <c r="Z182" s="1" t="s">
        <v>920</v>
      </c>
      <c r="AA182" s="1" t="s">
        <v>921</v>
      </c>
      <c r="AB182" s="1" t="s">
        <v>922</v>
      </c>
      <c r="AL182" s="1" t="s">
        <v>911</v>
      </c>
      <c r="AN182" s="1">
        <v>9.71507391112E11</v>
      </c>
      <c r="AP182" s="1">
        <v>1.0</v>
      </c>
    </row>
    <row r="183" ht="15.75" customHeight="1">
      <c r="A183" s="1" t="s">
        <v>774</v>
      </c>
      <c r="B183" s="1" t="str">
        <f>IFERROR(__xludf.DUMMYFUNCTION("AI(Prompt!$B$21,A183)"),"ТД Атлантик")</f>
        <v>ТД Атлантик</v>
      </c>
      <c r="C183" s="1" t="str">
        <f>IFERROR(__xludf.DUMMYFUNCTION("AI(Prompt!$B$26,A183:B183)"),"OK")</f>
        <v>OK</v>
      </c>
      <c r="D183" s="1" t="s">
        <v>41</v>
      </c>
      <c r="E183" s="1">
        <v>5.034062942E9</v>
      </c>
      <c r="F183" s="1">
        <v>5.03401001E8</v>
      </c>
      <c r="G183" s="1">
        <v>1.225000096584E12</v>
      </c>
      <c r="H183" s="1" t="s">
        <v>42</v>
      </c>
      <c r="I183" s="3">
        <v>44805.0</v>
      </c>
      <c r="J183" s="1">
        <v>3.0</v>
      </c>
      <c r="K183" s="1" t="s">
        <v>43</v>
      </c>
      <c r="L183" s="1" t="s">
        <v>775</v>
      </c>
      <c r="M183" s="1" t="s">
        <v>776</v>
      </c>
      <c r="N183" s="1" t="s">
        <v>46</v>
      </c>
      <c r="O183" s="1">
        <v>142600.0</v>
      </c>
      <c r="P183" s="1" t="s">
        <v>523</v>
      </c>
      <c r="Q183" s="1" t="s">
        <v>777</v>
      </c>
      <c r="AE183" s="1" t="s">
        <v>778</v>
      </c>
      <c r="AF183" s="1">
        <v>0.0</v>
      </c>
      <c r="AG183" s="1">
        <v>50.0</v>
      </c>
      <c r="AH183" s="1">
        <v>0.0</v>
      </c>
      <c r="AI183" s="1">
        <v>0.0</v>
      </c>
      <c r="AJ183" s="1">
        <v>-13.0</v>
      </c>
      <c r="AK183" s="1">
        <v>-60.0</v>
      </c>
      <c r="AL183" s="1" t="s">
        <v>779</v>
      </c>
      <c r="AM183" s="1" t="s">
        <v>61</v>
      </c>
      <c r="AN183" s="1">
        <v>5.03127858857E11</v>
      </c>
      <c r="AO183" s="3">
        <v>45918.0</v>
      </c>
      <c r="AP183" s="1">
        <v>2.0</v>
      </c>
    </row>
    <row r="184" ht="15.75" customHeight="1">
      <c r="A184" s="1" t="s">
        <v>923</v>
      </c>
      <c r="B184" s="1" t="str">
        <f>IFERROR(__xludf.DUMMYFUNCTION("AI(Prompt!$B$21,A184)"),"Мика")</f>
        <v>Мика</v>
      </c>
      <c r="C184" s="1" t="str">
        <f>IFERROR(__xludf.DUMMYFUNCTION("AI(Prompt!$B$26,A184:B184)"),"OK")</f>
        <v>OK</v>
      </c>
      <c r="D184" s="1" t="s">
        <v>41</v>
      </c>
      <c r="E184" s="1">
        <v>5.047293129E9</v>
      </c>
      <c r="F184" s="1">
        <v>5.04701001E8</v>
      </c>
      <c r="G184" s="1">
        <v>1.245000058951E12</v>
      </c>
      <c r="H184" s="1" t="s">
        <v>42</v>
      </c>
      <c r="I184" s="3">
        <v>45432.0</v>
      </c>
      <c r="J184" s="1">
        <v>1.0</v>
      </c>
      <c r="K184" s="1" t="s">
        <v>43</v>
      </c>
      <c r="L184" s="1" t="s">
        <v>924</v>
      </c>
      <c r="M184" s="1" t="s">
        <v>925</v>
      </c>
      <c r="N184" s="1" t="s">
        <v>46</v>
      </c>
      <c r="O184" s="1">
        <v>141426.0</v>
      </c>
      <c r="P184" s="1" t="s">
        <v>926</v>
      </c>
      <c r="Q184" s="1" t="s">
        <v>927</v>
      </c>
      <c r="AE184" s="1" t="s">
        <v>928</v>
      </c>
      <c r="AL184" s="1" t="s">
        <v>929</v>
      </c>
      <c r="AM184" s="1" t="s">
        <v>61</v>
      </c>
      <c r="AN184" s="1">
        <v>5.02506961359E11</v>
      </c>
      <c r="AO184" s="3">
        <v>45432.0</v>
      </c>
      <c r="AP184" s="1">
        <v>2.0</v>
      </c>
    </row>
    <row r="185" ht="15.75" customHeight="1">
      <c r="A185" s="1" t="s">
        <v>520</v>
      </c>
      <c r="B185" s="1" t="str">
        <f>IFERROR(__xludf.DUMMYFUNCTION("AI(Prompt!$B$21,A185)"),"Виллегас")</f>
        <v>Виллегас</v>
      </c>
      <c r="C185" s="1" t="str">
        <f>IFERROR(__xludf.DUMMYFUNCTION("AI(Prompt!$B$26,A185:B185)"),"OK")</f>
        <v>OK</v>
      </c>
      <c r="D185" s="1" t="s">
        <v>41</v>
      </c>
      <c r="E185" s="1">
        <v>5.03405815E9</v>
      </c>
      <c r="F185" s="1">
        <v>5.03401001E8</v>
      </c>
      <c r="G185" s="1">
        <v>1.19508107201E12</v>
      </c>
      <c r="H185" s="1" t="s">
        <v>42</v>
      </c>
      <c r="I185" s="3">
        <v>43734.0</v>
      </c>
      <c r="J185" s="1">
        <v>6.0</v>
      </c>
      <c r="K185" s="1" t="s">
        <v>43</v>
      </c>
      <c r="L185" s="1" t="s">
        <v>521</v>
      </c>
      <c r="M185" s="1" t="s">
        <v>522</v>
      </c>
      <c r="N185" s="1" t="s">
        <v>46</v>
      </c>
      <c r="O185" s="1">
        <v>142600.0</v>
      </c>
      <c r="P185" s="1" t="s">
        <v>523</v>
      </c>
      <c r="Q185" s="1" t="s">
        <v>524</v>
      </c>
      <c r="R185" s="1" t="s">
        <v>525</v>
      </c>
      <c r="S185" s="1" t="s">
        <v>526</v>
      </c>
      <c r="T185" s="1" t="s">
        <v>527</v>
      </c>
      <c r="Y185" s="1" t="s">
        <v>528</v>
      </c>
      <c r="Z185" s="1" t="s">
        <v>529</v>
      </c>
      <c r="AA185" s="1" t="s">
        <v>530</v>
      </c>
      <c r="AB185" s="1" t="s">
        <v>531</v>
      </c>
      <c r="AE185" s="1" t="s">
        <v>532</v>
      </c>
      <c r="AF185" s="1">
        <v>8187.0</v>
      </c>
      <c r="AG185" s="1">
        <v>79174.0</v>
      </c>
      <c r="AH185" s="1">
        <v>63953.0</v>
      </c>
      <c r="AI185" s="1">
        <v>-13189.0</v>
      </c>
      <c r="AJ185" s="1">
        <v>413.0</v>
      </c>
      <c r="AK185" s="1">
        <v>165.0</v>
      </c>
      <c r="AL185" s="1" t="s">
        <v>533</v>
      </c>
      <c r="AM185" s="1" t="s">
        <v>61</v>
      </c>
      <c r="AN185" s="1">
        <v>5.03416194806E11</v>
      </c>
      <c r="AO185" s="3">
        <v>43734.0</v>
      </c>
      <c r="AP185" s="1">
        <v>2.0</v>
      </c>
    </row>
    <row r="186" ht="15.75" customHeight="1">
      <c r="A186" s="1" t="s">
        <v>1379</v>
      </c>
      <c r="B186" s="1" t="str">
        <f>IFERROR(__xludf.DUMMYFUNCTION("AI(Prompt!$B$21,A186)"),"ИП Стефанова")</f>
        <v>ИП Стефанова</v>
      </c>
      <c r="C186" s="1" t="str">
        <f>IFERROR(__xludf.DUMMYFUNCTION("AI(Prompt!$B$26,A186:B186)"),"OK")</f>
        <v>OK</v>
      </c>
      <c r="D186" s="1" t="s">
        <v>864</v>
      </c>
      <c r="E186" s="1">
        <v>7.70700931263E11</v>
      </c>
      <c r="G186" s="1">
        <v>3.21774600489063E14</v>
      </c>
      <c r="H186" s="1" t="s">
        <v>42</v>
      </c>
      <c r="I186" s="3">
        <v>44431.0</v>
      </c>
      <c r="J186" s="1">
        <v>4.0</v>
      </c>
      <c r="K186" s="1" t="s">
        <v>43</v>
      </c>
      <c r="L186" s="1" t="s">
        <v>1380</v>
      </c>
      <c r="M186" s="1" t="s">
        <v>1381</v>
      </c>
      <c r="N186" s="1" t="s">
        <v>121</v>
      </c>
      <c r="Q186" s="1" t="s">
        <v>1382</v>
      </c>
      <c r="Y186" s="1" t="s">
        <v>1383</v>
      </c>
      <c r="AL186" s="1" t="s">
        <v>1379</v>
      </c>
      <c r="AN186" s="1">
        <v>7.70700931263E11</v>
      </c>
      <c r="AP186" s="1">
        <v>2.0</v>
      </c>
    </row>
    <row r="187" ht="15.75" customHeight="1">
      <c r="A187" s="1" t="s">
        <v>1475</v>
      </c>
      <c r="B187" s="1" t="str">
        <f>IFERROR(__xludf.DUMMYFUNCTION("AI(Prompt!$B$21,A187)"),"ИП Мезенцев")</f>
        <v>ИП Мезенцев</v>
      </c>
      <c r="C187" s="1" t="str">
        <f>IFERROR(__xludf.DUMMYFUNCTION("AI(Prompt!$B$26,A187:B187)"),"OK")</f>
        <v>OK</v>
      </c>
      <c r="D187" s="1" t="s">
        <v>864</v>
      </c>
      <c r="E187" s="1">
        <v>5.40122557969E11</v>
      </c>
      <c r="G187" s="1">
        <v>3.2177460056105E14</v>
      </c>
      <c r="H187" s="1" t="s">
        <v>42</v>
      </c>
      <c r="I187" s="3">
        <v>44461.0</v>
      </c>
      <c r="J187" s="1">
        <v>4.0</v>
      </c>
      <c r="K187" s="1" t="s">
        <v>43</v>
      </c>
      <c r="L187" s="1" t="s">
        <v>1476</v>
      </c>
      <c r="M187" s="1" t="s">
        <v>1256</v>
      </c>
      <c r="N187" s="1" t="s">
        <v>121</v>
      </c>
      <c r="Q187" s="1" t="s">
        <v>1477</v>
      </c>
      <c r="Y187" s="1" t="s">
        <v>1478</v>
      </c>
      <c r="AL187" s="1" t="s">
        <v>1475</v>
      </c>
      <c r="AN187" s="1">
        <v>5.40122557969E11</v>
      </c>
      <c r="AP187" s="1">
        <v>1.0</v>
      </c>
    </row>
    <row r="188" ht="15.75" customHeight="1">
      <c r="A188" s="1" t="s">
        <v>863</v>
      </c>
      <c r="B188" s="1" t="str">
        <f>IFERROR(__xludf.DUMMYFUNCTION("AI(Prompt!$B$21,A188)"),"ИП Кузнецова")</f>
        <v>ИП Кузнецова</v>
      </c>
      <c r="C188" s="1" t="str">
        <f>IFERROR(__xludf.DUMMYFUNCTION("AI(Prompt!$B$26,A188:B188)"),"OK")</f>
        <v>OK</v>
      </c>
      <c r="D188" s="1" t="s">
        <v>864</v>
      </c>
      <c r="E188" s="1">
        <v>2.12710679738E11</v>
      </c>
      <c r="G188" s="1">
        <v>3.25508100097398E14</v>
      </c>
      <c r="H188" s="1" t="s">
        <v>42</v>
      </c>
      <c r="I188" s="3">
        <v>45708.0</v>
      </c>
      <c r="J188" s="1">
        <v>1.0</v>
      </c>
      <c r="K188" s="1" t="s">
        <v>43</v>
      </c>
      <c r="L188" s="1" t="s">
        <v>865</v>
      </c>
      <c r="M188" s="1" t="s">
        <v>866</v>
      </c>
      <c r="N188" s="1" t="s">
        <v>46</v>
      </c>
      <c r="P188" s="1" t="s">
        <v>867</v>
      </c>
      <c r="Q188" s="1" t="s">
        <v>868</v>
      </c>
      <c r="AL188" s="1" t="s">
        <v>863</v>
      </c>
      <c r="AN188" s="1">
        <v>2.12710679738E11</v>
      </c>
      <c r="AP188" s="1">
        <v>2.0</v>
      </c>
    </row>
    <row r="189" ht="15.75" customHeight="1">
      <c r="A189" s="1" t="s">
        <v>709</v>
      </c>
      <c r="B189" s="1" t="str">
        <f>IFERROR(__xludf.DUMMYFUNCTION("AI(Prompt!$B$21,A189)"),"Витавим")</f>
        <v>Витавим</v>
      </c>
      <c r="C189" s="1" t="str">
        <f>IFERROR(__xludf.DUMMYFUNCTION("AI(Prompt!$B$26,A189:B189)"),"OK")</f>
        <v>OK</v>
      </c>
      <c r="D189" s="1" t="s">
        <v>41</v>
      </c>
      <c r="E189" s="1">
        <v>9.723220131E9</v>
      </c>
      <c r="F189" s="1">
        <v>7.72301001E8</v>
      </c>
      <c r="G189" s="1">
        <v>1.23770095437E12</v>
      </c>
      <c r="H189" s="1" t="s">
        <v>42</v>
      </c>
      <c r="I189" s="3">
        <v>45289.0</v>
      </c>
      <c r="J189" s="1">
        <v>2.0</v>
      </c>
      <c r="K189" s="1" t="s">
        <v>43</v>
      </c>
      <c r="L189" s="1" t="s">
        <v>710</v>
      </c>
      <c r="M189" s="1" t="s">
        <v>711</v>
      </c>
      <c r="N189" s="1" t="s">
        <v>121</v>
      </c>
      <c r="O189" s="1">
        <v>109382.0</v>
      </c>
      <c r="P189" s="1" t="s">
        <v>121</v>
      </c>
      <c r="Q189" s="1" t="s">
        <v>712</v>
      </c>
      <c r="Y189" s="1" t="s">
        <v>713</v>
      </c>
      <c r="AE189" s="1" t="s">
        <v>714</v>
      </c>
      <c r="AF189" s="1">
        <v>837.0</v>
      </c>
      <c r="AG189" s="1">
        <v>0.0</v>
      </c>
      <c r="AI189" s="1">
        <v>-427.0</v>
      </c>
      <c r="AJ189" s="1">
        <v>0.0</v>
      </c>
      <c r="AL189" s="1" t="s">
        <v>715</v>
      </c>
      <c r="AM189" s="1" t="s">
        <v>61</v>
      </c>
      <c r="AN189" s="1">
        <v>7.72320184788E11</v>
      </c>
      <c r="AO189" s="3">
        <v>45289.0</v>
      </c>
      <c r="AP189" s="1">
        <v>1.0</v>
      </c>
    </row>
    <row r="190" ht="15.75" customHeight="1">
      <c r="A190" s="1" t="s">
        <v>825</v>
      </c>
      <c r="B190" s="1" t="str">
        <f>IFERROR(__xludf.DUMMYFUNCTION("AI(Prompt!$B$21,A190)"),"Зевс")</f>
        <v>Зевс</v>
      </c>
      <c r="C190" s="1" t="str">
        <f>IFERROR(__xludf.DUMMYFUNCTION("AI(Prompt!$B$26,A190:B190)"),"OK")</f>
        <v>OK</v>
      </c>
      <c r="D190" s="1" t="s">
        <v>41</v>
      </c>
      <c r="E190" s="1">
        <v>7.751345724E9</v>
      </c>
      <c r="F190" s="1">
        <v>7.75101001E8</v>
      </c>
      <c r="G190" s="1">
        <v>1.247700827912E12</v>
      </c>
      <c r="H190" s="1" t="s">
        <v>42</v>
      </c>
      <c r="I190" s="3">
        <v>45650.0</v>
      </c>
      <c r="J190" s="1">
        <v>1.0</v>
      </c>
      <c r="K190" s="1" t="s">
        <v>43</v>
      </c>
      <c r="L190" s="1" t="s">
        <v>826</v>
      </c>
      <c r="M190" s="1" t="s">
        <v>827</v>
      </c>
      <c r="N190" s="1" t="s">
        <v>121</v>
      </c>
      <c r="O190" s="1">
        <v>108811.0</v>
      </c>
      <c r="P190" s="1" t="s">
        <v>121</v>
      </c>
      <c r="Q190" s="1" t="s">
        <v>828</v>
      </c>
      <c r="R190" s="1" t="s">
        <v>829</v>
      </c>
      <c r="Y190" s="1" t="s">
        <v>830</v>
      </c>
      <c r="AE190" s="1" t="s">
        <v>831</v>
      </c>
      <c r="AF190" s="1">
        <v>0.0</v>
      </c>
      <c r="AG190" s="1">
        <v>0.0</v>
      </c>
      <c r="AI190" s="1">
        <v>0.0</v>
      </c>
      <c r="AJ190" s="1">
        <v>0.0</v>
      </c>
      <c r="AL190" s="1" t="s">
        <v>832</v>
      </c>
      <c r="AM190" s="1" t="s">
        <v>61</v>
      </c>
      <c r="AN190" s="1">
        <v>6.50623323311E11</v>
      </c>
      <c r="AO190" s="3">
        <v>45650.0</v>
      </c>
      <c r="AP190" s="1">
        <v>1.0</v>
      </c>
    </row>
    <row r="191" ht="15.75" customHeight="1">
      <c r="A191" s="1" t="s">
        <v>738</v>
      </c>
      <c r="B191" s="1" t="str">
        <f>IFERROR(__xludf.DUMMYFUNCTION("AI(Prompt!$B$21,A191)"),"Адирект")</f>
        <v>Адирект</v>
      </c>
      <c r="C191" s="1" t="str">
        <f>IFERROR(__xludf.DUMMYFUNCTION("AI(Prompt!$B$26,A191:B191)"),"OK")</f>
        <v>OK</v>
      </c>
      <c r="D191" s="1" t="s">
        <v>41</v>
      </c>
      <c r="E191" s="1">
        <v>9.731087557E9</v>
      </c>
      <c r="F191" s="1">
        <v>7.73401001E8</v>
      </c>
      <c r="G191" s="1">
        <v>1.227700003299E12</v>
      </c>
      <c r="H191" s="1" t="s">
        <v>42</v>
      </c>
      <c r="I191" s="3">
        <v>44572.0</v>
      </c>
      <c r="J191" s="1">
        <v>4.0</v>
      </c>
      <c r="K191" s="1" t="s">
        <v>43</v>
      </c>
      <c r="L191" s="1" t="s">
        <v>739</v>
      </c>
      <c r="M191" s="1" t="s">
        <v>740</v>
      </c>
      <c r="N191" s="1" t="s">
        <v>121</v>
      </c>
      <c r="O191" s="1">
        <v>123458.0</v>
      </c>
      <c r="P191" s="1" t="s">
        <v>121</v>
      </c>
      <c r="Q191" s="1" t="s">
        <v>741</v>
      </c>
      <c r="Y191" s="1" t="s">
        <v>742</v>
      </c>
      <c r="Z191" s="1" t="s">
        <v>743</v>
      </c>
      <c r="AE191" s="1" t="s">
        <v>744</v>
      </c>
      <c r="AF191" s="1">
        <v>188.0</v>
      </c>
      <c r="AG191" s="1">
        <v>902.0</v>
      </c>
      <c r="AH191" s="1">
        <v>120.0</v>
      </c>
      <c r="AI191" s="1">
        <v>-851.0</v>
      </c>
      <c r="AJ191" s="1">
        <v>-848.0</v>
      </c>
      <c r="AK191" s="1">
        <v>-112.0</v>
      </c>
      <c r="AL191" s="1" t="s">
        <v>745</v>
      </c>
      <c r="AM191" s="1" t="s">
        <v>61</v>
      </c>
      <c r="AN191" s="1">
        <v>7.80622620698E11</v>
      </c>
      <c r="AO191" s="3">
        <v>45847.0</v>
      </c>
      <c r="AP191" s="1">
        <v>2.0</v>
      </c>
    </row>
    <row r="192" ht="15.75" customHeight="1">
      <c r="A192" s="1" t="s">
        <v>683</v>
      </c>
      <c r="B192" s="1" t="str">
        <f>IFERROR(__xludf.DUMMYFUNCTION("AI(Prompt!$B$21,A192)"),"Здоровый Питомец")</f>
        <v>Здоровый Питомец</v>
      </c>
      <c r="C192" s="1" t="str">
        <f>IFERROR(__xludf.DUMMYFUNCTION("AI(Prompt!$B$26,A192:B192)"),"OK")</f>
        <v>OK</v>
      </c>
      <c r="D192" s="1" t="s">
        <v>41</v>
      </c>
      <c r="E192" s="1">
        <v>5.030102626E9</v>
      </c>
      <c r="F192" s="1">
        <v>5.03001001E8</v>
      </c>
      <c r="G192" s="1">
        <v>1.225000046809E12</v>
      </c>
      <c r="H192" s="1" t="s">
        <v>42</v>
      </c>
      <c r="I192" s="3">
        <v>44697.0</v>
      </c>
      <c r="J192" s="1">
        <v>3.0</v>
      </c>
      <c r="K192" s="1" t="s">
        <v>43</v>
      </c>
      <c r="L192" s="1" t="s">
        <v>684</v>
      </c>
      <c r="M192" s="1" t="s">
        <v>685</v>
      </c>
      <c r="N192" s="1" t="s">
        <v>46</v>
      </c>
      <c r="O192" s="1">
        <v>143395.0</v>
      </c>
      <c r="P192" s="1" t="s">
        <v>686</v>
      </c>
      <c r="Q192" s="1" t="s">
        <v>687</v>
      </c>
      <c r="Y192" s="1" t="s">
        <v>688</v>
      </c>
      <c r="AE192" s="1" t="s">
        <v>689</v>
      </c>
      <c r="AF192" s="1">
        <v>1300.0</v>
      </c>
      <c r="AG192" s="1">
        <v>1394.0</v>
      </c>
      <c r="AH192" s="1">
        <v>0.0</v>
      </c>
      <c r="AI192" s="1">
        <v>-1078.0</v>
      </c>
      <c r="AJ192" s="1">
        <v>-1271.0</v>
      </c>
      <c r="AK192" s="1">
        <v>-588.0</v>
      </c>
      <c r="AL192" s="1" t="s">
        <v>690</v>
      </c>
      <c r="AM192" s="1" t="s">
        <v>61</v>
      </c>
      <c r="AN192" s="1">
        <v>7.73001274211E11</v>
      </c>
      <c r="AO192" s="3">
        <v>44697.0</v>
      </c>
      <c r="AP192" s="1">
        <v>2.0</v>
      </c>
    </row>
    <row r="193" ht="15.75" customHeight="1">
      <c r="A193" s="1" t="s">
        <v>792</v>
      </c>
      <c r="B193" s="1" t="str">
        <f>IFERROR(__xludf.DUMMYFUNCTION("AI(Prompt!$B$21,A193)"),"Зоо-Товары Производство")</f>
        <v>Зоо-Товары Производство</v>
      </c>
      <c r="C193" s="1" t="str">
        <f>IFERROR(__xludf.DUMMYFUNCTION("AI(Prompt!$B$26,A193:B193)"),"OK")</f>
        <v>OK</v>
      </c>
      <c r="D193" s="1" t="s">
        <v>41</v>
      </c>
      <c r="E193" s="1">
        <v>5.043084886E9</v>
      </c>
      <c r="F193" s="1">
        <v>5.04301001E8</v>
      </c>
      <c r="G193" s="1">
        <v>1.245000030076E12</v>
      </c>
      <c r="H193" s="1" t="s">
        <v>42</v>
      </c>
      <c r="I193" s="3">
        <v>45355.0</v>
      </c>
      <c r="J193" s="1">
        <v>1.0</v>
      </c>
      <c r="K193" s="1" t="s">
        <v>43</v>
      </c>
      <c r="L193" s="1" t="s">
        <v>793</v>
      </c>
      <c r="M193" s="1" t="s">
        <v>794</v>
      </c>
      <c r="N193" s="1" t="s">
        <v>46</v>
      </c>
      <c r="O193" s="1">
        <v>142279.0</v>
      </c>
      <c r="P193" s="1" t="s">
        <v>795</v>
      </c>
      <c r="Q193" s="1" t="s">
        <v>796</v>
      </c>
      <c r="AE193" s="1" t="s">
        <v>797</v>
      </c>
      <c r="AF193" s="1">
        <v>0.0</v>
      </c>
      <c r="AG193" s="1">
        <v>0.0</v>
      </c>
      <c r="AI193" s="1">
        <v>-363.0</v>
      </c>
      <c r="AJ193" s="1">
        <v>0.0</v>
      </c>
      <c r="AL193" s="1" t="s">
        <v>798</v>
      </c>
      <c r="AM193" s="1" t="s">
        <v>61</v>
      </c>
      <c r="AN193" s="1">
        <v>5.04307985912E11</v>
      </c>
      <c r="AO193" s="3">
        <v>45355.0</v>
      </c>
      <c r="AP193" s="1">
        <v>1.0</v>
      </c>
    </row>
    <row r="194" ht="15.75" customHeight="1"/>
    <row r="195" ht="15.75" customHeight="1"/>
    <row r="196" ht="15.75" customHeight="1"/>
    <row r="197" ht="15.75" customHeight="1"/>
    <row r="198" ht="15.75" customHeight="1"/>
    <row r="199" ht="15.75" customHeight="1">
      <c r="Q199" s="4"/>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c r="Q356" s="7"/>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c r="Q388" s="7"/>
    </row>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sheetData>
  <autoFilter ref="$A$1:$AP$193">
    <sortState ref="A1:AP193">
      <sortCondition descending="1" ref="Q1:Q193"/>
    </sortState>
  </autoFilter>
  <hyperlinks>
    <hyperlink r:id="rId1" ref="U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04.44"/>
  </cols>
  <sheetData>
    <row r="5">
      <c r="B5" s="9" t="s">
        <v>8195</v>
      </c>
    </row>
    <row r="6">
      <c r="B6" s="10" t="s">
        <v>8196</v>
      </c>
    </row>
    <row r="11">
      <c r="B11" s="9" t="s">
        <v>8197</v>
      </c>
    </row>
    <row r="12">
      <c r="B12" s="10" t="s">
        <v>8198</v>
      </c>
    </row>
    <row r="16">
      <c r="B16" s="9" t="s">
        <v>8195</v>
      </c>
    </row>
    <row r="17">
      <c r="B17" s="10" t="s">
        <v>8199</v>
      </c>
    </row>
    <row r="20">
      <c r="B20" s="6" t="s">
        <v>8195</v>
      </c>
    </row>
    <row r="21" ht="400.5" customHeight="1">
      <c r="B21" s="6" t="s">
        <v>8200</v>
      </c>
    </row>
    <row r="25">
      <c r="B25" s="9" t="s">
        <v>8201</v>
      </c>
    </row>
    <row r="26">
      <c r="B26" s="6" t="s">
        <v>8202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SignoGroup</dc:creator>
  <cp:lastModifiedBy>SignoGroup</cp:lastModifiedBy>
  <dcterms:created xsi:type="dcterms:W3CDTF">2026-06-16T01:08:21+00:00</dcterms:created>
  <dcterms:modified xsi:type="dcterms:W3CDTF">2026-06-16T01:08:21+00:00</dcterms:modified>
</cp:coreProperties>
</file>